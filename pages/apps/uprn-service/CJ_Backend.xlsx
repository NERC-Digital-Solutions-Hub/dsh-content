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https://livemanchesterac.sharepoint.com/sites/UoM-NERC-DSA/GitHub/nerc-digital-solutions-hub/GIS/SharedData/ClimateJust/"/>
    </mc:Choice>
  </mc:AlternateContent>
  <xr:revisionPtr revIDLastSave="0" documentId="8_{1AEC015A-4A09-4D8D-AFE6-6C2A2485C122}" xr6:coauthVersionLast="47" xr6:coauthVersionMax="47" xr10:uidLastSave="{00000000-0000-0000-0000-000000000000}"/>
  <bookViews>
    <workbookView xWindow="-108" yWindow="-108" windowWidth="23256" windowHeight="12456" tabRatio="603" activeTab="6" xr2:uid="{00000000-000D-0000-FFFF-FFFF00000000}"/>
  </bookViews>
  <sheets>
    <sheet name="Layers" sheetId="11" r:id="rId1"/>
    <sheet name="Services" sheetId="20" r:id="rId2"/>
    <sheet name="ServiceUrls" sheetId="18" r:id="rId3"/>
    <sheet name="RendererTypes" sheetId="13" r:id="rId4"/>
    <sheet name="RendererOutlines" sheetId="15" r:id="rId5"/>
    <sheet name="RendererClassBreaks" sheetId="12" r:id="rId6"/>
    <sheet name="InfoContent" sheetId="16" r:id="rId7"/>
    <sheet name="Ettore's notes" sheetId="22" r:id="rId8"/>
    <sheet name="Sheet2" sheetId="24" r:id="rId9"/>
  </sheets>
  <definedNames>
    <definedName name="_xlnm._FilterDatabase" localSheetId="5" hidden="1">RendererClassBreaks!$A$1:$AS$1</definedName>
    <definedName name="_xlnm._FilterDatabase" localSheetId="0" hidden="1">Layers!$A$1:$Q$1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54" i="20" l="1"/>
  <c r="A1653" i="20"/>
  <c r="A1652" i="20"/>
  <c r="A1651" i="20"/>
  <c r="A1650" i="20"/>
  <c r="A1649" i="20"/>
  <c r="A1648" i="20"/>
  <c r="A1646" i="20"/>
  <c r="A1645" i="20"/>
  <c r="A1644" i="20"/>
  <c r="A1643" i="20"/>
  <c r="A1642" i="20"/>
  <c r="A1641" i="20"/>
  <c r="A1640" i="20"/>
  <c r="A1639" i="20"/>
  <c r="A1638" i="20"/>
  <c r="A1637" i="20"/>
  <c r="A1636" i="20"/>
  <c r="A1635" i="20"/>
  <c r="A1634" i="20"/>
  <c r="A1633" i="20"/>
  <c r="A1632" i="20"/>
  <c r="A1631" i="20"/>
  <c r="A1630" i="20"/>
  <c r="A1629" i="20"/>
  <c r="A1628" i="20"/>
  <c r="A1627" i="20"/>
  <c r="A1626" i="20"/>
  <c r="A1625" i="20"/>
  <c r="A1624" i="20"/>
  <c r="A1623" i="20"/>
  <c r="A1621" i="20"/>
  <c r="A1620" i="20"/>
  <c r="A1619" i="20"/>
  <c r="A1618" i="20"/>
  <c r="A1617" i="20"/>
  <c r="A1616" i="20"/>
  <c r="A1615" i="20"/>
  <c r="A1614" i="20"/>
  <c r="A1613" i="20"/>
  <c r="A1612" i="20"/>
  <c r="A1611" i="20"/>
  <c r="A1610" i="20"/>
  <c r="A1609" i="20"/>
  <c r="A1608" i="20"/>
  <c r="A1607" i="20"/>
  <c r="A1606" i="20"/>
  <c r="A1605" i="20"/>
  <c r="A1604" i="20"/>
  <c r="A1603" i="20"/>
  <c r="A1602" i="20"/>
  <c r="A1601" i="20"/>
  <c r="A1600" i="20"/>
  <c r="A1599" i="20"/>
  <c r="A1597" i="20"/>
  <c r="A1596" i="20"/>
  <c r="A1595" i="20"/>
  <c r="A1594" i="20"/>
  <c r="A1593" i="20"/>
  <c r="A1592" i="20"/>
  <c r="A1591" i="20"/>
  <c r="A1590" i="20"/>
  <c r="A1589" i="20"/>
  <c r="A1588" i="20"/>
  <c r="A1587" i="20"/>
  <c r="A1586" i="20"/>
  <c r="A1585" i="20"/>
  <c r="A1584" i="20"/>
  <c r="A1582" i="20"/>
  <c r="A1581" i="20"/>
  <c r="A1580" i="20"/>
  <c r="A1579" i="20"/>
  <c r="A1578" i="20"/>
  <c r="A1577" i="20"/>
  <c r="A1576" i="20"/>
  <c r="A1575" i="20"/>
  <c r="A1574" i="20"/>
  <c r="A1572" i="20"/>
  <c r="A1571" i="20"/>
  <c r="A1570" i="20"/>
  <c r="A1569" i="20"/>
  <c r="A1568" i="20"/>
  <c r="A1567" i="20"/>
  <c r="A1566" i="20"/>
  <c r="A1565" i="20"/>
  <c r="A1564" i="20"/>
  <c r="A1563" i="20"/>
  <c r="A1562" i="20"/>
  <c r="A1561" i="20"/>
  <c r="A1560" i="20"/>
  <c r="A1559" i="20"/>
  <c r="A1558" i="20"/>
  <c r="A1557" i="20"/>
  <c r="A1556" i="20"/>
  <c r="A1555" i="20"/>
  <c r="A1554" i="20"/>
  <c r="A1553" i="20"/>
  <c r="A1552" i="20"/>
  <c r="A1551" i="20"/>
  <c r="A1550" i="20"/>
  <c r="A1549" i="20"/>
  <c r="A1548" i="20"/>
  <c r="A1547" i="20"/>
  <c r="A1546" i="20"/>
  <c r="A1545" i="20"/>
  <c r="A1544" i="20"/>
  <c r="A1543" i="20"/>
  <c r="A1542" i="20"/>
  <c r="A1541" i="20"/>
  <c r="A1540" i="20"/>
  <c r="A1539" i="20"/>
  <c r="A1538" i="20"/>
  <c r="A1537" i="20"/>
  <c r="A1536" i="20"/>
  <c r="A1535" i="20"/>
  <c r="A1534" i="20"/>
  <c r="A1533" i="20"/>
  <c r="A1532" i="20"/>
  <c r="A1531" i="20"/>
  <c r="A1530" i="20"/>
  <c r="A1529" i="20"/>
  <c r="A1528" i="20"/>
  <c r="A1527" i="20"/>
  <c r="A1526" i="20"/>
  <c r="A1525" i="20"/>
  <c r="A1524" i="20"/>
  <c r="A1523" i="20"/>
  <c r="A1522" i="20"/>
  <c r="A1521" i="20"/>
  <c r="A1520" i="20"/>
  <c r="A1519" i="20"/>
  <c r="A1518" i="20"/>
  <c r="A1517" i="20"/>
  <c r="A1516" i="20"/>
  <c r="A1515" i="20"/>
  <c r="A1514" i="20"/>
  <c r="A1513" i="20"/>
  <c r="A1512" i="20"/>
  <c r="A1511" i="20"/>
  <c r="A1510" i="20"/>
  <c r="A1509" i="20"/>
  <c r="A1508" i="20"/>
  <c r="A1507" i="20"/>
  <c r="A1506" i="20"/>
  <c r="A1505" i="20"/>
  <c r="A1504" i="20"/>
  <c r="A1503" i="20"/>
  <c r="A1502" i="20"/>
  <c r="A1501" i="20"/>
  <c r="A1500" i="20"/>
  <c r="A1499" i="20"/>
  <c r="A1498" i="20"/>
  <c r="A1497" i="20"/>
  <c r="A1496" i="20"/>
  <c r="A1495" i="20"/>
  <c r="A1494" i="20"/>
  <c r="A1493" i="20"/>
  <c r="A1492" i="20"/>
  <c r="A1491" i="20"/>
  <c r="A1490" i="20"/>
  <c r="A1489" i="20"/>
  <c r="A1488" i="20"/>
  <c r="A1487" i="20"/>
  <c r="A1486" i="20"/>
  <c r="A1485" i="20"/>
  <c r="A1484" i="20"/>
  <c r="A1483" i="20"/>
  <c r="A1482" i="20"/>
  <c r="A1481" i="20"/>
  <c r="A1480" i="20"/>
  <c r="A1479" i="20"/>
  <c r="A1478" i="20"/>
  <c r="A1477" i="20"/>
  <c r="A1476" i="20"/>
  <c r="A1475" i="20"/>
  <c r="A1474" i="20"/>
  <c r="A1473" i="20"/>
  <c r="A1472" i="20"/>
  <c r="A1471" i="20"/>
  <c r="A1470" i="20"/>
  <c r="A1469" i="20"/>
  <c r="A1468" i="20"/>
  <c r="A1467" i="20"/>
  <c r="A1466" i="20"/>
  <c r="A1465" i="20"/>
  <c r="A1464" i="20"/>
  <c r="A1463" i="20"/>
  <c r="A1462" i="20"/>
  <c r="A1461" i="20"/>
  <c r="A1460" i="20"/>
  <c r="A1459" i="20"/>
  <c r="A1458" i="20"/>
  <c r="A1457" i="20"/>
  <c r="A1456" i="20"/>
  <c r="A1455" i="20"/>
  <c r="A1454" i="20"/>
  <c r="A1453" i="20"/>
  <c r="A1452" i="20"/>
  <c r="A1451" i="20"/>
  <c r="A1450" i="20"/>
  <c r="A1449" i="20"/>
  <c r="A1448" i="20"/>
  <c r="A1447" i="20"/>
  <c r="A1446" i="20"/>
  <c r="A1445" i="20"/>
  <c r="A1444" i="20"/>
  <c r="A1443" i="20"/>
  <c r="A1442" i="20"/>
  <c r="A1441" i="20"/>
  <c r="A1440" i="20"/>
  <c r="A1439" i="20"/>
  <c r="A1438" i="20"/>
  <c r="A1437" i="20"/>
  <c r="A1436" i="20"/>
  <c r="A1435" i="20"/>
  <c r="A1434" i="20"/>
  <c r="A1433" i="20"/>
  <c r="A1432" i="20"/>
  <c r="A1431" i="20"/>
  <c r="A1430" i="20"/>
  <c r="A1429" i="20"/>
  <c r="A1428" i="20"/>
  <c r="A1427" i="20"/>
  <c r="A1426" i="20"/>
  <c r="A1425" i="20"/>
  <c r="A1424" i="20"/>
  <c r="A1423" i="20"/>
  <c r="A1422" i="20"/>
  <c r="A1421" i="20"/>
  <c r="A1420" i="20"/>
  <c r="A1419" i="20"/>
  <c r="A1418" i="20"/>
  <c r="A1417" i="20"/>
  <c r="A1416" i="20"/>
  <c r="A1415" i="20"/>
  <c r="A1414" i="20"/>
  <c r="A1413" i="20"/>
  <c r="A1412" i="20"/>
  <c r="A1411" i="20"/>
  <c r="A1410" i="20"/>
  <c r="A1409" i="20"/>
  <c r="A1408" i="20"/>
  <c r="A1407" i="20"/>
  <c r="A1406" i="20"/>
  <c r="A1405" i="20"/>
  <c r="A1404" i="20"/>
  <c r="A1403" i="20"/>
  <c r="A1402" i="20"/>
  <c r="A1401" i="20"/>
  <c r="A1400" i="20"/>
  <c r="A1399" i="20"/>
  <c r="A1398" i="20"/>
  <c r="A1397" i="20"/>
  <c r="A1396" i="20"/>
  <c r="A1395" i="20"/>
  <c r="A1394" i="20"/>
  <c r="A1393" i="20"/>
  <c r="A1392" i="20"/>
  <c r="A1391" i="20"/>
  <c r="A1390" i="20"/>
  <c r="A1389" i="20"/>
  <c r="A1388" i="20"/>
  <c r="A1387" i="20"/>
  <c r="A1386" i="20"/>
  <c r="A1385" i="20"/>
  <c r="A1384" i="20"/>
  <c r="A1383" i="20"/>
  <c r="A1382" i="20"/>
  <c r="A1381" i="20"/>
  <c r="A1380" i="20"/>
  <c r="A1379" i="20"/>
  <c r="A1378" i="20"/>
  <c r="A1377" i="20"/>
  <c r="A1376" i="20"/>
  <c r="A1375" i="20"/>
  <c r="A1374" i="20"/>
  <c r="A1373" i="20"/>
  <c r="A1372" i="20"/>
  <c r="A1371" i="20"/>
  <c r="A1370" i="20"/>
  <c r="A1369" i="20"/>
  <c r="A1368" i="20"/>
  <c r="A1367" i="20"/>
  <c r="A1366" i="20"/>
  <c r="A1365" i="20"/>
  <c r="A1364" i="20"/>
  <c r="A1363" i="20"/>
  <c r="A1362" i="20"/>
  <c r="A1361" i="20"/>
  <c r="A1360" i="20"/>
  <c r="A1359" i="20"/>
  <c r="A1358" i="20"/>
  <c r="A1357" i="20"/>
  <c r="A1356" i="20"/>
  <c r="A1355" i="20"/>
  <c r="A1354" i="20"/>
  <c r="A1353" i="20"/>
  <c r="A1352" i="20"/>
  <c r="A1351" i="20"/>
  <c r="A1350" i="20"/>
  <c r="A1349" i="20"/>
  <c r="A1348" i="20"/>
  <c r="A1347" i="20"/>
  <c r="A1346" i="20"/>
  <c r="A1345" i="20"/>
  <c r="A1344" i="20"/>
  <c r="A1343" i="20"/>
  <c r="A1342" i="20"/>
  <c r="A1341" i="20"/>
  <c r="A1340" i="20"/>
  <c r="A1339" i="20"/>
  <c r="A1338" i="20"/>
  <c r="A1337" i="20"/>
  <c r="A1336" i="20"/>
  <c r="A1335" i="20"/>
  <c r="A1334" i="20"/>
  <c r="A1333" i="20"/>
  <c r="A1332" i="20"/>
  <c r="A1331" i="20"/>
  <c r="A1330" i="20"/>
  <c r="A1329" i="20"/>
  <c r="A1328" i="20"/>
  <c r="A1327" i="20"/>
  <c r="A1326" i="20"/>
  <c r="A1325" i="20"/>
  <c r="A1324" i="20"/>
  <c r="A1323" i="20"/>
  <c r="A1322" i="20"/>
  <c r="A1321" i="20"/>
  <c r="A1320" i="20"/>
  <c r="A1319" i="20"/>
  <c r="A1318" i="20"/>
  <c r="A1317" i="20"/>
  <c r="A1316" i="20"/>
  <c r="A1315" i="20"/>
  <c r="A1314" i="20"/>
  <c r="A1313" i="20"/>
  <c r="A1312" i="20"/>
  <c r="A1311" i="20"/>
  <c r="A1310" i="20"/>
  <c r="A1309" i="20"/>
  <c r="A1308" i="20"/>
  <c r="A1307" i="20"/>
  <c r="A1306" i="20"/>
  <c r="A1305" i="20"/>
  <c r="A1304" i="20"/>
  <c r="A1303" i="20"/>
  <c r="A1302" i="20"/>
  <c r="A1301" i="20"/>
  <c r="A1300" i="20"/>
  <c r="A1299" i="20"/>
  <c r="A1298" i="20"/>
  <c r="A1297" i="20"/>
  <c r="A1296" i="20"/>
  <c r="A1295" i="20"/>
  <c r="A1294" i="20"/>
  <c r="A1293" i="20"/>
  <c r="A1292" i="20"/>
  <c r="A1291" i="20"/>
  <c r="A1290" i="20"/>
  <c r="A1289" i="20"/>
  <c r="A1288" i="20"/>
  <c r="A1287" i="20"/>
  <c r="A1286" i="20"/>
  <c r="A1285" i="20"/>
  <c r="A1284" i="20"/>
  <c r="A1283" i="20"/>
  <c r="A1282" i="20"/>
  <c r="A1281" i="20"/>
  <c r="A1280" i="20"/>
  <c r="A1279" i="20"/>
  <c r="A1278" i="20"/>
  <c r="A1277" i="20"/>
  <c r="A1276" i="20"/>
  <c r="A1275" i="20"/>
  <c r="A1274" i="20"/>
  <c r="A1273" i="20"/>
  <c r="A1272" i="20"/>
  <c r="A1271" i="20"/>
  <c r="A1270" i="20"/>
  <c r="A1269" i="20"/>
  <c r="A1268" i="20"/>
  <c r="A1267" i="20"/>
  <c r="A1266" i="20"/>
  <c r="A1265" i="20"/>
  <c r="A1264" i="20"/>
  <c r="A1263" i="20"/>
  <c r="A1262" i="20"/>
  <c r="A1261" i="20"/>
  <c r="A1260" i="20"/>
  <c r="A1259" i="20"/>
  <c r="A1258" i="20"/>
  <c r="A1257" i="20"/>
  <c r="A1256" i="20"/>
  <c r="A1255" i="20"/>
  <c r="A1254" i="20"/>
  <c r="A1253" i="20"/>
  <c r="A1252" i="20"/>
  <c r="A1251" i="20"/>
  <c r="R289" i="24"/>
  <c r="R288" i="24"/>
  <c r="R287" i="24"/>
  <c r="R286" i="24"/>
  <c r="R285" i="24"/>
  <c r="R284" i="24"/>
  <c r="R283" i="24"/>
  <c r="R282" i="24"/>
  <c r="R281" i="24"/>
  <c r="R280" i="24"/>
  <c r="R279" i="24"/>
  <c r="R278" i="24"/>
  <c r="R277" i="24"/>
  <c r="R276" i="24"/>
  <c r="R275" i="24"/>
  <c r="R274" i="24"/>
  <c r="R273" i="24"/>
  <c r="R272" i="24"/>
  <c r="R271" i="24"/>
  <c r="R270" i="24"/>
  <c r="R269" i="24"/>
  <c r="R268" i="24"/>
  <c r="R267" i="24"/>
  <c r="R266" i="24"/>
  <c r="R265" i="24"/>
  <c r="R264" i="24"/>
  <c r="R263" i="24"/>
  <c r="R262" i="24"/>
  <c r="R261" i="24"/>
  <c r="R260" i="24"/>
  <c r="R259" i="24"/>
  <c r="R258" i="24"/>
  <c r="R257" i="24"/>
  <c r="R256" i="24"/>
  <c r="R255" i="24"/>
  <c r="R254" i="24"/>
  <c r="R253" i="24"/>
  <c r="R252" i="24"/>
  <c r="R251" i="24"/>
  <c r="R250" i="24"/>
  <c r="R249" i="24"/>
  <c r="R248" i="24"/>
  <c r="R247" i="24"/>
  <c r="R246" i="24"/>
  <c r="R245" i="24"/>
  <c r="R244" i="24"/>
  <c r="R243" i="24"/>
  <c r="R242" i="24"/>
  <c r="R241" i="24"/>
  <c r="R240" i="24"/>
  <c r="R239" i="24"/>
  <c r="R238" i="24"/>
  <c r="R237" i="24"/>
  <c r="R236" i="24"/>
  <c r="R235" i="24"/>
  <c r="R234" i="24"/>
  <c r="R233" i="24"/>
  <c r="R232" i="24"/>
  <c r="R231" i="24"/>
  <c r="R230" i="24"/>
  <c r="R229" i="24"/>
  <c r="R228" i="24"/>
  <c r="R227" i="24"/>
  <c r="R226" i="24"/>
  <c r="R225" i="24"/>
  <c r="R224" i="24"/>
  <c r="R223" i="24"/>
  <c r="R222" i="24"/>
  <c r="R221" i="24"/>
  <c r="R220" i="24"/>
  <c r="R219" i="24"/>
  <c r="R218" i="24"/>
  <c r="R217" i="24"/>
  <c r="R216" i="24"/>
  <c r="R215" i="24"/>
  <c r="R214" i="24"/>
  <c r="R213" i="24"/>
  <c r="R212" i="24"/>
  <c r="R211" i="24"/>
  <c r="R210" i="24"/>
  <c r="R209" i="24"/>
  <c r="R208" i="24"/>
  <c r="R207" i="24"/>
  <c r="R206" i="24"/>
  <c r="R205" i="24"/>
  <c r="R204" i="24"/>
  <c r="R203" i="24"/>
  <c r="R202" i="24"/>
  <c r="R201" i="24"/>
  <c r="R200" i="24"/>
  <c r="R199" i="24"/>
  <c r="R198" i="24"/>
  <c r="R197" i="24"/>
  <c r="R196" i="24"/>
  <c r="R195" i="24"/>
  <c r="R194" i="24"/>
  <c r="R193" i="24"/>
  <c r="R192" i="24"/>
  <c r="R191" i="24"/>
  <c r="R190" i="24"/>
  <c r="R189" i="24"/>
  <c r="R188" i="24"/>
  <c r="R187" i="24"/>
  <c r="R186" i="24"/>
  <c r="R185" i="24"/>
  <c r="R184" i="24"/>
  <c r="R183" i="24"/>
  <c r="R182" i="24"/>
  <c r="R181" i="24"/>
  <c r="R180" i="24"/>
  <c r="R179" i="24"/>
  <c r="R178" i="24"/>
  <c r="R177" i="24"/>
  <c r="R176" i="24"/>
  <c r="R175" i="24"/>
  <c r="R174" i="24"/>
  <c r="R173" i="24"/>
  <c r="R172" i="24"/>
  <c r="R171" i="24"/>
  <c r="R170" i="24"/>
  <c r="R169" i="24"/>
  <c r="R168" i="24"/>
  <c r="R167" i="24"/>
  <c r="R166" i="24"/>
  <c r="R165" i="24"/>
  <c r="R164" i="24"/>
  <c r="R163" i="24"/>
  <c r="R162" i="24"/>
  <c r="R161" i="24"/>
  <c r="R160" i="24"/>
  <c r="R159" i="24"/>
  <c r="R158" i="24"/>
  <c r="R157" i="24"/>
  <c r="R156" i="24"/>
  <c r="R155" i="24"/>
  <c r="R154" i="24"/>
  <c r="R153" i="24"/>
  <c r="R152" i="24"/>
  <c r="R151" i="24"/>
  <c r="R150" i="24"/>
  <c r="R149" i="24"/>
  <c r="R148" i="24"/>
  <c r="R147" i="24"/>
  <c r="R146" i="24"/>
  <c r="R145" i="24"/>
  <c r="R144" i="24"/>
  <c r="R143" i="24"/>
  <c r="R142" i="24"/>
  <c r="R141" i="24"/>
  <c r="R140" i="24"/>
  <c r="R139" i="24"/>
  <c r="R138" i="24"/>
  <c r="R137" i="24"/>
  <c r="R136" i="24"/>
  <c r="R135" i="24"/>
  <c r="R134" i="24"/>
  <c r="R133" i="24"/>
  <c r="R132" i="24"/>
  <c r="R131" i="24"/>
  <c r="R130" i="24"/>
  <c r="R129" i="24"/>
  <c r="R128" i="24"/>
  <c r="R127" i="24"/>
  <c r="R126" i="24"/>
  <c r="R125" i="24"/>
  <c r="R124" i="24"/>
  <c r="R123" i="24"/>
  <c r="R122" i="24"/>
  <c r="R121" i="24"/>
  <c r="R120" i="24"/>
  <c r="R119" i="24"/>
  <c r="R118" i="24"/>
  <c r="R117" i="24"/>
  <c r="R116" i="24"/>
  <c r="R115" i="24"/>
  <c r="R114" i="24"/>
  <c r="R113" i="24"/>
  <c r="R112" i="24"/>
  <c r="R111" i="24"/>
  <c r="R110" i="24"/>
  <c r="R109" i="24"/>
  <c r="R108" i="24"/>
  <c r="R107" i="24"/>
  <c r="R106" i="24"/>
  <c r="R105" i="24"/>
  <c r="R104" i="24"/>
  <c r="R103" i="24"/>
  <c r="R102" i="24"/>
  <c r="R101" i="24"/>
  <c r="R100" i="24"/>
  <c r="R99" i="24"/>
  <c r="R98" i="24"/>
  <c r="R97" i="24"/>
  <c r="R96" i="24"/>
  <c r="R95" i="24"/>
  <c r="R94" i="24"/>
  <c r="R93" i="24"/>
  <c r="R92" i="24"/>
  <c r="R91" i="24"/>
  <c r="R90" i="24"/>
  <c r="R89" i="24"/>
  <c r="R88" i="24"/>
  <c r="R87" i="24"/>
  <c r="R86" i="24"/>
  <c r="R85" i="24"/>
  <c r="R84" i="24"/>
  <c r="R83" i="24"/>
  <c r="R82" i="24"/>
  <c r="R81" i="24"/>
  <c r="R80" i="24"/>
  <c r="R79" i="24"/>
  <c r="R78" i="24"/>
  <c r="R77" i="24"/>
  <c r="R76" i="24"/>
  <c r="R75" i="24"/>
  <c r="R74" i="24"/>
  <c r="R73" i="24"/>
  <c r="R72" i="24"/>
  <c r="R71" i="24"/>
  <c r="R70" i="24"/>
  <c r="R69" i="24"/>
  <c r="R68" i="24"/>
  <c r="R67" i="24"/>
  <c r="R66" i="24"/>
  <c r="R65" i="24"/>
  <c r="R64" i="24"/>
  <c r="R63" i="24"/>
  <c r="R62" i="24"/>
  <c r="R61" i="24"/>
  <c r="R60" i="24"/>
  <c r="R59" i="24"/>
  <c r="R58" i="24"/>
  <c r="R57" i="24"/>
  <c r="R56" i="24"/>
  <c r="R55" i="24"/>
  <c r="R54" i="24"/>
  <c r="R53" i="24"/>
  <c r="R52" i="24"/>
  <c r="R51" i="24"/>
  <c r="R50" i="24"/>
  <c r="R49" i="24"/>
  <c r="R48" i="24"/>
  <c r="R47" i="24"/>
  <c r="R46" i="24"/>
  <c r="R45" i="24"/>
  <c r="R44" i="24"/>
  <c r="R43" i="24"/>
  <c r="R42" i="24"/>
  <c r="R41" i="24"/>
  <c r="R40" i="24"/>
  <c r="R39" i="24"/>
  <c r="R38" i="24"/>
  <c r="R37" i="24"/>
  <c r="R36" i="24"/>
  <c r="R35" i="24"/>
  <c r="R34" i="24"/>
  <c r="R33" i="24"/>
  <c r="R32" i="24"/>
  <c r="R31" i="24"/>
  <c r="R30" i="24"/>
  <c r="R29" i="24"/>
  <c r="R28" i="24"/>
  <c r="R27" i="24"/>
  <c r="R26" i="24"/>
  <c r="R25" i="24"/>
  <c r="R24" i="24"/>
  <c r="R23" i="24"/>
  <c r="R22" i="24"/>
  <c r="R21" i="24"/>
  <c r="R20" i="24"/>
  <c r="R19" i="24"/>
  <c r="R18" i="24"/>
  <c r="R17" i="24"/>
  <c r="R16" i="24"/>
  <c r="R15" i="24"/>
  <c r="R14" i="24"/>
  <c r="R13" i="24"/>
  <c r="R12" i="24"/>
  <c r="R11" i="24"/>
  <c r="R10" i="24"/>
  <c r="R9" i="24"/>
  <c r="R8" i="24"/>
  <c r="R7" i="24"/>
  <c r="R6" i="24"/>
  <c r="R5" i="24"/>
  <c r="R4" i="24"/>
  <c r="R3" i="24"/>
  <c r="R2" i="24"/>
  <c r="R291"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Vasileios Vlastaras</author>
  </authors>
  <commentList>
    <comment ref="O16" authorId="0" shapeId="0" xr:uid="{9B8536B7-00D2-42D1-AC26-F09A10B18BC0}">
      <text>
        <r>
          <rPr>
            <sz val="11"/>
            <color theme="1"/>
            <rFont val="Calibri"/>
            <family val="2"/>
            <scheme val="minor"/>
          </rPr>
          <t xml:space="preserve">Vasileios Vlastaras:
</t>
        </r>
      </text>
    </comment>
  </commentList>
</comments>
</file>

<file path=xl/sharedStrings.xml><?xml version="1.0" encoding="utf-8"?>
<sst xmlns="http://schemas.openxmlformats.org/spreadsheetml/2006/main" count="15779" uniqueCount="4449">
  <si>
    <t>LayerId</t>
  </si>
  <si>
    <t>TreeviewOrder</t>
  </si>
  <si>
    <t>RelativeLayerOrder</t>
  </si>
  <si>
    <t>RendererId</t>
  </si>
  <si>
    <t>IsIncluded</t>
  </si>
  <si>
    <t>IsMultiSelect</t>
  </si>
  <si>
    <t>Domain</t>
  </si>
  <si>
    <t>Path</t>
  </si>
  <si>
    <t>LayerLabel</t>
  </si>
  <si>
    <t>PathInfoId</t>
  </si>
  <si>
    <t>LayerInfoId</t>
  </si>
  <si>
    <t>GdbFc</t>
  </si>
  <si>
    <t>Field</t>
  </si>
  <si>
    <t>IdentifyFields</t>
  </si>
  <si>
    <t>ExcelField</t>
  </si>
  <si>
    <t>SldField</t>
  </si>
  <si>
    <t>UseDefaultRenderer</t>
  </si>
  <si>
    <t>Flood</t>
  </si>
  <si>
    <t>Neighbourhood Flood Vulnerability Index</t>
  </si>
  <si>
    <t>UK_LSOA_2011_Flood_Data_CJ_R02</t>
  </si>
  <si>
    <t>NFVI</t>
  </si>
  <si>
    <t>nfvi</t>
  </si>
  <si>
    <t>Susceptibility</t>
  </si>
  <si>
    <t>NFVI_Susceptibility</t>
  </si>
  <si>
    <t>nfvi_susce</t>
  </si>
  <si>
    <t>Susceptibility  &gt;&gt;&gt;  Age</t>
  </si>
  <si>
    <t>Vulnerability due to age</t>
  </si>
  <si>
    <t>VulnerabilityDueToAge</t>
  </si>
  <si>
    <t>age</t>
  </si>
  <si>
    <t>Young children (% people under 5 years)</t>
  </si>
  <si>
    <t>YoungChildren</t>
  </si>
  <si>
    <t>under5</t>
  </si>
  <si>
    <t>Older people (% people over 75 years)</t>
  </si>
  <si>
    <t>PeopleOver75</t>
  </si>
  <si>
    <t>over75</t>
  </si>
  <si>
    <t>Susceptibility  &gt;&gt;&gt;  Health</t>
  </si>
  <si>
    <t>Vulnerability due to health</t>
  </si>
  <si>
    <t>VulnerabilityDueToHealth</t>
  </si>
  <si>
    <t>ill_health,dis_illHealth???</t>
  </si>
  <si>
    <t>Disability / people in ill-health (% people whose day-to-day activities are limited)</t>
  </si>
  <si>
    <t>PeopleWithIllHealth</t>
  </si>
  <si>
    <t>illd2d</t>
  </si>
  <si>
    <t>% households with at least one person with long term limiting illness</t>
  </si>
  <si>
    <t>LongTermIllness_HH</t>
  </si>
  <si>
    <t>llti</t>
  </si>
  <si>
    <t>Inability to prepare</t>
  </si>
  <si>
    <t>NFVI_InabilityToPrepare</t>
  </si>
  <si>
    <t>nfvi_prep</t>
  </si>
  <si>
    <t>Inability to prepare  &gt;&gt;&gt;  Income</t>
  </si>
  <si>
    <t>Vulnerability due to income</t>
  </si>
  <si>
    <t>VulnerabilityDueToIncome</t>
  </si>
  <si>
    <t>incom</t>
  </si>
  <si>
    <t>% Unemployed</t>
  </si>
  <si>
    <t>Unemployed</t>
  </si>
  <si>
    <t>unemp</t>
  </si>
  <si>
    <t>Long-term unemployed (% who are LTU or who have never worked)</t>
  </si>
  <si>
    <t>LongTermUnemployed</t>
  </si>
  <si>
    <t>i2,LTunemp</t>
  </si>
  <si>
    <t>Low income occupations (% in routine or semi- routine occupations)</t>
  </si>
  <si>
    <t>LowIncomeOccupations</t>
  </si>
  <si>
    <t>lowIncome</t>
  </si>
  <si>
    <t>Households with dependent children and no adults in employment (%)</t>
  </si>
  <si>
    <t>DependentChildren_Unemployed_HH</t>
  </si>
  <si>
    <t>depChild</t>
  </si>
  <si>
    <t>Income deprivation index</t>
  </si>
  <si>
    <t>IncomeDeprivationIndex</t>
  </si>
  <si>
    <t>incDepInd</t>
  </si>
  <si>
    <t>Inability to prepare  &gt;&gt;&gt;  Information use</t>
  </si>
  <si>
    <t>Vulnerability due to issues of information use</t>
  </si>
  <si>
    <t>VulnerabilityDueToInfo</t>
  </si>
  <si>
    <t>info_index??</t>
  </si>
  <si>
    <t>Recent arrivals to UK (% people with &lt;1 yr residency coming from outside UK)</t>
  </si>
  <si>
    <t>ArrivalsInUK</t>
  </si>
  <si>
    <t>arrivalsUK</t>
  </si>
  <si>
    <t>Level of proficiency in English (%)</t>
  </si>
  <si>
    <t>EnglishProficiency</t>
  </si>
  <si>
    <t>engLang</t>
  </si>
  <si>
    <t>Inability to prepare  &gt;&gt;&gt;  Local knowledge</t>
  </si>
  <si>
    <t>Vulnerability due to lack of local knowledge</t>
  </si>
  <si>
    <t>VulnerabilityDueToKnowledge</t>
  </si>
  <si>
    <t>localKnow</t>
  </si>
  <si>
    <t>- New migrants from outside local area (%)</t>
  </si>
  <si>
    <t>NewMigrants</t>
  </si>
  <si>
    <t>migrants</t>
  </si>
  <si>
    <t>Inability to prepare  &gt;&gt;&gt;  Property tenure</t>
  </si>
  <si>
    <t>Vulnerability due to property tenure</t>
  </si>
  <si>
    <t>VulnerabilityDueToPropertyTenur</t>
  </si>
  <si>
    <t>tenure</t>
  </si>
  <si>
    <t>Private renters (% Households)</t>
  </si>
  <si>
    <t>PrivateRenters_HH</t>
  </si>
  <si>
    <t>t1,privRent</t>
  </si>
  <si>
    <t>Social renters (% Households renting from Social or Council landlords)</t>
  </si>
  <si>
    <t>SocialRenters_HH</t>
  </si>
  <si>
    <t>socialRent</t>
  </si>
  <si>
    <t>Inability to respond</t>
  </si>
  <si>
    <t>NFVI_InabilityToRespond</t>
  </si>
  <si>
    <t>respond</t>
  </si>
  <si>
    <t>Inability to respond  &gt;&gt;&gt;  Income</t>
  </si>
  <si>
    <t>Inability to respond  &gt;&gt;&gt;  Information use</t>
  </si>
  <si>
    <t>Inability to respond  &gt;&gt;&gt;  Local knowledge</t>
  </si>
  <si>
    <t>Inability to respond  &gt;&gt;&gt;  Physical mobility</t>
  </si>
  <si>
    <t>Vulnerability due to lack of physical mobility</t>
  </si>
  <si>
    <t>VulnerabilityDueToPhysMobility</t>
  </si>
  <si>
    <t>physMobil</t>
  </si>
  <si>
    <t>High levels of disability (% of population who are disabled)</t>
  </si>
  <si>
    <t>PopulationDisabled</t>
  </si>
  <si>
    <t>disabled</t>
  </si>
  <si>
    <t>% people living in medical and care establishments</t>
  </si>
  <si>
    <t>PeopleLivingInMedicalCare</t>
  </si>
  <si>
    <t>medCare</t>
  </si>
  <si>
    <t>Lack of private transport (% households with no car or van)</t>
  </si>
  <si>
    <t>LackOfPrivateTransport</t>
  </si>
  <si>
    <t>noCar</t>
  </si>
  <si>
    <t>Inability to respond  &gt;&gt;&gt;  Crime</t>
  </si>
  <si>
    <t>Vulnerability due to crime</t>
  </si>
  <si>
    <t>VulnerabilityDueToCrime</t>
  </si>
  <si>
    <t>crimeIndex</t>
  </si>
  <si>
    <t>Crime index (IMD)</t>
  </si>
  <si>
    <t>IMD_Crime</t>
  </si>
  <si>
    <t>crimeIMD</t>
  </si>
  <si>
    <t>Inability to recover</t>
  </si>
  <si>
    <t>NFVI_InabilityToRecover</t>
  </si>
  <si>
    <t>recover</t>
  </si>
  <si>
    <t>Inability to recover  &gt;&gt;&gt;  Income</t>
  </si>
  <si>
    <t>Inability to recover  &gt;&gt;&gt;  Information use</t>
  </si>
  <si>
    <t>Inability to recover  &gt;&gt;&gt;  Physical mobility</t>
  </si>
  <si>
    <t>Community support</t>
  </si>
  <si>
    <t>Lack of community support</t>
  </si>
  <si>
    <t>NFVI_LackOfCommunitySupport</t>
  </si>
  <si>
    <t>nfvi_comm</t>
  </si>
  <si>
    <t>Community support  &gt;&gt;&gt;  Housing characteristics</t>
  </si>
  <si>
    <t>Vulnerability due to housing characteristics</t>
  </si>
  <si>
    <t>VulnerabilityDueToHousing</t>
  </si>
  <si>
    <t>housingCha</t>
  </si>
  <si>
    <t>% caravan or other mobile or temporary structures in all households</t>
  </si>
  <si>
    <t>Caravan_HH</t>
  </si>
  <si>
    <t>caravan</t>
  </si>
  <si>
    <t>Community support  &gt;&gt;&gt;  Direct flood experience</t>
  </si>
  <si>
    <t>Number of properties within historical flood boundary</t>
  </si>
  <si>
    <t>-1,14</t>
  </si>
  <si>
    <t>PropsExposedToHistoricalFlood</t>
  </si>
  <si>
    <t>flood</t>
  </si>
  <si>
    <t>Community support  &gt;&gt;&gt;  Service availability</t>
  </si>
  <si>
    <t>Vulnerability due to exposure of services to flooding</t>
  </si>
  <si>
    <t>-1,15</t>
  </si>
  <si>
    <t>ServicesExposedToFlooding</t>
  </si>
  <si>
    <t>serv_flood</t>
  </si>
  <si>
    <t>% of emergency services exposed to flooding</t>
  </si>
  <si>
    <t>EmergencyServicesExposedToFlood</t>
  </si>
  <si>
    <t>emergServ</t>
  </si>
  <si>
    <t>% no. of care homes exposed to flooding</t>
  </si>
  <si>
    <t>CareHomesExposedToFlooding</t>
  </si>
  <si>
    <t>careHome</t>
  </si>
  <si>
    <t>% no. of GP surgeries exposed to flooding</t>
  </si>
  <si>
    <t>GPsExposedToFlooding</t>
  </si>
  <si>
    <t>gpFlood</t>
  </si>
  <si>
    <t>% no. of schools exposed to flooding</t>
  </si>
  <si>
    <t>SchoolsExposedToFlooding</t>
  </si>
  <si>
    <t>eduFlood</t>
  </si>
  <si>
    <t>Community support  &gt;&gt;&gt;  Social networks</t>
  </si>
  <si>
    <t>Vulnerability due to lack of social networks</t>
  </si>
  <si>
    <t>-1,16</t>
  </si>
  <si>
    <t>VulnerabilityDueToSocialNetwork</t>
  </si>
  <si>
    <t>social</t>
  </si>
  <si>
    <t>% single-pensioner households</t>
  </si>
  <si>
    <t>SinglePensioner_HH</t>
  </si>
  <si>
    <t>pensioner</t>
  </si>
  <si>
    <t>% lone-parent households with dependent children</t>
  </si>
  <si>
    <t>LoneParentDependentChildren_HH</t>
  </si>
  <si>
    <t>n2</t>
  </si>
  <si>
    <t>% children of primary school age (4-11) in the population</t>
  </si>
  <si>
    <t>Children_4_11</t>
  </si>
  <si>
    <t>age4_11</t>
  </si>
  <si>
    <t>Social Flood Risk Index &gt;&gt;&gt; River &amp; Coastal  &gt;&gt;&gt;  Group</t>
  </si>
  <si>
    <t>Present day</t>
  </si>
  <si>
    <t>17,-1,-1</t>
  </si>
  <si>
    <t>SFRI_PresentDay_RC_G</t>
  </si>
  <si>
    <t>present_da</t>
  </si>
  <si>
    <t>Future 2050s 2℃ scenario</t>
  </si>
  <si>
    <t>SFRI_2050s_2Deg_RC_G</t>
  </si>
  <si>
    <t>future_205</t>
  </si>
  <si>
    <t>Future 2050s 4℃ scenario</t>
  </si>
  <si>
    <t>SFRI_2050s_4Deg_RC_G</t>
  </si>
  <si>
    <t>future_207</t>
  </si>
  <si>
    <t>Social Flood Risk Index &gt;&gt;&gt; River &amp; Coastal  &gt;&gt;&gt;  Individual</t>
  </si>
  <si>
    <t>SFRI_PresentDay_RC_I</t>
  </si>
  <si>
    <t>present_1x</t>
  </si>
  <si>
    <t>SFRI_2050s_2Deg_RC_I</t>
  </si>
  <si>
    <t>future_213</t>
  </si>
  <si>
    <t>SFRI_2050s_4Deg_RC_I</t>
  </si>
  <si>
    <t>future_214</t>
  </si>
  <si>
    <t>Social Flood Risk Index &gt;&gt;&gt; Surface water  &gt;&gt;&gt;  Group</t>
  </si>
  <si>
    <t>SFRI_PresentDay_SW_G</t>
  </si>
  <si>
    <t>present__2</t>
  </si>
  <si>
    <t>Social Flood Risk Index &gt;&gt;&gt; Surface water &gt;&gt;&gt; Group</t>
  </si>
  <si>
    <t>SFRI_2050s_2Deg_SW_G</t>
  </si>
  <si>
    <t>future_209</t>
  </si>
  <si>
    <t>SFRI_2050s_4Deg_SW_G</t>
  </si>
  <si>
    <t>future_211</t>
  </si>
  <si>
    <t>Social Flood Risk Index &gt;&gt;&gt; Surface water &gt;&gt;&gt; Individual</t>
  </si>
  <si>
    <t>SFRI_PresentDay_SW_I</t>
  </si>
  <si>
    <t>present_3x</t>
  </si>
  <si>
    <t>SFRI_2050s_2Deg_SW_I</t>
  </si>
  <si>
    <t>future_215</t>
  </si>
  <si>
    <t>SFRI_2050s_4Deg_SW_I</t>
  </si>
  <si>
    <t>future_216</t>
  </si>
  <si>
    <t>Heat</t>
  </si>
  <si>
    <t xml:space="preserve"> heat exposure (2018) - New  &gt;&gt;&gt;  Summer average temperature (℃)  &gt;&gt;&gt;  Low emissions  &gt;&gt;&gt;  2020</t>
  </si>
  <si>
    <t>Low estimate (10th Percentile)</t>
  </si>
  <si>
    <t>18,-1,-1,-1</t>
  </si>
  <si>
    <t>UK_Grid_UKCP18_CJ_Thin_R02</t>
  </si>
  <si>
    <t>tas_rcp26_2019_10p</t>
  </si>
  <si>
    <t>tas_rcp26_2019_10p,z_all_rel_tas_rcp26_2019_10p</t>
  </si>
  <si>
    <t>Central estimate (50th Percentile)</t>
  </si>
  <si>
    <t>tas_rcp26_2019_50p</t>
  </si>
  <si>
    <t>tas_rcp26_2019_50p,z_all_rel_tas_rcp26_2019_50p</t>
  </si>
  <si>
    <t>High estimate (90th Percentile)</t>
  </si>
  <si>
    <t>tas_rcp26_2019_90p</t>
  </si>
  <si>
    <t>tas_rcp26_2019_90p,z_all_rel_tas_rcp26_2019_90p</t>
  </si>
  <si>
    <t xml:space="preserve"> heat exposure (2018) - New  &gt;&gt;&gt;  Summer average temperature (℃)  &gt;&gt;&gt;  Low emissions  &gt;&gt;&gt;  2030</t>
  </si>
  <si>
    <t>UK_Grid_UKCP18_CJ</t>
  </si>
  <si>
    <t>tas_rcp26_2029_10p</t>
  </si>
  <si>
    <t>tas_rcp26_2029_10p,z_all_rel_tas_rcp26_2029_10p</t>
  </si>
  <si>
    <t>tas_rcp26_2029_50p</t>
  </si>
  <si>
    <t>tas_rcp26_2029_50p,z_all_rel_tas_rcp26_2029_50p</t>
  </si>
  <si>
    <t>tas_rcp26_2029_90p</t>
  </si>
  <si>
    <t>tas_rcp26_2029_90p,z_all_rel_tas_rcp26_2029_90p</t>
  </si>
  <si>
    <t xml:space="preserve"> heat exposure (2018) - New  &gt;&gt;&gt;  Summer average temperature (℃)  &gt;&gt;&gt;  Low emissions  &gt;&gt;&gt;  2040</t>
  </si>
  <si>
    <t>tas_rcp26_2039_10p</t>
  </si>
  <si>
    <t>tas_rcp26_2039_10p,z_all_rel_tas_rcp26_2039_10p</t>
  </si>
  <si>
    <t>tas_rcp26_2039_50p</t>
  </si>
  <si>
    <t>tas_rcp26_2039_50p,z_all_rel_tas_rcp26_2039_50p</t>
  </si>
  <si>
    <t>tas_rcp26_2039_90p</t>
  </si>
  <si>
    <t>tas_rcp26_2039_90p,z_all_rel_tas_rcp26_2039_90p</t>
  </si>
  <si>
    <t xml:space="preserve"> heat exposure (2018) - New  &gt;&gt;&gt;  Summer average temperature (℃)  &gt;&gt;&gt;  Low emissions  &gt;&gt;&gt;  2050</t>
  </si>
  <si>
    <t>tas_rcp26_2049_10p</t>
  </si>
  <si>
    <t>tas_rcp26_2049_10p,z_all_rel_tas_rcp26_2049_10p</t>
  </si>
  <si>
    <t>tas_rcp26_2049_50p</t>
  </si>
  <si>
    <t>tas_rcp26_2049_50p,z_all_rel_tas_rcp26_2049_50p</t>
  </si>
  <si>
    <t>tas_rcp26_2049_90p</t>
  </si>
  <si>
    <t>tas_rcp26_2049_90p,z_all_rel_tas_rcp26_2049_90p</t>
  </si>
  <si>
    <t xml:space="preserve"> heat exposure (2018) - New  &gt;&gt;&gt;  Summer average temperature (℃)  &gt;&gt;&gt;  Low emissions  &gt;&gt;&gt;  2060</t>
  </si>
  <si>
    <t>tas_rcp26_2059_10p</t>
  </si>
  <si>
    <t>tas_rcp26_2059_10p,z_all_rel_tas_rcp26_2059_10p</t>
  </si>
  <si>
    <t>tas_rcp26_2059_50p</t>
  </si>
  <si>
    <t>tas_rcp26_2059_50p,z_all_rel_tas_rcp26_2059_50p</t>
  </si>
  <si>
    <t>tas_rcp26_2059_90p</t>
  </si>
  <si>
    <t>tas_rcp26_2059_90p,z_all_rel_tas_rcp26_2059_90p</t>
  </si>
  <si>
    <t xml:space="preserve"> heat exposure (2018) - New  &gt;&gt;&gt;  Summer average temperature (℃)  &gt;&gt;&gt;  Low emissions  &gt;&gt;&gt;  2070</t>
  </si>
  <si>
    <t>tas_rcp26_2069_10p</t>
  </si>
  <si>
    <t>tas_rcp26_2069_10p,z_all_rel_tas_rcp26_2069_10p</t>
  </si>
  <si>
    <t>tas_rcp26_2069_50p</t>
  </si>
  <si>
    <t>tas_rcp26_2069_50p,z_all_rel_tas_rcp26_2069_50p</t>
  </si>
  <si>
    <t>tas_rcp26_2069_90p</t>
  </si>
  <si>
    <t>tas_rcp26_2069_90p,z_all_rel_tas_rcp26_2069_90p</t>
  </si>
  <si>
    <t xml:space="preserve"> heat exposure (2018) - New  &gt;&gt;&gt;  Summer average temperature (℃)  &gt;&gt;&gt;  Low emissions  &gt;&gt;&gt;  2080</t>
  </si>
  <si>
    <t>tas_rcp26_2079_10p</t>
  </si>
  <si>
    <t>tas_rcp26_2079_10p,z_all_rel_tas_rcp26_2079_10p</t>
  </si>
  <si>
    <t>tas_rcp26_2079_50p</t>
  </si>
  <si>
    <t>tas_rcp26_2079_50p,z_all_rel_tas_rcp26_2079_50p</t>
  </si>
  <si>
    <t>tas_rcp26_2079_90p</t>
  </si>
  <si>
    <t>tas_rcp26_2079_90p,z_all_rel_tas_rcp26_2079_90p</t>
  </si>
  <si>
    <t xml:space="preserve"> heat exposure (2018) - New  &gt;&gt;&gt;  Summer average temperature (℃)  &gt;&gt;&gt;  Low emissions  &gt;&gt;&gt;  2090</t>
  </si>
  <si>
    <t>tas_rcp26_2089_10p</t>
  </si>
  <si>
    <t>tas_rcp26_2089_10p,z_all_rel_tas_rcp26_2089_10p</t>
  </si>
  <si>
    <t>tas_rcp26_2089_50p</t>
  </si>
  <si>
    <t>tas_rcp26_2089_50p,z_all_rel_tas_rcp26_2089_50p</t>
  </si>
  <si>
    <t>tas_rcp26_2089_90p</t>
  </si>
  <si>
    <t>tas_rcp26_2089_90p,z_all_rel_tas_rcp26_2089_90p</t>
  </si>
  <si>
    <t xml:space="preserve"> heat exposure (2018) - New  &gt;&gt;&gt;  Summer average temperature (℃)  &gt;&gt;&gt;  Moderate emissions  &gt;&gt;&gt;  2020</t>
  </si>
  <si>
    <t>tas_rcp45_2019_10p</t>
  </si>
  <si>
    <t>tas_rcp45_2019_10p,z_all_rel_tas_rcp45_2019_10p</t>
  </si>
  <si>
    <t>Central estimate (50th Percentile) RECOMMENDED</t>
  </si>
  <si>
    <t>tas_rcp45_2019_50p</t>
  </si>
  <si>
    <t>tas_rcp45_2019_50p,z_all_rel_tas_rcp45_2019_50p</t>
  </si>
  <si>
    <t>tas_rcp45_2019_90p</t>
  </si>
  <si>
    <t>tas_rcp45_2019_90p,z_all_rel_tas_rcp45_2019_90p</t>
  </si>
  <si>
    <t xml:space="preserve"> heat exposure (2018) - New  &gt;&gt;&gt;  Summer average temperature (℃)  &gt;&gt;&gt;  Moderate emissions  &gt;&gt;&gt;  2030</t>
  </si>
  <si>
    <t>tas_rcp45_2029_10p</t>
  </si>
  <si>
    <t>tas_rcp45_2029_10p,z_all_rel_tas_rcp45_2029_10p</t>
  </si>
  <si>
    <t>tas_rcp45_2029_50p</t>
  </si>
  <si>
    <t>tas_rcp45_2029_50p,z_all_rel_tas_rcp45_2029_50p</t>
  </si>
  <si>
    <t>tas_rcp45_2029_90p</t>
  </si>
  <si>
    <t>tas_rcp45_2029_90p,z_all_rel_tas_rcp45_2029_90p</t>
  </si>
  <si>
    <t xml:space="preserve"> heat exposure (2018) - New  &gt;&gt;&gt;  Summer average temperature (℃)  &gt;&gt;&gt;  Moderate emissions  &gt;&gt;&gt;  2040</t>
  </si>
  <si>
    <t>tas_rcp45_2039_10p</t>
  </si>
  <si>
    <t>tas_rcp45_2039_10p,z_all_rel_tas_rcp45_2039_10p</t>
  </si>
  <si>
    <t>tas_rcp45_2039_50p</t>
  </si>
  <si>
    <t>tas_rcp45_2039_50p,z_all_rel_tas_rcp45_2039_50p</t>
  </si>
  <si>
    <t>tas_rcp45_2039_90p</t>
  </si>
  <si>
    <t>tas_rcp45_2039_90p,z_all_rel_tas_rcp45_2039_90p</t>
  </si>
  <si>
    <t xml:space="preserve"> heat exposure (2018) - New  &gt;&gt;&gt;  Summer average temperature (℃)  &gt;&gt;&gt;  Moderate emissions  &gt;&gt;&gt;  2050</t>
  </si>
  <si>
    <t>tas_rcp45_2049_10p</t>
  </si>
  <si>
    <t>tas_rcp45_2049_10p,z_all_rel_tas_rcp45_2049_10p</t>
  </si>
  <si>
    <t>tas_rcp45_2049_50p</t>
  </si>
  <si>
    <t>tas_rcp45_2049_50p,z_all_rel_tas_rcp45_2049_50p</t>
  </si>
  <si>
    <t>tas_rcp45_2049_90p</t>
  </si>
  <si>
    <t>tas_rcp45_2049_90p,z_all_rel_tas_rcp45_2049_90p</t>
  </si>
  <si>
    <t xml:space="preserve"> heat exposure (2018) - New  &gt;&gt;&gt;  Summer average temperature (℃)  &gt;&gt;&gt;  Moderate emissions  &gt;&gt;&gt;  2060</t>
  </si>
  <si>
    <t>tas_rcp45_2059_10p</t>
  </si>
  <si>
    <t>tas_rcp45_2059_10p,z_all_rel_tas_rcp45_2059_10p</t>
  </si>
  <si>
    <t>tas_rcp45_2059_50p</t>
  </si>
  <si>
    <t>tas_rcp45_2059_50p,z_all_rel_tas_rcp45_2059_50p</t>
  </si>
  <si>
    <t>tas_rcp45_2059_90p</t>
  </si>
  <si>
    <t>tas_rcp45_2059_90p,z_all_rel_tas_rcp45_2059_90p</t>
  </si>
  <si>
    <t xml:space="preserve"> heat exposure (2018) - New  &gt;&gt;&gt;  Summer average temperature (℃)  &gt;&gt;&gt;  Moderate emissions  &gt;&gt;&gt;  2070</t>
  </si>
  <si>
    <t>tas_rcp45_2069_10p</t>
  </si>
  <si>
    <t>tas_rcp45_2069_10p,z_all_rel_tas_rcp45_2069_10p</t>
  </si>
  <si>
    <t>tas_rcp45_2069_50p</t>
  </si>
  <si>
    <t>tas_rcp45_2069_50p,z_all_rel_tas_rcp45_2069_50p</t>
  </si>
  <si>
    <t>tas_rcp45_2069_90p</t>
  </si>
  <si>
    <t>tas_rcp45_2069_90p,z_all_rel_tas_rcp45_2069_90p</t>
  </si>
  <si>
    <t xml:space="preserve"> heat exposure (2018) - New  &gt;&gt;&gt;  Summer average temperature (℃)  &gt;&gt;&gt;  Moderate emissions  &gt;&gt;&gt;  2080</t>
  </si>
  <si>
    <t>tas_rcp45_2079_10p</t>
  </si>
  <si>
    <t>tas_rcp45_2079_10p,z_all_rel_tas_rcp45_2079_10p</t>
  </si>
  <si>
    <t>tas_rcp45_2079_50p</t>
  </si>
  <si>
    <t>tas_rcp45_2079_50p,z_all_rel_tas_rcp45_2079_50p</t>
  </si>
  <si>
    <t>tas_rcp45_2079_90p</t>
  </si>
  <si>
    <t>tas_rcp45_2079_90p,z_all_rel_tas_rcp45_2079_90p</t>
  </si>
  <si>
    <t xml:space="preserve"> heat exposure (2018) - New  &gt;&gt;&gt;  Summer average temperature (℃)  &gt;&gt;&gt;  Moderate emissions  &gt;&gt;&gt;  2090</t>
  </si>
  <si>
    <t>tas_rcp45_2089_10p</t>
  </si>
  <si>
    <t>tas_rcp45_2089_10p,z_all_rel_tas_rcp45_2089_10p</t>
  </si>
  <si>
    <t>tas_rcp45_2089_50p</t>
  </si>
  <si>
    <t>tas_rcp45_2089_50p,z_all_rel_tas_rcp45_2089_50p</t>
  </si>
  <si>
    <t>tas_rcp45_2089_90p</t>
  </si>
  <si>
    <t>tas_rcp45_2089_90p,z_all_rel_tas_rcp45_2089_90p</t>
  </si>
  <si>
    <t xml:space="preserve"> heat exposure (2018) - New  &gt;&gt;&gt;  Summer average temperature (℃)  &gt;&gt;&gt;  High emissions  &gt;&gt;&gt;  2020</t>
  </si>
  <si>
    <t>tas_rcp60_2019_10p</t>
  </si>
  <si>
    <t>tas_rcp60_2019_10p,z_all_rel_tas_rcp60_2019_10p</t>
  </si>
  <si>
    <t>tas_rcp60_2019_50p</t>
  </si>
  <si>
    <t>tas_rcp60_2019_50p,z_all_rel_tas_rcp60_2019_50p</t>
  </si>
  <si>
    <t>tas_rcp60_2019_90p</t>
  </si>
  <si>
    <t>tas_rcp60_2019_90p,z_all_rel_tas_rcp60_2019_90p</t>
  </si>
  <si>
    <t xml:space="preserve"> heat exposure (2018) - New  &gt;&gt;&gt;  Summer average temperature (℃)  &gt;&gt;&gt;  High emissions  &gt;&gt;&gt;  2030</t>
  </si>
  <si>
    <t>tas_rcp60_2029_10p</t>
  </si>
  <si>
    <t>tas_rcp60_2029_10p,z_all_rel_tas_rcp60_2029_10p</t>
  </si>
  <si>
    <t>tas_rcp60_2029_50p</t>
  </si>
  <si>
    <t>tas_rcp60_2029_50p,z_all_rel_tas_rcp60_2029_50p</t>
  </si>
  <si>
    <t>tas_rcp60_2029_90p</t>
  </si>
  <si>
    <t>tas_rcp60_2029_90p,z_all_rel_tas_rcp60_2029_90p</t>
  </si>
  <si>
    <t xml:space="preserve"> heat exposure (2018) - New  &gt;&gt;&gt;  Summer average temperature (℃)  &gt;&gt;&gt;  High emissions  &gt;&gt;&gt;  2040</t>
  </si>
  <si>
    <t>tas_rcp60_2039_10p</t>
  </si>
  <si>
    <t>tas_rcp60_2039_10p,z_all_rel_tas_rcp60_2039_10p</t>
  </si>
  <si>
    <t>tas_rcp60_2039_50p</t>
  </si>
  <si>
    <t>tas_rcp60_2039_50p,z_all_rel_tas_rcp60_2039_50p</t>
  </si>
  <si>
    <t>tas_rcp60_2039_90p</t>
  </si>
  <si>
    <t>tas_rcp60_2039_90p,z_all_rel_tas_rcp60_2039_90p</t>
  </si>
  <si>
    <t xml:space="preserve"> heat exposure (2018) - New  &gt;&gt;&gt;  Summer average temperature (℃)  &gt;&gt;&gt;  High emissions  &gt;&gt;&gt;  2050</t>
  </si>
  <si>
    <t>tas_rcp60_2049_10p</t>
  </si>
  <si>
    <t>tas_rcp60_2049_10p,z_all_rel_tas_rcp60_2049_10p</t>
  </si>
  <si>
    <t>tas_rcp60_2049_50p</t>
  </si>
  <si>
    <t>tas_rcp60_2049_50p,z_all_rel_tas_rcp60_2049_50p</t>
  </si>
  <si>
    <t>tas_rcp60_2049_90p</t>
  </si>
  <si>
    <t>tas_rcp60_2049_90p,z_all_rel_tas_rcp60_2049_90p</t>
  </si>
  <si>
    <t xml:space="preserve"> heat exposure (2018) - New  &gt;&gt;&gt;  Summer average temperature (℃)  &gt;&gt;&gt;  High emissions  &gt;&gt;&gt;  2060</t>
  </si>
  <si>
    <t>tas_rcp60_2059_10p</t>
  </si>
  <si>
    <t>tas_rcp60_2059_10p,z_all_rel_tas_rcp60_2059_10p</t>
  </si>
  <si>
    <t>tas_rcp60_2059_50p</t>
  </si>
  <si>
    <t>tas_rcp60_2059_50p,z_all_rel_tas_rcp60_2059_50p</t>
  </si>
  <si>
    <t>tas_rcp60_2059_90p</t>
  </si>
  <si>
    <t>tas_rcp60_2059_90p,z_all_rel_tas_rcp60_2059_90p</t>
  </si>
  <si>
    <t xml:space="preserve"> heat exposure (2018) - New  &gt;&gt;&gt;  Summer average temperature (℃)  &gt;&gt;&gt;  High emissions  &gt;&gt;&gt;  2070</t>
  </si>
  <si>
    <t>tas_rcp60_2069_10p</t>
  </si>
  <si>
    <t>tas_rcp60_2069_10p,z_all_rel_tas_rcp60_2069_10p</t>
  </si>
  <si>
    <t>tas_rcp60_2069_50p</t>
  </si>
  <si>
    <t>tas_rcp60_2069_50p,z_all_rel_tas_rcp60_2069_50p</t>
  </si>
  <si>
    <t>tas_rcp60_2069_90p</t>
  </si>
  <si>
    <t>tas_rcp60_2069_90p,z_all_rel_tas_rcp60_2069_90p</t>
  </si>
  <si>
    <t xml:space="preserve"> heat exposure (2018) - New  &gt;&gt;&gt;  Summer average temperature (℃)  &gt;&gt;&gt;  High emissions  &gt;&gt;&gt;  2080</t>
  </si>
  <si>
    <t>tas_rcp60_2079_10p</t>
  </si>
  <si>
    <t>tas_rcp60_2079_10p,z_all_rel_tas_rcp60_2079_10p</t>
  </si>
  <si>
    <t>tas_rcp60_2079_50p</t>
  </si>
  <si>
    <t>tas_rcp60_2079_50p,z_all_rel_tas_rcp60_2079_50p</t>
  </si>
  <si>
    <t>tas_rcp60_2079_90p</t>
  </si>
  <si>
    <t>tas_rcp60_2079_90p,z_all_rel_tas_rcp60_2079_90p</t>
  </si>
  <si>
    <t xml:space="preserve"> heat exposure (2018) - New  &gt;&gt;&gt;  Summer average temperature (℃)  &gt;&gt;&gt;  High emissions  &gt;&gt;&gt;  2090</t>
  </si>
  <si>
    <t>tas_rcp60_2089_10p</t>
  </si>
  <si>
    <t>tas_rcp60_2089_10p,z_all_rel_tas_rcp60_2089_10p</t>
  </si>
  <si>
    <t>tas_rcp60_2089_50p</t>
  </si>
  <si>
    <t>tas_rcp60_2089_50p,z_all_rel_tas_rcp60_2089_50p</t>
  </si>
  <si>
    <t>tas_rcp60_2089_90p</t>
  </si>
  <si>
    <t>tas_rcp60_2089_90p,z_all_rel_tas_rcp60_2089_90p</t>
  </si>
  <si>
    <t xml:space="preserve"> heat exposure (2018) - New  &gt;&gt;&gt;  Summer average temperature (℃)  &gt;&gt;&gt;  Very high emissions  &gt;&gt;&gt;  2020</t>
  </si>
  <si>
    <t>tas_rcp85_2019_10p</t>
  </si>
  <si>
    <t>tas_rcp85_2019_10p,z_all_rel_tas_rcp85_2019_10p</t>
  </si>
  <si>
    <t>tas_rcp85_2019_50p</t>
  </si>
  <si>
    <t>tas_rcp85_2019_50p,z_all_rel_tas_rcp85_2019_50p</t>
  </si>
  <si>
    <t>tas_rcp85_2019_90p</t>
  </si>
  <si>
    <t>tas_rcp85_2019_90p,z_all_rel_tas_rcp85_2019_90p</t>
  </si>
  <si>
    <t xml:space="preserve"> heat exposure (2018) - New  &gt;&gt;&gt;  Summer average temperature (℃)  &gt;&gt;&gt;  Very high emissions  &gt;&gt;&gt;  2030</t>
  </si>
  <si>
    <t>tas_rcp85_2029_10p</t>
  </si>
  <si>
    <t>tas_rcp85_2029_10p,z_all_rel_tas_rcp85_2029_10p</t>
  </si>
  <si>
    <t>tas_rcp85_2029_50p</t>
  </si>
  <si>
    <t>tas_rcp85_2029_50p,z_all_rel_tas_rcp85_2029_50p</t>
  </si>
  <si>
    <t>tas_rcp85_2029_90p</t>
  </si>
  <si>
    <t>tas_rcp85_2029_90p,z_all_rel_tas_rcp85_2029_90p</t>
  </si>
  <si>
    <t xml:space="preserve"> heat exposure (2018) - New  &gt;&gt;&gt;  Summer average temperature (℃)  &gt;&gt;&gt;  Very high emissions  &gt;&gt;&gt;  2040</t>
  </si>
  <si>
    <t>tas_rcp85_2039_10p</t>
  </si>
  <si>
    <t>tas_rcp85_2039_10p,z_all_rel_tas_rcp85_2039_10p</t>
  </si>
  <si>
    <t>tas_rcp85_2039_50p</t>
  </si>
  <si>
    <t>tas_rcp85_2039_50p,z_all_rel_tas_rcp85_2039_50p</t>
  </si>
  <si>
    <t>tas_rcp85_2039_90p</t>
  </si>
  <si>
    <t>tas_rcp85_2039_90p,z_all_rel_tas_rcp85_2039_90p</t>
  </si>
  <si>
    <t xml:space="preserve"> heat exposure (2018) - New  &gt;&gt;&gt;  Summer average temperature (℃)  &gt;&gt;&gt;  Very high emissions  &gt;&gt;&gt;  2050</t>
  </si>
  <si>
    <t>tas_rcp85_2049_10p</t>
  </si>
  <si>
    <t>tas_rcp85_2049_10p,z_all_rel_tas_rcp85_2049_10p</t>
  </si>
  <si>
    <t>tas_rcp85_2049_50p</t>
  </si>
  <si>
    <t>tas_rcp85_2049_50p,z_all_rel_tas_rcp85_2049_50p</t>
  </si>
  <si>
    <t>tas_rcp85_2049_90p</t>
  </si>
  <si>
    <t>tas_rcp85_2049_90p,z_all_rel_tas_rcp85_2049_90p</t>
  </si>
  <si>
    <t xml:space="preserve"> heat exposure (2018) - New  &gt;&gt;&gt;  Summer average temperature (℃)  &gt;&gt;&gt;  Very high emissions  &gt;&gt;&gt;  2060</t>
  </si>
  <si>
    <t>tas_rcp85_2059_10p</t>
  </si>
  <si>
    <t>tas_rcp85_2059_10p,z_all_rel_tas_rcp85_2059_10p</t>
  </si>
  <si>
    <t>tas_rcp85_2059_50p</t>
  </si>
  <si>
    <t>tas_rcp85_2059_50p,z_all_rel_tas_rcp85_2059_50p</t>
  </si>
  <si>
    <t>tas_rcp85_2059_90p</t>
  </si>
  <si>
    <t>tas_rcp85_2059_90p,z_all_rel_tas_rcp85_2059_90p</t>
  </si>
  <si>
    <t xml:space="preserve"> heat exposure (2018) - New  &gt;&gt;&gt;  Summer average temperature (℃)  &gt;&gt;&gt;  Very high emissions  &gt;&gt;&gt;  2070</t>
  </si>
  <si>
    <t>tas_rcp85_2069_10p</t>
  </si>
  <si>
    <t>tas_rcp85_2069_10p,z_all_rel_tas_rcp85_2069_10p</t>
  </si>
  <si>
    <t>tas_rcp85_2069_50p</t>
  </si>
  <si>
    <t>tas_rcp85_2069_50p,z_all_rel_tas_rcp85_2069_50p</t>
  </si>
  <si>
    <t>tas_rcp85_2069_90p</t>
  </si>
  <si>
    <t>tas_rcp85_2069_90p,z_all_rel_tas_rcp85_2069_90p</t>
  </si>
  <si>
    <t xml:space="preserve"> heat exposure (2018) - New  &gt;&gt;&gt;  Summer average temperature (℃)  &gt;&gt;&gt;  Very high emissions  &gt;&gt;&gt;  2080</t>
  </si>
  <si>
    <t>tas_rcp85_2079_10p</t>
  </si>
  <si>
    <t>tas_rcp85_2079_10p,z_all_rel_tas_rcp85_2079_10p</t>
  </si>
  <si>
    <t>tas_rcp85_2079_50p</t>
  </si>
  <si>
    <t>tas_rcp85_2079_50p,z_all_rel_tas_rcp85_2079_50p</t>
  </si>
  <si>
    <t>tas_rcp85_2079_90p</t>
  </si>
  <si>
    <t>tas_rcp85_2079_90p,z_all_rel_tas_rcp85_2079_90p</t>
  </si>
  <si>
    <t xml:space="preserve"> heat exposure (2018) - New  &gt;&gt;&gt;  Summer average temperature (℃)  &gt;&gt;&gt;  Very high emissions  &gt;&gt;&gt;  2090</t>
  </si>
  <si>
    <t>tas_rcp85_2089_10p</t>
  </si>
  <si>
    <t>tas_rcp85_2089_10p,z_all_rel_tas_rcp85_2089_10p</t>
  </si>
  <si>
    <t>tas_rcp85_2089_50p</t>
  </si>
  <si>
    <t>tas_rcp85_2089_50p,z_all_rel_tas_rcp85_2089_50p</t>
  </si>
  <si>
    <t>tas_rcp85_2089_90p</t>
  </si>
  <si>
    <t>tas_rcp85_2089_90p,z_all_rel_tas_rcp85_2089_90p</t>
  </si>
  <si>
    <t xml:space="preserve"> heat exposure (2018) - New  &gt;&gt;&gt;  Summer average maximum temperature (℃)  &gt;&gt;&gt;  Low emissions  &gt;&gt;&gt;  2020</t>
  </si>
  <si>
    <t>tasmax_rcp26_2019_10p</t>
  </si>
  <si>
    <t>tasmax_rcp26_2019_10p,z_all_rel_tasmax_rcp26_2019_10p</t>
  </si>
  <si>
    <t>tasmax_rcp26_2019_50p</t>
  </si>
  <si>
    <t>tasmax_rcp26_2019_50p,z_all_rel_tasmax_rcp26_2019_50p</t>
  </si>
  <si>
    <t>tasmax_rcp26_2019_90p</t>
  </si>
  <si>
    <t>tasmax_rcp26_2019_90p,z_all_rel_tasmax_rcp26_2019_90p</t>
  </si>
  <si>
    <t xml:space="preserve"> heat exposure (2018) - New  &gt;&gt;&gt;  Summer average maximum temperature (℃)  &gt;&gt;&gt;  Low emissions  &gt;&gt;&gt;  2030</t>
  </si>
  <si>
    <t>tasmax_rcp26_2029_10p</t>
  </si>
  <si>
    <t>tasmax_rcp26_2029_10p,z_all_rel_tasmax_rcp26_2029_10p</t>
  </si>
  <si>
    <t>tasmax_rcp26_2029_50p</t>
  </si>
  <si>
    <t>tasmax_rcp26_2029_50p,z_all_rel_tasmax_rcp26_2029_50p</t>
  </si>
  <si>
    <t>tasmax_rcp26_2029_90p</t>
  </si>
  <si>
    <t>tasmax_rcp26_2029_90p,z_all_rel_tasmax_rcp26_2029_90p</t>
  </si>
  <si>
    <t xml:space="preserve"> heat exposure (2018) - New  &gt;&gt;&gt;  Summer average maximum temperature (℃)  &gt;&gt;&gt;  Low emissions  &gt;&gt;&gt;  2040</t>
  </si>
  <si>
    <t>tasmax_rcp26_2039_10p</t>
  </si>
  <si>
    <t>tasmax_rcp26_2039_10p,z_all_rel_tasmax_rcp26_2039_10p</t>
  </si>
  <si>
    <t>tasmax_rcp26_2039_50p</t>
  </si>
  <si>
    <t>tasmax_rcp26_2039_50p,z_all_rel_tasmax_rcp26_2039_50p</t>
  </si>
  <si>
    <t>tasmax_rcp26_2039_90p</t>
  </si>
  <si>
    <t>tasmax_rcp26_2039_90p,z_all_rel_tasmax_rcp26_2039_90p</t>
  </si>
  <si>
    <t xml:space="preserve"> heat exposure (2018) - New  &gt;&gt;&gt;  Summer average maximum temperature (℃)  &gt;&gt;&gt;  Low emissions  &gt;&gt;&gt;  2050</t>
  </si>
  <si>
    <t>tasmax_rcp26_2049_10p</t>
  </si>
  <si>
    <t>tasmax_rcp26_2049_10p,z_all_rel_tasmax_rcp26_2049_10p</t>
  </si>
  <si>
    <t>tasmax_rcp26_2049_50p</t>
  </si>
  <si>
    <t>tasmax_rcp26_2049_50p,z_all_rel_tasmax_rcp26_2049_50p</t>
  </si>
  <si>
    <t>tasmax_rcp26_2049_90p</t>
  </si>
  <si>
    <t>tasmax_rcp26_2049_90p,z_all_rel_tasmax_rcp26_2049_90p</t>
  </si>
  <si>
    <t xml:space="preserve"> heat exposure (2018) - New  &gt;&gt;&gt;  Summer average maximum temperature (℃)  &gt;&gt;&gt;  Low emissions  &gt;&gt;&gt;  2060</t>
  </si>
  <si>
    <t>tasmax_rcp26_2059_10p</t>
  </si>
  <si>
    <t>tasmax_rcp26_2059_10p,z_all_rel_tasmax_rcp26_2059_10p</t>
  </si>
  <si>
    <t>tasmax_rcp26_2059_50p</t>
  </si>
  <si>
    <t>tasmax_rcp26_2059_50p,z_all_rel_tasmax_rcp26_2059_50p</t>
  </si>
  <si>
    <t>tasmax_rcp26_2059_90p</t>
  </si>
  <si>
    <t>tasmax_rcp26_2059_90p,z_all_rel_tasmax_rcp26_2059_90p</t>
  </si>
  <si>
    <t xml:space="preserve"> heat exposure (2018) - New  &gt;&gt;&gt;  Summer average maximum temperature (℃)  &gt;&gt;&gt;  Low emissions  &gt;&gt;&gt;  2070</t>
  </si>
  <si>
    <t>tasmax_rcp26_2069_10p</t>
  </si>
  <si>
    <t>tasmax_rcp26_2069_10p,z_all_rel_tasmax_rcp26_2069_10p</t>
  </si>
  <si>
    <t>tasmax_rcp26_2069_50p</t>
  </si>
  <si>
    <t>tasmax_rcp26_2069_50p,z_all_rel_tasmax_rcp26_2069_50p</t>
  </si>
  <si>
    <t>tasmax_rcp26_2069_90p</t>
  </si>
  <si>
    <t>tasmax_rcp26_2069_90p,z_all_rel_tasmax_rcp26_2069_90p</t>
  </si>
  <si>
    <t xml:space="preserve"> heat exposure (2018) - New  &gt;&gt;&gt;  Summer average maximum temperature (℃)  &gt;&gt;&gt;  Low emissions  &gt;&gt;&gt;  2080</t>
  </si>
  <si>
    <t>tasmax_rcp26_2079_10p</t>
  </si>
  <si>
    <t>tasmax_rcp26_2079_10p,z_all_rel_tasmax_rcp26_2079_10p</t>
  </si>
  <si>
    <t>tasmax_rcp26_2079_50p</t>
  </si>
  <si>
    <t>tasmax_rcp26_2079_50p,z_all_rel_tasmax_rcp26_2079_50p</t>
  </si>
  <si>
    <t>tasmax_rcp26_2079_90p</t>
  </si>
  <si>
    <t>tasmax_rcp26_2079_90p,z_all_rel_tasmax_rcp26_2079_90p</t>
  </si>
  <si>
    <t xml:space="preserve"> heat exposure (2018) - New  &gt;&gt;&gt;  Summer average maximum temperature (℃)  &gt;&gt;&gt;  Low emissions  &gt;&gt;&gt;  2090</t>
  </si>
  <si>
    <t>tasmax_rcp26_2089_10p</t>
  </si>
  <si>
    <t>tasmax_rcp26_2089_10p,z_all_rel_tasmax_rcp26_2089_10p</t>
  </si>
  <si>
    <t>tasmax_rcp26_2089_50p</t>
  </si>
  <si>
    <t>tasmax_rcp26_2089_50p,z_all_rel_tasmax_rcp26_2089_50p</t>
  </si>
  <si>
    <t>tasmax_rcp26_2089_90p</t>
  </si>
  <si>
    <t>tasmax_rcp26_2089_90p,z_all_rel_tasmax_rcp26_2089_90p</t>
  </si>
  <si>
    <t xml:space="preserve"> heat exposure (2018) - New  &gt;&gt;&gt;  Summer average maximum temperature (℃)  &gt;&gt;&gt;  Moderate emissions  &gt;&gt;&gt;  2020</t>
  </si>
  <si>
    <t>tasmax_rcp45_2019_10p</t>
  </si>
  <si>
    <t>tasmax_rcp45_2019_10p,z_all_rel_tasmax_rcp45_2019_10p</t>
  </si>
  <si>
    <t>tasmax_rcp45_2019_50p</t>
  </si>
  <si>
    <t>tasmax_rcp45_2019_50p,z_all_rel_tasmax_rcp45_2019_50p</t>
  </si>
  <si>
    <t>tasmax_rcp45_2019_90p</t>
  </si>
  <si>
    <t>tasmax_rcp45_2019_90p,z_all_rel_tasmax_rcp45_2019_90p</t>
  </si>
  <si>
    <t xml:space="preserve"> heat exposure (2018) - New  &gt;&gt;&gt;  Summer average maximum temperature (℃)  &gt;&gt;&gt;  Moderate emissions  &gt;&gt;&gt;  2030</t>
  </si>
  <si>
    <t>tasmax_rcp45_2029_10p</t>
  </si>
  <si>
    <t>tasmax_rcp45_2029_10p,z_all_rel_tasmax_rcp45_2029_10p</t>
  </si>
  <si>
    <t xml:space="preserve">Central estimate (50th Percentile) </t>
  </si>
  <si>
    <t>tasmax_rcp45_2029_50p</t>
  </si>
  <si>
    <t>tasmax_rcp45_2029_50p,z_all_rel_tasmax_rcp45_2029_50p</t>
  </si>
  <si>
    <t>tasmax_rcp45_2029_90p</t>
  </si>
  <si>
    <t>tasmax_rcp45_2029_90p,z_all_rel_tasmax_rcp45_2029_90p</t>
  </si>
  <si>
    <t xml:space="preserve"> heat exposure (2018) - New  &gt;&gt;&gt;  Summer average maximum temperature (℃)  &gt;&gt;&gt;  Moderate emissions  &gt;&gt;&gt;  2040</t>
  </si>
  <si>
    <t>tasmax_rcp45_2039_10p</t>
  </si>
  <si>
    <t>tasmax_rcp45_2039_10p,z_all_rel_tasmax_rcp45_2039_10p</t>
  </si>
  <si>
    <t>tasmax_rcp45_2039_50p</t>
  </si>
  <si>
    <t>tasmax_rcp45_2039_50p,z_all_rel_tasmax_rcp45_2039_50p</t>
  </si>
  <si>
    <t>tasmax_rcp45_2039_90p</t>
  </si>
  <si>
    <t>tasmax_rcp45_2039_90p,z_all_rel_tasmax_rcp45_2039_90p</t>
  </si>
  <si>
    <t xml:space="preserve"> heat exposure (2018) - New  &gt;&gt;&gt;  Summer average maximum temperature (℃)  &gt;&gt;&gt;  Moderate emissions  &gt;&gt;&gt;  2050</t>
  </si>
  <si>
    <t>tasmax_rcp45_2049_10p</t>
  </si>
  <si>
    <t>tasmax_rcp45_2049_10p,z_all_rel_tasmax_rcp45_2049_10p</t>
  </si>
  <si>
    <t>tasmax_rcp45_2049_50p</t>
  </si>
  <si>
    <t>tasmax_rcp45_2049_50p,z_all_rel_tasmax_rcp45_2049_50p</t>
  </si>
  <si>
    <t>tasmax_rcp45_2049_90p</t>
  </si>
  <si>
    <t>tasmax_rcp45_2049_90p,z_all_rel_tasmax_rcp45_2049_90p</t>
  </si>
  <si>
    <t xml:space="preserve"> heat exposure (2018) - New  &gt;&gt;&gt;  Summer average maximum temperature (℃)  &gt;&gt;&gt;  Moderate emissions  &gt;&gt;&gt;  2060</t>
  </si>
  <si>
    <t>tasmax_rcp45_2059_10p</t>
  </si>
  <si>
    <t>tasmax_rcp45_2059_10p,z_all_rel_tasmax_rcp45_2059_10p</t>
  </si>
  <si>
    <t>tasmax_rcp45_2059_50p</t>
  </si>
  <si>
    <t>tasmax_rcp45_2059_50p,z_all_rel_tasmax_rcp45_2059_50p</t>
  </si>
  <si>
    <t>tasmax_rcp45_2059_90p</t>
  </si>
  <si>
    <t>tasmax_rcp45_2059_90p,z_all_rel_tasmax_rcp45_2059_90p</t>
  </si>
  <si>
    <t xml:space="preserve"> heat exposure (2018) - New  &gt;&gt;&gt;  Summer average maximum temperature (℃)  &gt;&gt;&gt;  Moderate emissions  &gt;&gt;&gt;  2070</t>
  </si>
  <si>
    <t>tasmax_rcp45_2069_10p</t>
  </si>
  <si>
    <t>tasmax_rcp45_2069_10p,z_all_rel_tasmax_rcp45_2069_10p</t>
  </si>
  <si>
    <t>tasmax_rcp45_2069_50p</t>
  </si>
  <si>
    <t>tasmax_rcp45_2069_50p,z_all_rel_tasmax_rcp45_2069_50p</t>
  </si>
  <si>
    <t>tasmax_rcp45_2069_90p</t>
  </si>
  <si>
    <t>tasmax_rcp45_2069_90p,z_all_rel_tasmax_rcp45_2069_90p</t>
  </si>
  <si>
    <t xml:space="preserve"> heat exposure (2018) - New  &gt;&gt;&gt;  Summer average maximum temperature (℃)  &gt;&gt;&gt;  Moderate emissions  &gt;&gt;&gt;  2080</t>
  </si>
  <si>
    <t>tasmax_rcp45_2079_10p</t>
  </si>
  <si>
    <t>tasmax_rcp45_2079_10p,z_all_rel_tasmax_rcp45_2079_10p</t>
  </si>
  <si>
    <t>tasmax_rcp45_2079_50p</t>
  </si>
  <si>
    <t>tasmax_rcp45_2079_50p,z_all_rel_tasmax_rcp45_2079_50p</t>
  </si>
  <si>
    <t>tasmax_rcp45_2079_90p</t>
  </si>
  <si>
    <t>tasmax_rcp45_2079_90p,z_all_rel_tasmax_rcp45_2079_90p</t>
  </si>
  <si>
    <t xml:space="preserve"> heat exposure (2018) - New  &gt;&gt;&gt;  Summer average maximum temperature (℃)  &gt;&gt;&gt;  Moderate emissions  &gt;&gt;&gt;  2090</t>
  </si>
  <si>
    <t>tasmax_rcp45_2089_10p</t>
  </si>
  <si>
    <t>tasmax_rcp45_2089_10p,z_all_rel_tasmax_rcp45_2089_10p</t>
  </si>
  <si>
    <t>tasmax_rcp45_2089_50p</t>
  </si>
  <si>
    <t>tasmax_rcp45_2089_50p,z_all_rel_tasmax_rcp45_2089_50p</t>
  </si>
  <si>
    <t>tasmax_rcp45_2089_90p</t>
  </si>
  <si>
    <t>tasmax_rcp45_2089_90p,z_all_rel_tasmax_rcp45_2089_90p</t>
  </si>
  <si>
    <t xml:space="preserve"> heat exposure (2018) - New  &gt;&gt;&gt;  Summer average maximum temperature (℃)  &gt;&gt;&gt;  High emissions  &gt;&gt;&gt;  2020</t>
  </si>
  <si>
    <t>tasmax_rcp60_2019_10p</t>
  </si>
  <si>
    <t>tasmax_rcp60_2019_10p,z_all_rel_tasmax_rcp60_2019_10p</t>
  </si>
  <si>
    <t>tasmax_rcp60_2019_50p</t>
  </si>
  <si>
    <t>tasmax_rcp60_2019_50p,z_all_rel_tasmax_rcp60_2019_50p</t>
  </si>
  <si>
    <t>tasmax_rcp60_2019_90p</t>
  </si>
  <si>
    <t>tasmax_rcp60_2019_90p,z_all_rel_tasmax_rcp60_2019_90p</t>
  </si>
  <si>
    <t xml:space="preserve"> heat exposure (2018) - New  &gt;&gt;&gt;  Summer average maximum temperature (℃)  &gt;&gt;&gt;  High emissions  &gt;&gt;&gt;  2030</t>
  </si>
  <si>
    <t>tasmax_rcp60_2029_10p</t>
  </si>
  <si>
    <t>tasmax_rcp60_2029_10p,z_all_rel_tasmax_rcp60_2029_10p</t>
  </si>
  <si>
    <t>tasmax_rcp60_2029_50p</t>
  </si>
  <si>
    <t>tasmax_rcp60_2029_50p,z_all_rel_tasmax_rcp60_2029_50p</t>
  </si>
  <si>
    <t>tasmax_rcp60_2029_90p</t>
  </si>
  <si>
    <t>tasmax_rcp60_2029_90p,z_all_rel_tasmax_rcp60_2029_90p</t>
  </si>
  <si>
    <t xml:space="preserve"> heat exposure (2018) - New  &gt;&gt;&gt;  Summer average maximum temperature (℃)  &gt;&gt;&gt;  High emissions  &gt;&gt;&gt;  2040</t>
  </si>
  <si>
    <t>tasmax_rcp60_2039_10p</t>
  </si>
  <si>
    <t>tasmax_rcp60_2039_10p,z_all_rel_tasmax_rcp60_2039_10p</t>
  </si>
  <si>
    <t>tasmax_rcp60_2039_50p</t>
  </si>
  <si>
    <t>tasmax_rcp60_2039_50p,z_all_rel_tasmax_rcp60_2039_50p</t>
  </si>
  <si>
    <t>tasmax_rcp60_2039_90p</t>
  </si>
  <si>
    <t>tasmax_rcp60_2039_90p,z_all_rel_tasmax_rcp60_2039_90p</t>
  </si>
  <si>
    <t xml:space="preserve"> heat exposure (2018) - New  &gt;&gt;&gt;  Summer average maximum temperature (℃)  &gt;&gt;&gt;  High emissions  &gt;&gt;&gt;  2050</t>
  </si>
  <si>
    <t>tasmax_rcp60_2049_10p</t>
  </si>
  <si>
    <t>tasmax_rcp60_2049_10p,z_all_rel_tasmax_rcp60_2049_10p</t>
  </si>
  <si>
    <t>tasmax_rcp60_2049_50p</t>
  </si>
  <si>
    <t>tasmax_rcp60_2049_50p,z_all_rel_tasmax_rcp60_2049_50p</t>
  </si>
  <si>
    <t>tasmax_rcp60_2049_90p</t>
  </si>
  <si>
    <t>tasmax_rcp60_2049_90p,z_all_rel_tasmax_rcp60_2049_90p</t>
  </si>
  <si>
    <t xml:space="preserve"> heat exposure (2018) - New  &gt;&gt;&gt;  Summer average maximum temperature (℃)  &gt;&gt;&gt;  High emissions  &gt;&gt;&gt;  2060</t>
  </si>
  <si>
    <t>tasmax_rcp60_2059_10p</t>
  </si>
  <si>
    <t>tasmax_rcp60_2059_10p,z_all_rel_tasmax_rcp60_2059_10p</t>
  </si>
  <si>
    <t>tasmax_rcp60_2059_50p</t>
  </si>
  <si>
    <t>tasmax_rcp60_2059_50p,z_all_rel_tasmax_rcp60_2059_50p</t>
  </si>
  <si>
    <t>tasmax_rcp60_2059_90p</t>
  </si>
  <si>
    <t>tasmax_rcp60_2059_90p,z_all_rel_tasmax_rcp60_2059_90p</t>
  </si>
  <si>
    <t xml:space="preserve"> heat exposure (2018) - New  &gt;&gt;&gt;  Summer average maximum temperature (℃)  &gt;&gt;&gt;  High emissions  &gt;&gt;&gt;  2070</t>
  </si>
  <si>
    <t>tasmax_rcp60_2069_10p</t>
  </si>
  <si>
    <t>tasmax_rcp60_2069_10p,z_all_rel_tasmax_rcp60_2069_10p</t>
  </si>
  <si>
    <t>tasmax_rcp60_2069_50p</t>
  </si>
  <si>
    <t>tasmax_rcp60_2069_50p,z_all_rel_tasmax_rcp60_2069_50p</t>
  </si>
  <si>
    <t>tasmax_rcp60_2069_90p</t>
  </si>
  <si>
    <t>tasmax_rcp60_2069_90p,z_all_rel_tasmax_rcp60_2069_90p</t>
  </si>
  <si>
    <t xml:space="preserve"> heat exposure (2018) - New  &gt;&gt;&gt;  Summer average maximum temperature (℃)  &gt;&gt;&gt;  High emissions  &gt;&gt;&gt;  2080</t>
  </si>
  <si>
    <t>tasmax_rcp60_2079_10p</t>
  </si>
  <si>
    <t>tasmax_rcp60_2079_10p,z_all_rel_tasmax_rcp60_2079_10p</t>
  </si>
  <si>
    <t>tasmax_rcp60_2079_50p</t>
  </si>
  <si>
    <t>tasmax_rcp60_2079_50p,z_all_rel_tasmax_rcp60_2079_50p</t>
  </si>
  <si>
    <t>tasmax_rcp60_2079_90p</t>
  </si>
  <si>
    <t>tasmax_rcp60_2079_90p,z_all_rel_tasmax_rcp60_2079_90p</t>
  </si>
  <si>
    <t xml:space="preserve"> heat exposure (2018) - New  &gt;&gt;&gt;  Summer average maximum temperature (℃)  &gt;&gt;&gt;  High emissions  &gt;&gt;&gt;  2090</t>
  </si>
  <si>
    <t>tasmax_rcp60_2089_10p</t>
  </si>
  <si>
    <t>tasmax_rcp60_2089_10p,z_all_rel_tasmax_rcp60_2089_10p</t>
  </si>
  <si>
    <t>tasmax_rcp60_2089_50p</t>
  </si>
  <si>
    <t>tasmax_rcp60_2089_50p,z_all_rel_tasmax_rcp60_2089_50p</t>
  </si>
  <si>
    <t>tasmax_rcp60_2089_90p</t>
  </si>
  <si>
    <t>tasmax_rcp60_2089_90p,z_all_rel_tasmax_rcp60_2089_90p</t>
  </si>
  <si>
    <t xml:space="preserve"> heat exposure (2018) - New  &gt;&gt;&gt;  Summer average maximum temperature (℃)  &gt;&gt;&gt;  Very high emissions  &gt;&gt;&gt;  2020</t>
  </si>
  <si>
    <t>tasmax_rcp85_2019_10p</t>
  </si>
  <si>
    <t>tasmax_rcp85_2019_10p,z_all_rel_tasmax_rcp85_2019_10p</t>
  </si>
  <si>
    <t>tasmax_rcp85_2019_50p</t>
  </si>
  <si>
    <t>tasmax_rcp85_2019_50p,z_all_rel_tasmax_rcp85_2019_50p</t>
  </si>
  <si>
    <t>tasmax_rcp85_2019_90p</t>
  </si>
  <si>
    <t>tasmax_rcp85_2019_90p,z_all_rel_tasmax_rcp85_2019_90p</t>
  </si>
  <si>
    <t xml:space="preserve"> heat exposure (2018) - New  &gt;&gt;&gt;  Summer average maximum temperature (℃)  &gt;&gt;&gt;  Very high emissions  &gt;&gt;&gt;  2030</t>
  </si>
  <si>
    <t>tasmax_rcp85_2029_10p</t>
  </si>
  <si>
    <t>tasmax_rcp85_2029_10p,z_all_rel_tasmax_rcp85_2029_10p</t>
  </si>
  <si>
    <t>tasmax_rcp85_2029_50p</t>
  </si>
  <si>
    <t>tasmax_rcp85_2029_50p,z_all_rel_tasmax_rcp85_2029_50p</t>
  </si>
  <si>
    <t>tasmax_rcp85_2029_90p</t>
  </si>
  <si>
    <t>tasmax_rcp85_2029_90p,z_all_rel_tasmax_rcp85_2029_90p</t>
  </si>
  <si>
    <t xml:space="preserve"> heat exposure (2018) - New  &gt;&gt;&gt;  Summer average maximum temperature (℃)  &gt;&gt;&gt;  Very high emissions  &gt;&gt;&gt;  2040</t>
  </si>
  <si>
    <t>tasmax_rcp85_2039_10p</t>
  </si>
  <si>
    <t>tasmax_rcp85_2039_10p,z_all_rel_tasmax_rcp85_2039_10p</t>
  </si>
  <si>
    <t>tasmax_rcp85_2039_50p</t>
  </si>
  <si>
    <t>tasmax_rcp85_2039_50p,z_all_rel_tasmax_rcp85_2039_50p</t>
  </si>
  <si>
    <t>tasmax_rcp85_2039_90p</t>
  </si>
  <si>
    <t>tasmax_rcp85_2039_90p,z_all_rel_tasmax_rcp85_2039_90p</t>
  </si>
  <si>
    <t xml:space="preserve"> heat exposure (2018) - New  &gt;&gt;&gt;  Summer average maximum temperature (℃)  &gt;&gt;&gt;  Very high emissions  &gt;&gt;&gt;  2050</t>
  </si>
  <si>
    <t>tasmax_rcp85_2049_10p</t>
  </si>
  <si>
    <t>tasmax_rcp85_2049_10p,z_all_rel_tasmax_rcp85_2049_10p</t>
  </si>
  <si>
    <t>tasmax_rcp85_2049_50p</t>
  </si>
  <si>
    <t>tasmax_rcp85_2049_50p,z_all_rel_tasmax_rcp85_2049_50p</t>
  </si>
  <si>
    <t>tasmax_rcp85_2049_90p</t>
  </si>
  <si>
    <t>tasmax_rcp85_2049_90p,z_all_rel_tasmax_rcp85_2049_90p</t>
  </si>
  <si>
    <t xml:space="preserve"> heat exposure (2018) - New  &gt;&gt;&gt;  Summer average maximum temperature (℃)  &gt;&gt;&gt;  Very high emissions  &gt;&gt;&gt;  2060</t>
  </si>
  <si>
    <t>tasmax_rcp85_2059_10p</t>
  </si>
  <si>
    <t>tasmax_rcp85_2059_10p,z_all_rel_tasmax_rcp85_2059_10p</t>
  </si>
  <si>
    <t>tasmax_rcp85_2059_50p</t>
  </si>
  <si>
    <t>tasmax_rcp85_2059_50p,z_all_rel_tasmax_rcp85_2059_50p</t>
  </si>
  <si>
    <t>tasmax_rcp85_2059_90p</t>
  </si>
  <si>
    <t>tasmax_rcp85_2059_90p,z_all_rel_tasmax_rcp85_2059_90p</t>
  </si>
  <si>
    <t xml:space="preserve"> heat exposure (2018) - New  &gt;&gt;&gt;  Summer average maximum temperature (℃)  &gt;&gt;&gt;  Very high emissions  &gt;&gt;&gt;  2070</t>
  </si>
  <si>
    <t>tasmax_rcp85_2069_10p</t>
  </si>
  <si>
    <t>tasmax_rcp85_2069_10p,z_all_rel_tasmax_rcp85_2069_10p</t>
  </si>
  <si>
    <t>tasmax_rcp85_2069_50p</t>
  </si>
  <si>
    <t>tasmax_rcp85_2069_50p,z_all_rel_tasmax_rcp85_2069_50p</t>
  </si>
  <si>
    <t>tasmax_rcp85_2069_90p</t>
  </si>
  <si>
    <t>tasmax_rcp85_2069_90p,z_all_rel_tasmax_rcp85_2069_90p</t>
  </si>
  <si>
    <t xml:space="preserve"> heat exposure (2018) - New  &gt;&gt;&gt;  Summer average maximum temperature (℃)  &gt;&gt;&gt;  Very high emissions  &gt;&gt;&gt;  2080</t>
  </si>
  <si>
    <t>tasmax_rcp85_2079_10p</t>
  </si>
  <si>
    <t>tasmax_rcp85_2079_10p,z_all_rel_tasmax_rcp85_2079_10p</t>
  </si>
  <si>
    <t>tasmax_rcp85_2079_50p</t>
  </si>
  <si>
    <t>tasmax_rcp85_2079_50p,z_all_rel_tasmax_rcp85_2079_50p</t>
  </si>
  <si>
    <t>tasmax_rcp85_2079_90p</t>
  </si>
  <si>
    <t>tasmax_rcp85_2079_90p,z_all_rel_tasmax_rcp85_2079_90p</t>
  </si>
  <si>
    <t xml:space="preserve"> heat exposure (2018) - New  &gt;&gt;&gt;  Summer average maximum temperature (℃)  &gt;&gt;&gt;  Very high emissions  &gt;&gt;&gt;  2090</t>
  </si>
  <si>
    <t>tasmax_rcp85_2089_10p</t>
  </si>
  <si>
    <t>tasmax_rcp85_2089_10p,z_all_rel_tasmax_rcp85_2089_10p</t>
  </si>
  <si>
    <t>tasmax_rcp85_2089_50p</t>
  </si>
  <si>
    <t>tasmax_rcp85_2089_50p,z_all_rel_tasmax_rcp85_2089_50p</t>
  </si>
  <si>
    <t>tasmax_rcp85_2089_90p</t>
  </si>
  <si>
    <t>tasmax_rcp85_2089_90p,z_all_rel_tasmax_rcp85_2089_90p</t>
  </si>
  <si>
    <t xml:space="preserve"> heat exposure (2018) - New  &gt;&gt;&gt;  Summer average temperature (Score)  &gt;&gt;&gt;  Low emissions  &gt;&gt;&gt;  2020</t>
  </si>
  <si>
    <t>z_all_rel_tas_rcp26_2019_10p</t>
  </si>
  <si>
    <t>z_all_rel_tas_rcp26_2019_10p,tas_rcp26_2019_10p</t>
  </si>
  <si>
    <t>z_all_rel_tas_rcp26_2019_50p</t>
  </si>
  <si>
    <t>z_all_rel_tas_rcp26_2019_50p,tas_rcp26_2019_50p</t>
  </si>
  <si>
    <t>z_all_rel_tas_rcp26_2019_90p</t>
  </si>
  <si>
    <t>z_all_rel_tas_rcp26_2019_90p,tas_rcp26_2019_90p</t>
  </si>
  <si>
    <t xml:space="preserve"> heat exposure (2018) - New  &gt;&gt;&gt;  Summer average temperature (Score)  &gt;&gt;&gt;  Low emissions  &gt;&gt;&gt;  2030</t>
  </si>
  <si>
    <t>z_all_rel_tas_rcp26_2029_10p</t>
  </si>
  <si>
    <t>z_all_rel_tas_rcp26_2029_10p,tas_rcp26_2029_10p</t>
  </si>
  <si>
    <t>z_all_rel_tas_rcp26_2029_50p</t>
  </si>
  <si>
    <t>z_all_rel_tas_rcp26_2029_50p,tas_rcp26_2029_50p</t>
  </si>
  <si>
    <t>z_all_rel_tas_rcp26_2029_90p</t>
  </si>
  <si>
    <t>z_all_rel_tas_rcp26_2029_90p,tas_rcp26_2029_90p</t>
  </si>
  <si>
    <t xml:space="preserve"> heat exposure (2018) - New  &gt;&gt;&gt;  Summer average temperature (Score)  &gt;&gt;&gt;  Low emissions  &gt;&gt;&gt;  2040</t>
  </si>
  <si>
    <t>z_all_rel_tas_rcp26_2039_10p</t>
  </si>
  <si>
    <t>z_all_rel_tas_rcp26_2039_10p,tas_rcp26_2039_10p</t>
  </si>
  <si>
    <t>z_all_rel_tas_rcp26_2039_50p</t>
  </si>
  <si>
    <t>z_all_rel_tas_rcp26_2039_50p,tas_rcp26_2039_50p</t>
  </si>
  <si>
    <t>z_all_rel_tas_rcp26_2039_90p</t>
  </si>
  <si>
    <t>z_all_rel_tas_rcp26_2039_90p,tas_rcp26_2039_90p</t>
  </si>
  <si>
    <t xml:space="preserve"> heat exposure (2018) - New  &gt;&gt;&gt;  Summer average temperature (Score)  &gt;&gt;&gt;  Low emissions  &gt;&gt;&gt;  2050</t>
  </si>
  <si>
    <t>z_all_rel_tas_rcp26_2049_10p</t>
  </si>
  <si>
    <t>z_all_rel_tas_rcp26_2049_10p,tas_rcp26_2049_10p</t>
  </si>
  <si>
    <t>z_all_rel_tas_rcp26_2049_50p</t>
  </si>
  <si>
    <t>z_all_rel_tas_rcp26_2049_50p,tas_rcp26_2049_50p</t>
  </si>
  <si>
    <t>z_all_rel_tas_rcp26_2049_90p</t>
  </si>
  <si>
    <t>z_all_rel_tas_rcp26_2049_90p,tas_rcp26_2049_90p</t>
  </si>
  <si>
    <t xml:space="preserve"> heat exposure (2018) - New  &gt;&gt;&gt;  Summer average temperature (Score)  &gt;&gt;&gt;  Low emissions  &gt;&gt;&gt;  2060</t>
  </si>
  <si>
    <t>z_all_rel_tas_rcp26_2059_10p</t>
  </si>
  <si>
    <t>z_all_rel_tas_rcp26_2059_10p,tas_rcp26_2059_10p</t>
  </si>
  <si>
    <t>z_all_rel_tas_rcp26_2059_50p</t>
  </si>
  <si>
    <t>z_all_rel_tas_rcp26_2059_50p,tas_rcp26_2059_50p</t>
  </si>
  <si>
    <t>z_all_rel_tas_rcp26_2059_90p</t>
  </si>
  <si>
    <t>z_all_rel_tas_rcp26_2059_90p,tas_rcp26_2059_90p</t>
  </si>
  <si>
    <t xml:space="preserve"> heat exposure (2018) - New  &gt;&gt;&gt;  Summer average temperature (Score)  &gt;&gt;&gt;  Low emissions  &gt;&gt;&gt;  2070</t>
  </si>
  <si>
    <t>z_all_rel_tas_rcp26_2069_10p</t>
  </si>
  <si>
    <t>z_all_rel_tas_rcp26_2069_10p,tas_rcp26_2069_10p</t>
  </si>
  <si>
    <t>z_all_rel_tas_rcp26_2069_50p</t>
  </si>
  <si>
    <t>z_all_rel_tas_rcp26_2069_50p,tas_rcp26_2069_50p</t>
  </si>
  <si>
    <t>z_all_rel_tas_rcp26_2069_90p</t>
  </si>
  <si>
    <t>z_all_rel_tas_rcp26_2069_90p,tas_rcp26_2069_90p</t>
  </si>
  <si>
    <t xml:space="preserve"> heat exposure (2018) - New  &gt;&gt;&gt;  Summer average temperature (Score)  &gt;&gt;&gt;  Low emissions  &gt;&gt;&gt;  2080</t>
  </si>
  <si>
    <t>z_all_rel_tas_rcp26_2079_10p</t>
  </si>
  <si>
    <t>z_all_rel_tas_rcp26_2079_10p,tas_rcp26_2079_10p</t>
  </si>
  <si>
    <t>z_all_rel_tas_rcp26_2079_50p</t>
  </si>
  <si>
    <t>z_all_rel_tas_rcp26_2079_50p,tas_rcp26_2079_50p</t>
  </si>
  <si>
    <t>z_all_rel_tas_rcp26_2079_90p</t>
  </si>
  <si>
    <t>z_all_rel_tas_rcp26_2079_90p,tas_rcp26_2079_90p</t>
  </si>
  <si>
    <t xml:space="preserve"> heat exposure (2018) - New  &gt;&gt;&gt;  Summer average temperature (Score)  &gt;&gt;&gt;  Low emissions  &gt;&gt;&gt;  2090</t>
  </si>
  <si>
    <t>z_all_rel_tas_rcp26_2089_10p</t>
  </si>
  <si>
    <t>z_all_rel_tas_rcp26_2089_10p,tas_rcp26_2089_10p</t>
  </si>
  <si>
    <t>z_all_rel_tas_rcp26_2089_50p</t>
  </si>
  <si>
    <t>z_all_rel_tas_rcp26_2089_50p,tas_rcp26_2089_50p</t>
  </si>
  <si>
    <t>z_all_rel_tas_rcp26_2089_90p</t>
  </si>
  <si>
    <t>z_all_rel_tas_rcp26_2089_90p,tas_rcp26_2089_90p</t>
  </si>
  <si>
    <t xml:space="preserve"> heat exposure (2018) - New  &gt;&gt;&gt;  Summer average temperature (Score)  &gt;&gt;&gt;  Moderate emissions  &gt;&gt;&gt;  2020</t>
  </si>
  <si>
    <t>z_all_rel_tas_rcp45_2019_10p</t>
  </si>
  <si>
    <t>z_all_rel_tas_rcp45_2019_10p,tas_rcp45_2019_10p</t>
  </si>
  <si>
    <t>z_all_rel_tas_rcp45_2019_50p</t>
  </si>
  <si>
    <t>z_all_rel_tas_rcp45_2019_50p,tas_rcp45_2019_50p</t>
  </si>
  <si>
    <t>z_all_rel_tas_rcp45_2019_90p</t>
  </si>
  <si>
    <t>z_all_rel_tas_rcp45_2019_90p,tas_rcp45_2019_90p</t>
  </si>
  <si>
    <t xml:space="preserve"> heat exposure (2018) - New  &gt;&gt;&gt;  Summer average temperature (Score)  &gt;&gt;&gt;  Moderate emissions  &gt;&gt;&gt;  2030</t>
  </si>
  <si>
    <t>z_all_rel_tas_rcp45_2029_10p</t>
  </si>
  <si>
    <t>z_all_rel_tas_rcp45_2029_10p,tas_rcp45_2029_10p</t>
  </si>
  <si>
    <t>z_all_rel_tas_rcp45_2029_50p</t>
  </si>
  <si>
    <t>z_all_rel_tas_rcp45_2029_50p,tas_rcp45_2029_50p</t>
  </si>
  <si>
    <t>z_all_rel_tas_rcp45_2029_90p</t>
  </si>
  <si>
    <t>z_all_rel_tas_rcp45_2029_90p,tas_rcp45_2029_90p</t>
  </si>
  <si>
    <t xml:space="preserve"> heat exposure (2018) - New  &gt;&gt;&gt;  Summer average temperature (Score)  &gt;&gt;&gt;  Moderate emissions  &gt;&gt;&gt;  2040</t>
  </si>
  <si>
    <t>z_all_rel_tas_rcp45_2039_10p</t>
  </si>
  <si>
    <t>z_all_rel_tas_rcp45_2039_10p,tas_rcp45_2039_10p</t>
  </si>
  <si>
    <t>z_all_rel_tas_rcp45_2039_50p</t>
  </si>
  <si>
    <t>z_all_rel_tas_rcp45_2039_50p,tas_rcp45_2039_50p</t>
  </si>
  <si>
    <t>z_all_rel_tas_rcp45_2039_90p</t>
  </si>
  <si>
    <t>z_all_rel_tas_rcp45_2039_90p,tas_rcp45_2039_90p</t>
  </si>
  <si>
    <t xml:space="preserve"> heat exposure (2018) - New  &gt;&gt;&gt;  Summer average temperature (Score)  &gt;&gt;&gt;  Moderate emissions  &gt;&gt;&gt;  2050</t>
  </si>
  <si>
    <t>z_all_rel_tas_rcp45_2049_10p</t>
  </si>
  <si>
    <t>z_all_rel_tas_rcp45_2049_10p,tas_rcp45_2049_10p</t>
  </si>
  <si>
    <t>z_all_rel_tas_rcp45_2049_50p</t>
  </si>
  <si>
    <t>z_all_rel_tas_rcp45_2049_50p,tas_rcp45_2049_50p</t>
  </si>
  <si>
    <t>z_all_rel_tas_rcp45_2049_90p</t>
  </si>
  <si>
    <t>z_all_rel_tas_rcp45_2049_90p,tas_rcp45_2049_90p</t>
  </si>
  <si>
    <t xml:space="preserve"> heat exposure (2018) - New  &gt;&gt;&gt;  Summer average temperature (Score)  &gt;&gt;&gt;  Moderate emissions  &gt;&gt;&gt;  2060</t>
  </si>
  <si>
    <t>z_all_rel_tas_rcp45_2059_10p</t>
  </si>
  <si>
    <t>z_all_rel_tas_rcp45_2059_10p,tas_rcp45_2059_10p</t>
  </si>
  <si>
    <t>z_all_rel_tas_rcp45_2059_50p</t>
  </si>
  <si>
    <t>z_all_rel_tas_rcp45_2059_50p,tas_rcp45_2059_50p</t>
  </si>
  <si>
    <t>z_all_rel_tas_rcp45_2059_90p</t>
  </si>
  <si>
    <t>z_all_rel_tas_rcp45_2059_90p,tas_rcp45_2059_90p</t>
  </si>
  <si>
    <t xml:space="preserve"> heat exposure (2018) - New  &gt;&gt;&gt;  Summer average temperature (Score)  &gt;&gt;&gt;  Moderate emissions  &gt;&gt;&gt;  2070</t>
  </si>
  <si>
    <t>z_all_rel_tas_rcp45_2069_10p</t>
  </si>
  <si>
    <t>z_all_rel_tas_rcp45_2069_10p,tas_rcp45_2069_10p</t>
  </si>
  <si>
    <t>z_all_rel_tas_rcp45_2069_50p</t>
  </si>
  <si>
    <t>z_all_rel_tas_rcp45_2069_50p,tas_rcp45_2069_50p</t>
  </si>
  <si>
    <t>z_all_rel_tas_rcp45_2069_90p</t>
  </si>
  <si>
    <t>z_all_rel_tas_rcp45_2069_90p,tas_rcp45_2069_90p</t>
  </si>
  <si>
    <t xml:space="preserve"> heat exposure (2018) - New  &gt;&gt;&gt;  Summer average temperature (Score)  &gt;&gt;&gt;  Moderate emissions  &gt;&gt;&gt;  2080</t>
  </si>
  <si>
    <t>z_all_rel_tas_rcp45_2079_10p</t>
  </si>
  <si>
    <t>z_all_rel_tas_rcp45_2079_10p,tas_rcp45_2079_10p</t>
  </si>
  <si>
    <t>z_all_rel_tas_rcp45_2079_50p</t>
  </si>
  <si>
    <t>z_all_rel_tas_rcp45_2079_50p,tas_rcp45_2079_50p</t>
  </si>
  <si>
    <t>z_all_rel_tas_rcp45_2079_90p</t>
  </si>
  <si>
    <t>z_all_rel_tas_rcp45_2079_90p,tas_rcp45_2079_90p</t>
  </si>
  <si>
    <t xml:space="preserve"> heat exposure (2018) - New  &gt;&gt;&gt;  Summer average temperature (Score)  &gt;&gt;&gt;  Moderate emissions  &gt;&gt;&gt;  2090</t>
  </si>
  <si>
    <t>z_all_rel_tas_rcp45_2089_10p</t>
  </si>
  <si>
    <t>z_all_rel_tas_rcp45_2089_10p,tas_rcp45_2089_10p</t>
  </si>
  <si>
    <t>z_all_rel_tas_rcp45_2089_50p</t>
  </si>
  <si>
    <t>z_all_rel_tas_rcp45_2089_50p,tas_rcp45_2089_50p</t>
  </si>
  <si>
    <t>z_all_rel_tas_rcp45_2089_90p</t>
  </si>
  <si>
    <t>z_all_rel_tas_rcp45_2089_90p,tas_rcp45_2089_90p</t>
  </si>
  <si>
    <t xml:space="preserve"> heat exposure (2018) - New  &gt;&gt;&gt;  Summer average temperature (Score)  &gt;&gt;&gt;  High emissions  &gt;&gt;&gt;  2020</t>
  </si>
  <si>
    <t>z_all_rel_tas_rcp60_2019_10p</t>
  </si>
  <si>
    <t>z_all_rel_tas_rcp60_2019_10p,tas_rcp60_2019_10p</t>
  </si>
  <si>
    <t>z_all_rel_tas_rcp60_2019_50p</t>
  </si>
  <si>
    <t>z_all_rel_tas_rcp60_2019_50p,tas_rcp60_2019_50p</t>
  </si>
  <si>
    <t>z_all_rel_tas_rcp60_2019_90p</t>
  </si>
  <si>
    <t>z_all_rel_tas_rcp60_2019_90p,tas_rcp60_2019_90p</t>
  </si>
  <si>
    <t xml:space="preserve"> heat exposure (2018) - New  &gt;&gt;&gt;  Summer average temperature (Score)  &gt;&gt;&gt;  High emissions  &gt;&gt;&gt;  2030</t>
  </si>
  <si>
    <t>z_all_rel_tas_rcp60_2029_10p</t>
  </si>
  <si>
    <t>z_all_rel_tas_rcp60_2029_10p,tas_rcp60_2029_10p</t>
  </si>
  <si>
    <t>z_all_rel_tas_rcp60_2029_50p</t>
  </si>
  <si>
    <t>z_all_rel_tas_rcp60_2029_50p,tas_rcp60_2029_50p</t>
  </si>
  <si>
    <t>z_all_rel_tas_rcp60_2029_90p</t>
  </si>
  <si>
    <t>z_all_rel_tas_rcp60_2029_90p,tas_rcp60_2029_90p</t>
  </si>
  <si>
    <t xml:space="preserve"> heat exposure (2018) - New  &gt;&gt;&gt;  Summer average temperature (Score)  &gt;&gt;&gt;  High emissions  &gt;&gt;&gt;  2040</t>
  </si>
  <si>
    <t>z_all_rel_tas_rcp60_2039_10p</t>
  </si>
  <si>
    <t>z_all_rel_tas_rcp60_2039_10p,tas_rcp60_2039_10p</t>
  </si>
  <si>
    <t>z_all_rel_tas_rcp60_2039_50p</t>
  </si>
  <si>
    <t>z_all_rel_tas_rcp60_2039_50p,tas_rcp60_2039_50p</t>
  </si>
  <si>
    <t>z_all_rel_tas_rcp60_2039_90p</t>
  </si>
  <si>
    <t>z_all_rel_tas_rcp60_2039_90p,tas_rcp60_2039_90p</t>
  </si>
  <si>
    <t xml:space="preserve"> heat exposure (2018) - New  &gt;&gt;&gt;  Summer average temperature (Score)  &gt;&gt;&gt;  High emissions  &gt;&gt;&gt;  2050</t>
  </si>
  <si>
    <t>z_all_rel_tas_rcp60_2049_10p</t>
  </si>
  <si>
    <t>z_all_rel_tas_rcp60_2049_10p,tas_rcp60_2049_10p</t>
  </si>
  <si>
    <t>z_all_rel_tas_rcp60_2049_50p</t>
  </si>
  <si>
    <t>z_all_rel_tas_rcp60_2049_50p,tas_rcp60_2049_50p</t>
  </si>
  <si>
    <t>z_all_rel_tas_rcp60_2049_90p</t>
  </si>
  <si>
    <t>z_all_rel_tas_rcp60_2049_90p,tas_rcp60_2049_90p</t>
  </si>
  <si>
    <t xml:space="preserve"> heat exposure (2018) - New  &gt;&gt;&gt;  Summer average temperature (Score)  &gt;&gt;&gt;  High emissions  &gt;&gt;&gt;  2060</t>
  </si>
  <si>
    <t>z_all_rel_tas_rcp60_2059_10p</t>
  </si>
  <si>
    <t>z_all_rel_tas_rcp60_2059_10p,tas_rcp60_2059_10p</t>
  </si>
  <si>
    <t>z_all_rel_tas_rcp60_2059_50p</t>
  </si>
  <si>
    <t>z_all_rel_tas_rcp60_2059_50p,tas_rcp60_2059_50p</t>
  </si>
  <si>
    <t>z_all_rel_tas_rcp60_2059_90p</t>
  </si>
  <si>
    <t>z_all_rel_tas_rcp60_2059_90p,tas_rcp60_2059_90p</t>
  </si>
  <si>
    <t xml:space="preserve"> heat exposure (2018) - New  &gt;&gt;&gt;  Summer average temperature (Score)  &gt;&gt;&gt;  High emissions  &gt;&gt;&gt;  2070</t>
  </si>
  <si>
    <t>z_all_rel_tas_rcp60_2069_10p</t>
  </si>
  <si>
    <t>z_all_rel_tas_rcp60_2069_10p,tas_rcp60_2069_10p</t>
  </si>
  <si>
    <t>z_all_rel_tas_rcp60_2069_50p</t>
  </si>
  <si>
    <t>z_all_rel_tas_rcp60_2069_50p,tas_rcp60_2069_50p</t>
  </si>
  <si>
    <t>z_all_rel_tas_rcp60_2069_90p</t>
  </si>
  <si>
    <t>z_all_rel_tas_rcp60_2069_90p,tas_rcp60_2069_90p</t>
  </si>
  <si>
    <t xml:space="preserve"> heat exposure (2018) - New  &gt;&gt;&gt;  Summer average temperature (Score)  &gt;&gt;&gt;  High emissions  &gt;&gt;&gt;  2080</t>
  </si>
  <si>
    <t>z_all_rel_tas_rcp60_2079_10p</t>
  </si>
  <si>
    <t>z_all_rel_tas_rcp60_2079_10p,tas_rcp60_2079_10p</t>
  </si>
  <si>
    <t>z_all_rel_tas_rcp60_2079_50p</t>
  </si>
  <si>
    <t>z_all_rel_tas_rcp60_2079_50p,tas_rcp60_2079_50p</t>
  </si>
  <si>
    <t>z_all_rel_tas_rcp60_2079_90p</t>
  </si>
  <si>
    <t>z_all_rel_tas_rcp60_2079_90p,tas_rcp60_2079_90p</t>
  </si>
  <si>
    <t xml:space="preserve"> heat exposure (2018) - New  &gt;&gt;&gt;  Summer average temperature (Score)  &gt;&gt;&gt;  High emissions  &gt;&gt;&gt;  2090</t>
  </si>
  <si>
    <t>z_all_rel_tas_rcp60_2089_10p</t>
  </si>
  <si>
    <t>z_all_rel_tas_rcp60_2089_10p,tas_rcp60_2089_10p</t>
  </si>
  <si>
    <t>z_all_rel_tas_rcp60_2089_50p</t>
  </si>
  <si>
    <t>z_all_rel_tas_rcp60_2089_50p,tas_rcp60_2089_50p</t>
  </si>
  <si>
    <t>z_all_rel_tas_rcp60_2089_90p</t>
  </si>
  <si>
    <t>z_all_rel_tas_rcp60_2089_90p,tas_rcp60_2089_90p</t>
  </si>
  <si>
    <t xml:space="preserve"> heat exposure (2018) - New  &gt;&gt;&gt;  Summer average temperature (Score)  &gt;&gt;&gt;  Very high emissions  &gt;&gt;&gt;  2020</t>
  </si>
  <si>
    <t>z_all_rel_tas_rcp85_2019_10p</t>
  </si>
  <si>
    <t>z_all_rel_tas_rcp85_2019_10p,tas_rcp85_2019_10p</t>
  </si>
  <si>
    <t>z_all_rel_tas_rcp85_2019_50p</t>
  </si>
  <si>
    <t>z_all_rel_tas_rcp85_2019_50p,tas_rcp85_2019_50p</t>
  </si>
  <si>
    <t>z_all_rel_tas_rcp85_2019_90p</t>
  </si>
  <si>
    <t>z_all_rel_tas_rcp85_2019_90p,tas_rcp85_2019_90p</t>
  </si>
  <si>
    <t xml:space="preserve"> heat exposure (2018) - New  &gt;&gt;&gt;  Summer average temperature (Score)  &gt;&gt;&gt;  Very high emissions  &gt;&gt;&gt;  2030</t>
  </si>
  <si>
    <t>z_all_rel_tas_rcp85_2029_10p</t>
  </si>
  <si>
    <t>z_all_rel_tas_rcp85_2029_10p,tas_rcp85_2029_10p</t>
  </si>
  <si>
    <t>z_all_rel_tas_rcp85_2029_50p</t>
  </si>
  <si>
    <t>z_all_rel_tas_rcp85_2029_50p,tas_rcp85_2029_50p</t>
  </si>
  <si>
    <t>z_all_rel_tas_rcp85_2029_90p</t>
  </si>
  <si>
    <t>z_all_rel_tas_rcp85_2029_90p,tas_rcp85_2029_90p</t>
  </si>
  <si>
    <t xml:space="preserve"> heat exposure (2018) - New  &gt;&gt;&gt;  Summer average temperature (Score)  &gt;&gt;&gt;  Very high emissions  &gt;&gt;&gt;  2040</t>
  </si>
  <si>
    <t>z_all_rel_tas_rcp85_2039_10p</t>
  </si>
  <si>
    <t>z_all_rel_tas_rcp85_2039_10p,tas_rcp85_2039_10p</t>
  </si>
  <si>
    <t>z_all_rel_tas_rcp85_2039_50p</t>
  </si>
  <si>
    <t>z_all_rel_tas_rcp85_2039_50p,tas_rcp85_2039_50p</t>
  </si>
  <si>
    <t>z_all_rel_tas_rcp85_2039_90p</t>
  </si>
  <si>
    <t>z_all_rel_tas_rcp85_2039_90p,tas_rcp85_2039_90p</t>
  </si>
  <si>
    <t xml:space="preserve"> heat exposure (2018) - New  &gt;&gt;&gt;  Summer average temperature (Score)  &gt;&gt;&gt;  Very high emissions  &gt;&gt;&gt;  2050</t>
  </si>
  <si>
    <t>z_all_rel_tas_rcp85_2049_10p</t>
  </si>
  <si>
    <t>z_all_rel_tas_rcp85_2049_10p,tas_rcp85_2049_10p</t>
  </si>
  <si>
    <t>z_all_rel_tas_rcp85_2049_50p</t>
  </si>
  <si>
    <t>z_all_rel_tas_rcp85_2049_50p,tas_rcp85_2049_50p</t>
  </si>
  <si>
    <t>z_all_rel_tas_rcp85_2049_90p</t>
  </si>
  <si>
    <t>z_all_rel_tas_rcp85_2049_90p,tas_rcp85_2049_90p</t>
  </si>
  <si>
    <t xml:space="preserve"> heat exposure (2018) - New  &gt;&gt;&gt;  Summer average temperature (Score)  &gt;&gt;&gt;  Very high emissions  &gt;&gt;&gt;  2060</t>
  </si>
  <si>
    <t>z_all_rel_tas_rcp85_2059_10p</t>
  </si>
  <si>
    <t>z_all_rel_tas_rcp85_2059_10p,tas_rcp85_2059_10p</t>
  </si>
  <si>
    <t>z_all_rel_tas_rcp85_2059_50p</t>
  </si>
  <si>
    <t>z_all_rel_tas_rcp85_2059_50p,tas_rcp85_2059_50p</t>
  </si>
  <si>
    <t>z_all_rel_tas_rcp85_2059_90p</t>
  </si>
  <si>
    <t>z_all_rel_tas_rcp85_2059_90p,tas_rcp85_2059_90p</t>
  </si>
  <si>
    <t xml:space="preserve"> heat exposure (2018) - New  &gt;&gt;&gt;  Summer average temperature (Score)  &gt;&gt;&gt;  Very high emissions  &gt;&gt;&gt;  2070</t>
  </si>
  <si>
    <t>z_all_rel_tas_rcp85_2069_10p</t>
  </si>
  <si>
    <t>z_all_rel_tas_rcp85_2069_10p,tas_rcp85_2069_10p</t>
  </si>
  <si>
    <t>z_all_rel_tas_rcp85_2069_50p</t>
  </si>
  <si>
    <t>z_all_rel_tas_rcp85_2069_50p,tas_rcp85_2069_50p</t>
  </si>
  <si>
    <t>z_all_rel_tas_rcp85_2069_90p</t>
  </si>
  <si>
    <t>z_all_rel_tas_rcp85_2069_90p,tas_rcp85_2069_90p</t>
  </si>
  <si>
    <t xml:space="preserve"> heat exposure (2018) - New  &gt;&gt;&gt;  Summer average temperature (Score)  &gt;&gt;&gt;  Very high emissions  &gt;&gt;&gt;  2080</t>
  </si>
  <si>
    <t>z_all_rel_tas_rcp85_2079_10p</t>
  </si>
  <si>
    <t>z_all_rel_tas_rcp85_2079_10p,tas_rcp85_2079_10p</t>
  </si>
  <si>
    <t>z_all_rel_tas_rcp85_2079_50p</t>
  </si>
  <si>
    <t>z_all_rel_tas_rcp85_2079_50p,tas_rcp85_2079_50p</t>
  </si>
  <si>
    <t>z_all_rel_tas_rcp85_2079_90p</t>
  </si>
  <si>
    <t>z_all_rel_tas_rcp85_2079_90p,tas_rcp85_2079_90p</t>
  </si>
  <si>
    <t xml:space="preserve"> heat exposure (2018) - New  &gt;&gt;&gt;  Summer average temperature (Score)  &gt;&gt;&gt;  Very high emissions  &gt;&gt;&gt;  2090</t>
  </si>
  <si>
    <t>z_all_rel_tas_rcp85_2089_10p</t>
  </si>
  <si>
    <t>z_all_rel_tas_rcp85_2089_10p,tas_rcp85_2089_10p</t>
  </si>
  <si>
    <t>z_all_rel_tas_rcp85_2089_50p</t>
  </si>
  <si>
    <t>z_all_rel_tas_rcp85_2089_50p,tas_rcp85_2089_50p</t>
  </si>
  <si>
    <t>z_all_rel_tas_rcp85_2089_90p</t>
  </si>
  <si>
    <t>z_all_rel_tas_rcp85_2089_90p,tas_rcp85_2089_90p</t>
  </si>
  <si>
    <t xml:space="preserve"> heat exposure (2018) - New  &gt;&gt;&gt;  Summer average maximum temperature (Score)  &gt;&gt;&gt;  Low emissions  &gt;&gt;&gt;  2020</t>
  </si>
  <si>
    <t>z_all_rel_tasmax_rcp26_2019_10p</t>
  </si>
  <si>
    <t>z_all_rel_tasmax_rcp26_2019_10p,tasmax_rcp26_2019_10p</t>
  </si>
  <si>
    <t>z_all_rel_tasmax_rcp26_2019_50p</t>
  </si>
  <si>
    <t>z_all_rel_tasmax_rcp26_2019_50p,tasmax_rcp26_2019_50p</t>
  </si>
  <si>
    <t>z_all_rel_tasmax_rcp26_2019_90p</t>
  </si>
  <si>
    <t>z_all_rel_tasmax_rcp26_2019_90p,tasmax_rcp26_2019_90p</t>
  </si>
  <si>
    <t xml:space="preserve"> heat exposure (2018) - New  &gt;&gt;&gt;  Summer average maximum temperature (Score)  &gt;&gt;&gt;  Low emissions  &gt;&gt;&gt;  2030</t>
  </si>
  <si>
    <t>z_all_rel_tasmax_rcp26_2029_10p</t>
  </si>
  <si>
    <t>z_all_rel_tasmax_rcp26_2029_10p,tasmax_rcp26_2029_10p</t>
  </si>
  <si>
    <t>z_all_rel_tasmax_rcp26_2029_50p</t>
  </si>
  <si>
    <t>z_all_rel_tasmax_rcp26_2029_50p,tasmax_rcp26_2029_50p</t>
  </si>
  <si>
    <t>z_all_rel_tasmax_rcp26_2029_90p</t>
  </si>
  <si>
    <t>z_all_rel_tasmax_rcp26_2029_90p,tasmax_rcp26_2029_90p</t>
  </si>
  <si>
    <t xml:space="preserve"> heat exposure (2018) - New  &gt;&gt;&gt;  Summer average maximum temperature (Score)  &gt;&gt;&gt;  Low emissions  &gt;&gt;&gt;  2040</t>
  </si>
  <si>
    <t>z_all_rel_tasmax_rcp26_2039_10p</t>
  </si>
  <si>
    <t>z_all_rel_tasmax_rcp26_2039_10p,tasmax_rcp26_2039_10p</t>
  </si>
  <si>
    <t>z_all_rel_tasmax_rcp26_2039_50p</t>
  </si>
  <si>
    <t>z_all_rel_tasmax_rcp26_2039_50p,tasmax_rcp26_2039_50p</t>
  </si>
  <si>
    <t>z_all_rel_tasmax_rcp26_2039_90p</t>
  </si>
  <si>
    <t>z_all_rel_tasmax_rcp26_2039_90p,tasmax_rcp26_2039_90p</t>
  </si>
  <si>
    <t xml:space="preserve"> heat exposure (2018) - New  &gt;&gt;&gt;  Summer average maximum temperature (Score)  &gt;&gt;&gt;  Low emissions  &gt;&gt;&gt;  2050</t>
  </si>
  <si>
    <t>z_all_rel_tasmax_rcp26_2049_10p</t>
  </si>
  <si>
    <t>z_all_rel_tasmax_rcp26_2049_10p,tasmax_rcp26_2049_10p</t>
  </si>
  <si>
    <t>z_all_rel_tasmax_rcp26_2049_50p</t>
  </si>
  <si>
    <t>z_all_rel_tasmax_rcp26_2049_50p,tasmax_rcp26_2049_50p</t>
  </si>
  <si>
    <t>z_all_rel_tasmax_rcp26_2049_90p</t>
  </si>
  <si>
    <t>z_all_rel_tasmax_rcp26_2049_90p,tasmax_rcp26_2049_90p</t>
  </si>
  <si>
    <t xml:space="preserve"> heat exposure (2018) - New  &gt;&gt;&gt;  Summer average maximum temperature (Score)  &gt;&gt;&gt;  Low emissions  &gt;&gt;&gt;  2060</t>
  </si>
  <si>
    <t>z_all_rel_tasmax_rcp26_2059_10p</t>
  </si>
  <si>
    <t>z_all_rel_tasmax_rcp26_2059_10p,tasmax_rcp26_2059_10p</t>
  </si>
  <si>
    <t>z_all_rel_tasmax_rcp26_2059_50p</t>
  </si>
  <si>
    <t>z_all_rel_tasmax_rcp26_2059_50p,tasmax_rcp26_2059_50p</t>
  </si>
  <si>
    <t>z_all_rel_tasmax_rcp26_2059_90p</t>
  </si>
  <si>
    <t>z_all_rel_tasmax_rcp26_2059_90p,tasmax_rcp26_2059_90p</t>
  </si>
  <si>
    <t xml:space="preserve"> heat exposure (2018) - New  &gt;&gt;&gt;  Summer average maximum temperature (Score)  &gt;&gt;&gt;  Low emissions  &gt;&gt;&gt;  2070</t>
  </si>
  <si>
    <t>z_all_rel_tasmax_rcp26_2069_10p</t>
  </si>
  <si>
    <t>z_all_rel_tasmax_rcp26_2069_10p,tasmax_rcp26_2069_10p</t>
  </si>
  <si>
    <t>z_all_rel_tasmax_rcp26_2069_50p</t>
  </si>
  <si>
    <t>z_all_rel_tasmax_rcp26_2069_50p,tasmax_rcp26_2069_50p</t>
  </si>
  <si>
    <t>z_all_rel_tasmax_rcp26_2069_90p</t>
  </si>
  <si>
    <t>z_all_rel_tasmax_rcp26_2069_90p,tasmax_rcp26_2069_90p</t>
  </si>
  <si>
    <t xml:space="preserve"> heat exposure (2018) - New  &gt;&gt;&gt;  Summer average maximum temperature (Score)  &gt;&gt;&gt;  Low emissions  &gt;&gt;&gt;  2080</t>
  </si>
  <si>
    <t>z_all_rel_tasmax_rcp26_2079_10p</t>
  </si>
  <si>
    <t>z_all_rel_tasmax_rcp26_2079_10p,tasmax_rcp26_2079_10p</t>
  </si>
  <si>
    <t>z_all_rel_tasmax_rcp26_2079_50p</t>
  </si>
  <si>
    <t>z_all_rel_tasmax_rcp26_2079_50p,tasmax_rcp26_2079_50p</t>
  </si>
  <si>
    <t>z_all_rel_tasmax_rcp26_2079_90p</t>
  </si>
  <si>
    <t>z_all_rel_tasmax_rcp26_2079_90p,tasmax_rcp26_2079_90p</t>
  </si>
  <si>
    <t xml:space="preserve"> heat exposure (2018) - New  &gt;&gt;&gt;  Summer average maximum temperature (Score)  &gt;&gt;&gt;  Low emissions  &gt;&gt;&gt;  2090</t>
  </si>
  <si>
    <t>z_all_rel_tasmax_rcp26_2089_10p</t>
  </si>
  <si>
    <t>z_all_rel_tasmax_rcp26_2089_10p,tasmax_rcp26_2089_10p</t>
  </si>
  <si>
    <t>z_all_rel_tasmax_rcp26_2089_50p</t>
  </si>
  <si>
    <t>z_all_rel_tasmax_rcp26_2089_50p,tasmax_rcp26_2089_50p</t>
  </si>
  <si>
    <t>z_all_rel_tasmax_rcp26_2089_90p</t>
  </si>
  <si>
    <t>z_all_rel_tasmax_rcp26_2089_90p,tasmax_rcp26_2089_90p</t>
  </si>
  <si>
    <t xml:space="preserve"> heat exposure (2018) - New  &gt;&gt;&gt;  Summer average maximum temperature (Score)  &gt;&gt;&gt;  Moderate emissions  &gt;&gt;&gt;  2020</t>
  </si>
  <si>
    <t>z_all_rel_tasmax_rcp45_2019_10p</t>
  </si>
  <si>
    <t>z_all_rel_tasmax_rcp45_2019_10p,tasmax_rcp45_2019_10p</t>
  </si>
  <si>
    <t>z_all_rel_tasmax_rcp45_2019_50p</t>
  </si>
  <si>
    <t>z_all_rel_tasmax_rcp45_2019_50p,tasmax_rcp45_2019_50p</t>
  </si>
  <si>
    <t>z_all_rel_tasmax_rcp45_2019_90p</t>
  </si>
  <si>
    <t>z_all_rel_tasmax_rcp45_2019_90p,tasmax_rcp45_2019_90p</t>
  </si>
  <si>
    <t xml:space="preserve"> heat exposure (2018) - New  &gt;&gt;&gt;  Summer average maximum temperature (Score)  &gt;&gt;&gt;  Moderate emissions  &gt;&gt;&gt;  2030</t>
  </si>
  <si>
    <t>z_all_rel_tasmax_rcp45_2029_10p</t>
  </si>
  <si>
    <t>z_all_rel_tasmax_rcp45_2029_10p,tasmax_rcp45_2029_10p</t>
  </si>
  <si>
    <t>z_all_rel_tasmax_rcp45_2029_50p</t>
  </si>
  <si>
    <t>z_all_rel_tasmax_rcp45_2029_50p,tasmax_rcp45_2029_50p</t>
  </si>
  <si>
    <t>z_all_rel_tasmax_rcp45_2029_90p</t>
  </si>
  <si>
    <t>z_all_rel_tasmax_rcp45_2029_90p,tasmax_rcp45_2029_90p</t>
  </si>
  <si>
    <t xml:space="preserve"> heat exposure (2018) - New  &gt;&gt;&gt;  Summer average maximum temperature (Score)  &gt;&gt;&gt;  Moderate emissions  &gt;&gt;&gt;  2040</t>
  </si>
  <si>
    <t>z_all_rel_tasmax_rcp45_2039_10p</t>
  </si>
  <si>
    <t>z_all_rel_tasmax_rcp45_2039_10p,tasmax_rcp45_2039_10p</t>
  </si>
  <si>
    <t>z_all_rel_tasmax_rcp45_2039_50p</t>
  </si>
  <si>
    <t>z_all_rel_tasmax_rcp45_2039_50p,tasmax_rcp45_2039_50p</t>
  </si>
  <si>
    <t>z_all_rel_tasmax_rcp45_2039_90p</t>
  </si>
  <si>
    <t>z_all_rel_tasmax_rcp45_2039_90p,tasmax_rcp45_2039_90p</t>
  </si>
  <si>
    <t xml:space="preserve"> heat exposure (2018) - New  &gt;&gt;&gt;  Summer average maximum temperature (Score)  &gt;&gt;&gt;  Moderate emissions  &gt;&gt;&gt;  2050</t>
  </si>
  <si>
    <t>z_all_rel_tasmax_rcp45_2049_10p</t>
  </si>
  <si>
    <t>z_all_rel_tasmax_rcp45_2049_10p,tasmax_rcp45_2049_10p</t>
  </si>
  <si>
    <t>z_all_rel_tasmax_rcp45_2049_50p</t>
  </si>
  <si>
    <t>z_all_rel_tasmax_rcp45_2049_50p,tasmax_rcp45_2049_50p</t>
  </si>
  <si>
    <t>z_all_rel_tasmax_rcp45_2049_90p</t>
  </si>
  <si>
    <t>z_all_rel_tasmax_rcp45_2049_90p,tasmax_rcp45_2049_90p</t>
  </si>
  <si>
    <t xml:space="preserve"> heat exposure (2018) - New  &gt;&gt;&gt;  Summer average maximum temperature (Score)  &gt;&gt;&gt;  Moderate emissions  &gt;&gt;&gt;  2060</t>
  </si>
  <si>
    <t>z_all_rel_tasmax_rcp45_2059_10p</t>
  </si>
  <si>
    <t>z_all_rel_tasmax_rcp45_2059_10p,tasmax_rcp45_2059_10p</t>
  </si>
  <si>
    <t>z_all_rel_tasmax_rcp45_2059_50p</t>
  </si>
  <si>
    <t>z_all_rel_tasmax_rcp45_2059_50p,tasmax_rcp45_2059_50p</t>
  </si>
  <si>
    <t>z_all_rel_tasmax_rcp45_2059_90p</t>
  </si>
  <si>
    <t>z_all_rel_tasmax_rcp45_2059_90p,tasmax_rcp45_2059_90p</t>
  </si>
  <si>
    <t xml:space="preserve"> heat exposure (2018) - New  &gt;&gt;&gt;  Summer average maximum temperature (Score)  &gt;&gt;&gt;  Moderate emissions  &gt;&gt;&gt;  2070</t>
  </si>
  <si>
    <t>z_all_rel_tasmax_rcp45_2069_10p</t>
  </si>
  <si>
    <t>z_all_rel_tasmax_rcp45_2069_10p,tasmax_rcp45_2069_10p</t>
  </si>
  <si>
    <t>z_all_rel_tasmax_rcp45_2069_50p</t>
  </si>
  <si>
    <t>z_all_rel_tasmax_rcp45_2069_50p,tasmax_rcp45_2069_50p</t>
  </si>
  <si>
    <t>z_all_rel_tasmax_rcp45_2069_90p</t>
  </si>
  <si>
    <t>z_all_rel_tasmax_rcp45_2069_90p,tasmax_rcp45_2069_90p</t>
  </si>
  <si>
    <t xml:space="preserve"> heat exposure (2018) - New  &gt;&gt;&gt;  Summer average maximum temperature (Score)  &gt;&gt;&gt;  Moderate emissions  &gt;&gt;&gt;  2080</t>
  </si>
  <si>
    <t>z_all_rel_tasmax_rcp45_2079_10p</t>
  </si>
  <si>
    <t>z_all_rel_tasmax_rcp45_2079_10p,tasmax_rcp45_2079_10p</t>
  </si>
  <si>
    <t>z_all_rel_tasmax_rcp45_2079_50p</t>
  </si>
  <si>
    <t>z_all_rel_tasmax_rcp45_2079_50p,tasmax_rcp45_2079_50p</t>
  </si>
  <si>
    <t>z_all_rel_tasmax_rcp45_2079_90p</t>
  </si>
  <si>
    <t>z_all_rel_tasmax_rcp45_2079_90p,tasmax_rcp45_2079_90p</t>
  </si>
  <si>
    <t xml:space="preserve"> heat exposure (2018) - New  &gt;&gt;&gt;  Summer average maximum temperature (Score)  &gt;&gt;&gt;  Moderate emissions  &gt;&gt;&gt;  2090</t>
  </si>
  <si>
    <t>z_all_rel_tasmax_rcp45_2089_10p</t>
  </si>
  <si>
    <t>z_all_rel_tasmax_rcp45_2089_10p,tasmax_rcp45_2089_10p</t>
  </si>
  <si>
    <t>z_all_rel_tasmax_rcp45_2089_50p</t>
  </si>
  <si>
    <t>z_all_rel_tasmax_rcp45_2089_50p,tasmax_rcp45_2089_50p</t>
  </si>
  <si>
    <t>z_all_rel_tasmax_rcp45_2089_90p</t>
  </si>
  <si>
    <t>z_all_rel_tasmax_rcp45_2089_90p,tasmax_rcp45_2089_90p</t>
  </si>
  <si>
    <t xml:space="preserve"> heat exposure (2018) - New  &gt;&gt;&gt;  Summer average maximum temperature (Score)  &gt;&gt;&gt;  High emissions  &gt;&gt;&gt;  2020</t>
  </si>
  <si>
    <t>z_all_rel_tasmax_rcp60_2019_10p</t>
  </si>
  <si>
    <t>z_all_rel_tasmax_rcp60_2019_10p,tasmax_rcp60_2019_10p</t>
  </si>
  <si>
    <t>z_all_rel_tasmax_rcp60_2019_50p</t>
  </si>
  <si>
    <t>z_all_rel_tasmax_rcp60_2019_50p,tasmax_rcp60_2019_50p</t>
  </si>
  <si>
    <t>z_all_rel_tasmax_rcp60_2019_90p</t>
  </si>
  <si>
    <t>z_all_rel_tasmax_rcp60_2019_90p,tasmax_rcp60_2019_90p</t>
  </si>
  <si>
    <t xml:space="preserve"> heat exposure (2018) - New  &gt;&gt;&gt;  Summer average maximum temperature (Score)  &gt;&gt;&gt;  High emissions  &gt;&gt;&gt;  2030</t>
  </si>
  <si>
    <t>z_all_rel_tasmax_rcp60_2029_10p</t>
  </si>
  <si>
    <t>z_all_rel_tasmax_rcp60_2029_10p,tasmax_rcp60_2029_10p</t>
  </si>
  <si>
    <t>z_all_rel_tasmax_rcp60_2029_50p</t>
  </si>
  <si>
    <t>z_all_rel_tasmax_rcp60_2029_50p,tasmax_rcp60_2029_50p</t>
  </si>
  <si>
    <t>z_all_rel_tasmax_rcp60_2029_90p</t>
  </si>
  <si>
    <t>z_all_rel_tasmax_rcp60_2029_90p,tasmax_rcp60_2029_90p</t>
  </si>
  <si>
    <t xml:space="preserve"> heat exposure (2018) - New  &gt;&gt;&gt;  Summer average maximum temperature (Score)  &gt;&gt;&gt;  High emissions  &gt;&gt;&gt;  2040</t>
  </si>
  <si>
    <t>z_all_rel_tasmax_rcp60_2039_10p</t>
  </si>
  <si>
    <t>z_all_rel_tasmax_rcp60_2039_10p,tasmax_rcp60_2039_10p</t>
  </si>
  <si>
    <t>z_all_rel_tasmax_rcp60_2039_50p</t>
  </si>
  <si>
    <t>z_all_rel_tasmax_rcp60_2039_50p,tasmax_rcp60_2039_50p</t>
  </si>
  <si>
    <t>z_all_rel_tasmax_rcp60_2039_90p</t>
  </si>
  <si>
    <t>z_all_rel_tasmax_rcp60_2039_90p,tasmax_rcp60_2039_90p</t>
  </si>
  <si>
    <t xml:space="preserve"> heat exposure (2018) - New  &gt;&gt;&gt;  Summer average maximum temperature (Score)  &gt;&gt;&gt;  High emissions  &gt;&gt;&gt;  2050</t>
  </si>
  <si>
    <t>z_all_rel_tasmax_rcp60_2049_10p</t>
  </si>
  <si>
    <t>z_all_rel_tasmax_rcp60_2049_10p,tasmax_rcp60_2049_10p</t>
  </si>
  <si>
    <t>z_all_rel_tasmax_rcp60_2049_50p</t>
  </si>
  <si>
    <t>z_all_rel_tasmax_rcp60_2049_50p,tasmax_rcp60_2049_50p</t>
  </si>
  <si>
    <t>z_all_rel_tasmax_rcp60_2049_90p</t>
  </si>
  <si>
    <t>z_all_rel_tasmax_rcp60_2049_90p,tasmax_rcp60_2049_90p</t>
  </si>
  <si>
    <t xml:space="preserve"> heat exposure (2018) - New  &gt;&gt;&gt;  Summer average maximum temperature (Score)  &gt;&gt;&gt;  High emissions  &gt;&gt;&gt;  2060</t>
  </si>
  <si>
    <t>z_all_rel_tasmax_rcp60_2059_10p</t>
  </si>
  <si>
    <t>z_all_rel_tasmax_rcp60_2059_10p,tasmax_rcp60_2059_10p</t>
  </si>
  <si>
    <t>z_all_rel_tasmax_rcp60_2059_50p</t>
  </si>
  <si>
    <t>z_all_rel_tasmax_rcp60_2059_50p,tasmax_rcp60_2059_50p</t>
  </si>
  <si>
    <t>z_all_rel_tasmax_rcp60_2059_90p</t>
  </si>
  <si>
    <t>z_all_rel_tasmax_rcp60_2059_90p,tasmax_rcp60_2059_90p</t>
  </si>
  <si>
    <t xml:space="preserve"> heat exposure (2018) - New  &gt;&gt;&gt;  Summer average maximum temperature (Score)  &gt;&gt;&gt;  High emissions  &gt;&gt;&gt;  2070</t>
  </si>
  <si>
    <t>z_all_rel_tasmax_rcp60_2069_10p</t>
  </si>
  <si>
    <t>z_all_rel_tasmax_rcp60_2069_10p,tasmax_rcp60_2069_10p</t>
  </si>
  <si>
    <t>z_all_rel_tasmax_rcp60_2069_50p</t>
  </si>
  <si>
    <t>z_all_rel_tasmax_rcp60_2069_50p,tasmax_rcp60_2069_50p</t>
  </si>
  <si>
    <t>z_all_rel_tasmax_rcp60_2069_90p</t>
  </si>
  <si>
    <t>z_all_rel_tasmax_rcp60_2069_90p,tasmax_rcp60_2069_90p</t>
  </si>
  <si>
    <t xml:space="preserve"> heat exposure (2018) - New  &gt;&gt;&gt;  Summer average maximum temperature (Score)  &gt;&gt;&gt;  High emissions  &gt;&gt;&gt;  2080</t>
  </si>
  <si>
    <t>z_all_rel_tasmax_rcp60_2079_10p</t>
  </si>
  <si>
    <t>z_all_rel_tasmax_rcp60_2079_10p,tasmax_rcp60_2079_10p</t>
  </si>
  <si>
    <t>z_all_rel_tasmax_rcp60_2079_50p</t>
  </si>
  <si>
    <t>z_all_rel_tasmax_rcp60_2079_50p,tasmax_rcp60_2079_50p</t>
  </si>
  <si>
    <t>z_all_rel_tasmax_rcp60_2079_90p</t>
  </si>
  <si>
    <t>z_all_rel_tasmax_rcp60_2079_90p,tasmax_rcp60_2079_90p</t>
  </si>
  <si>
    <t xml:space="preserve"> heat exposure (2018) - New  &gt;&gt;&gt;  Summer average maximum temperature (Score)  &gt;&gt;&gt;  High emissions  &gt;&gt;&gt;  2090</t>
  </si>
  <si>
    <t>z_all_rel_tasmax_rcp60_2089_10p</t>
  </si>
  <si>
    <t>z_all_rel_tasmax_rcp60_2089_10p,tasmax_rcp60_2089_10p</t>
  </si>
  <si>
    <t>z_all_rel_tasmax_rcp60_2089_50p</t>
  </si>
  <si>
    <t>z_all_rel_tasmax_rcp60_2089_50p,tasmax_rcp60_2089_50p</t>
  </si>
  <si>
    <t>z_all_rel_tasmax_rcp60_2089_90p</t>
  </si>
  <si>
    <t>z_all_rel_tasmax_rcp60_2089_90p,tasmax_rcp60_2089_90p</t>
  </si>
  <si>
    <t xml:space="preserve"> heat exposure (2018) - New  &gt;&gt;&gt;  Summer average maximum temperature (Score)  &gt;&gt;&gt;  Very high emissions  &gt;&gt;&gt;  2020</t>
  </si>
  <si>
    <t>z_all_rel_tasmax_rcp85_2019_10p</t>
  </si>
  <si>
    <t>z_all_rel_tasmax_rcp85_2019_10p,tasmax_rcp85_2019_10p</t>
  </si>
  <si>
    <t>z_all_rel_tasmax_rcp85_2019_50p</t>
  </si>
  <si>
    <t>z_all_rel_tasmax_rcp85_2019_50p,tasmax_rcp85_2019_50p</t>
  </si>
  <si>
    <t>z_all_rel_tasmax_rcp85_2019_90p</t>
  </si>
  <si>
    <t>z_all_rel_tasmax_rcp85_2019_90p,tasmax_rcp85_2019_90p</t>
  </si>
  <si>
    <t xml:space="preserve"> heat exposure (2018) - New  &gt;&gt;&gt;  Summer average maximum temperature (Score)  &gt;&gt;&gt;  Very high emissions  &gt;&gt;&gt;  2030</t>
  </si>
  <si>
    <t>z_all_rel_tasmax_rcp85_2029_10p</t>
  </si>
  <si>
    <t>z_all_rel_tasmax_rcp85_2029_10p,tasmax_rcp85_2029_10p</t>
  </si>
  <si>
    <t>z_all_rel_tasmax_rcp85_2029_50p</t>
  </si>
  <si>
    <t>z_all_rel_tasmax_rcp85_2029_50p,tasmax_rcp85_2029_50p</t>
  </si>
  <si>
    <t>z_all_rel_tasmax_rcp85_2029_90p</t>
  </si>
  <si>
    <t>z_all_rel_tasmax_rcp85_2029_90p,tasmax_rcp85_2029_90p</t>
  </si>
  <si>
    <t xml:space="preserve"> heat exposure (2018) - New  &gt;&gt;&gt;  Summer average maximum temperature (Score)  &gt;&gt;&gt;  Very high emissions  &gt;&gt;&gt;  2040</t>
  </si>
  <si>
    <t>z_all_rel_tasmax_rcp85_2039_10p</t>
  </si>
  <si>
    <t>z_all_rel_tasmax_rcp85_2039_10p,tasmax_rcp85_2039_10p</t>
  </si>
  <si>
    <t>z_all_rel_tasmax_rcp85_2039_50p</t>
  </si>
  <si>
    <t>z_all_rel_tasmax_rcp85_2039_50p,tasmax_rcp85_2039_50p</t>
  </si>
  <si>
    <t>z_all_rel_tasmax_rcp85_2039_90p</t>
  </si>
  <si>
    <t>z_all_rel_tasmax_rcp85_2039_90p,tasmax_rcp85_2039_90p</t>
  </si>
  <si>
    <t xml:space="preserve"> heat exposure (2018) - New  &gt;&gt;&gt;  Summer average maximum temperature (Score)  &gt;&gt;&gt;  Very high emissions  &gt;&gt;&gt;  2050</t>
  </si>
  <si>
    <t>z_all_rel_tasmax_rcp85_2049_10p</t>
  </si>
  <si>
    <t>z_all_rel_tasmax_rcp85_2049_10p,tasmax_rcp85_2049_10p</t>
  </si>
  <si>
    <t>z_all_rel_tasmax_rcp85_2049_50p</t>
  </si>
  <si>
    <t>z_all_rel_tasmax_rcp85_2049_50p,tasmax_rcp85_2049_50p</t>
  </si>
  <si>
    <t>z_all_rel_tasmax_rcp85_2049_90p</t>
  </si>
  <si>
    <t>z_all_rel_tasmax_rcp85_2049_90p,tasmax_rcp85_2049_90p</t>
  </si>
  <si>
    <t xml:space="preserve"> heat exposure (2018) - New  &gt;&gt;&gt;  Summer average maximum temperature (Score)  &gt;&gt;&gt;  Very high emissions  &gt;&gt;&gt;  2060</t>
  </si>
  <si>
    <t>z_all_rel_tasmax_rcp85_2059_10p</t>
  </si>
  <si>
    <t>z_all_rel_tasmax_rcp85_2059_10p,tasmax_rcp85_2059_10p</t>
  </si>
  <si>
    <t>z_all_rel_tasmax_rcp85_2059_50p</t>
  </si>
  <si>
    <t>z_all_rel_tasmax_rcp85_2059_50p,tasmax_rcp85_2059_50p</t>
  </si>
  <si>
    <t>z_all_rel_tasmax_rcp85_2059_90p</t>
  </si>
  <si>
    <t>z_all_rel_tasmax_rcp85_2059_90p,tasmax_rcp85_2059_90p</t>
  </si>
  <si>
    <t xml:space="preserve"> heat exposure (2018) - New  &gt;&gt;&gt;  Summer average maximum temperature (Score)  &gt;&gt;&gt;  Very high emissions  &gt;&gt;&gt;  2070</t>
  </si>
  <si>
    <t>z_all_rel_tasmax_rcp85_2069_10p</t>
  </si>
  <si>
    <t>z_all_rel_tasmax_rcp85_2069_10p,tasmax_rcp85_2069_10p</t>
  </si>
  <si>
    <t>z_all_rel_tasmax_rcp85_2069_50p</t>
  </si>
  <si>
    <t>z_all_rel_tasmax_rcp85_2069_50p,tasmax_rcp85_2069_50p</t>
  </si>
  <si>
    <t>z_all_rel_tasmax_rcp85_2069_90p</t>
  </si>
  <si>
    <t>z_all_rel_tasmax_rcp85_2069_90p,tasmax_rcp85_2069_90p</t>
  </si>
  <si>
    <t xml:space="preserve"> heat exposure (2018) - New  &gt;&gt;&gt;  Summer average maximum temperature (Score)  &gt;&gt;&gt;  Very high emissions  &gt;&gt;&gt;  2080</t>
  </si>
  <si>
    <t>z_all_rel_tasmax_rcp85_2079_10p</t>
  </si>
  <si>
    <t>z_all_rel_tasmax_rcp85_2079_10p,tasmax_rcp85_2079_10p</t>
  </si>
  <si>
    <t>z_all_rel_tasmax_rcp85_2079_50p</t>
  </si>
  <si>
    <t>z_all_rel_tasmax_rcp85_2079_50p,tasmax_rcp85_2079_50p</t>
  </si>
  <si>
    <t>z_all_rel_tasmax_rcp85_2079_90p</t>
  </si>
  <si>
    <t>z_all_rel_tasmax_rcp85_2079_90p,tasmax_rcp85_2079_90p</t>
  </si>
  <si>
    <t xml:space="preserve"> heat exposure (2018) - New  &gt;&gt;&gt;  Summer average maximum temperature (Score)  &gt;&gt;&gt;  Very high emissions  &gt;&gt;&gt;  2090</t>
  </si>
  <si>
    <t>z_all_rel_tasmax_rcp85_2089_10p</t>
  </si>
  <si>
    <t>z_all_rel_tasmax_rcp85_2089_10p,tasmax_rcp85_2089_10p</t>
  </si>
  <si>
    <t>z_all_rel_tasmax_rcp85_2089_50p</t>
  </si>
  <si>
    <t>z_all_rel_tasmax_rcp85_2089_50p,tasmax_rcp85_2089_50p</t>
  </si>
  <si>
    <t>z_all_rel_tasmax_rcp85_2089_90p</t>
  </si>
  <si>
    <t>z_all_rel_tasmax_rcp85_2089_90p,tasmax_rcp85_2089_90p</t>
  </si>
  <si>
    <t xml:space="preserve"> heat exposure (2018) - New  &gt;&gt;&gt;  Summer extreme maximum temperature (℃)  &gt;&gt;&gt;  20 year return period  &gt;&gt;&gt;  Low emissions  &gt;&gt;&gt;  2020</t>
  </si>
  <si>
    <t>tasmax_rcp26_rp20_2020_10p</t>
  </si>
  <si>
    <t>tasmax_rcp26_rp20_2020_10p,z_ar_tasmax_rcp26_rp20_2020_10p</t>
  </si>
  <si>
    <t>tasmax_rcp26_rp20_2020_50p</t>
  </si>
  <si>
    <t>tasmax_rcp26_rp20_2020_50p,z_ar_tasmax_rcp26_rp20_2020_50p</t>
  </si>
  <si>
    <t>tasmax_rcp26_rp20_2020_90p</t>
  </si>
  <si>
    <t>tasmax_rcp26_rp20_2020_90p,z_ar_tasmax_rcp26_rp20_2020_90p</t>
  </si>
  <si>
    <t xml:space="preserve"> heat exposure (2018) - New  &gt;&gt;&gt;  Summer extreme maximum temperature (℃)  &gt;&gt;&gt;  20 year return period  &gt;&gt;&gt;  Low emissions  &gt;&gt;&gt;  2030</t>
  </si>
  <si>
    <t>tasmax_rcp26_rp20_2030_10p</t>
  </si>
  <si>
    <t>tasmax_rcp26_rp20_2030_10p,z_ar_tasmax_rcp26_rp20_2030_10p</t>
  </si>
  <si>
    <t>tasmax_rcp26_rp20_2030_50p</t>
  </si>
  <si>
    <t>tasmax_rcp26_rp20_2030_50p,z_ar_tasmax_rcp26_rp20_2030_50p</t>
  </si>
  <si>
    <t>tasmax_rcp26_rp20_2030_90p</t>
  </si>
  <si>
    <t>tasmax_rcp26_rp20_2030_90p,z_ar_tasmax_rcp26_rp20_2030_90p</t>
  </si>
  <si>
    <t xml:space="preserve"> heat exposure (2018) - New  &gt;&gt;&gt;  Summer extreme maximum temperature (℃)  &gt;&gt;&gt;  20 year return period  &gt;&gt;&gt;  Low emissions  &gt;&gt;&gt;  2040</t>
  </si>
  <si>
    <t>tasmax_rcp26_rp20_2040_10p</t>
  </si>
  <si>
    <t>tasmax_rcp26_rp20_2040_10p,z_ar_tasmax_rcp26_rp20_2040_10p</t>
  </si>
  <si>
    <t>tasmax_rcp26_rp20_2040_50p</t>
  </si>
  <si>
    <t>tasmax_rcp26_rp20_2040_50p,z_ar_tasmax_rcp26_rp20_2040_50p</t>
  </si>
  <si>
    <t>tasmax_rcp26_rp20_2040_90p</t>
  </si>
  <si>
    <t>tasmax_rcp26_rp20_2040_90p,z_ar_tasmax_rcp26_rp20_2040_90p</t>
  </si>
  <si>
    <t xml:space="preserve"> heat exposure (2018) - New  &gt;&gt;&gt;  Summer extreme maximum temperature (℃)  &gt;&gt;&gt;  20 year return period  &gt;&gt;&gt;  Low emissions  &gt;&gt;&gt;  2050</t>
  </si>
  <si>
    <t>tasmax_rcp26_rp20_2050_10p</t>
  </si>
  <si>
    <t>tasmax_rcp26_rp20_2050_10p,z_ar_tasmax_rcp26_rp20_2050_10p</t>
  </si>
  <si>
    <t>tasmax_rcp26_rp20_2050_50p</t>
  </si>
  <si>
    <t>tasmax_rcp26_rp20_2050_50p,z_ar_tasmax_rcp26_rp20_2050_50p</t>
  </si>
  <si>
    <t>tasmax_rcp26_rp20_2050_90p</t>
  </si>
  <si>
    <t>tasmax_rcp26_rp20_2050_90p,z_ar_tasmax_rcp26_rp20_2050_90p</t>
  </si>
  <si>
    <t xml:space="preserve"> heat exposure (2018) - New  &gt;&gt;&gt;  Summer extreme maximum temperature (℃)  &gt;&gt;&gt;  20 year return period  &gt;&gt;&gt;  Low emissions  &gt;&gt;&gt;  2060</t>
  </si>
  <si>
    <t>tasmax_rcp26_rp20_2060_10p</t>
  </si>
  <si>
    <t>tasmax_rcp26_rp20_2060_10p,z_ar_tasmax_rcp26_rp20_2060_10p</t>
  </si>
  <si>
    <t>tasmax_rcp26_rp20_2060_50p</t>
  </si>
  <si>
    <t>tasmax_rcp26_rp20_2060_50p,z_ar_tasmax_rcp26_rp20_2060_50p</t>
  </si>
  <si>
    <t>tasmax_rcp26_rp20_2060_90p</t>
  </si>
  <si>
    <t>tasmax_rcp26_rp20_2060_90p,z_ar_tasmax_rcp26_rp20_2060_90p</t>
  </si>
  <si>
    <t xml:space="preserve"> heat exposure (2018) - New  &gt;&gt;&gt;  Summer extreme maximum temperature (℃)  &gt;&gt;&gt;  20 year return period  &gt;&gt;&gt;  Low emissions  &gt;&gt;&gt;  2070</t>
  </si>
  <si>
    <t>tasmax_rcp26_rp20_2070_10p</t>
  </si>
  <si>
    <t>tasmax_rcp26_rp20_2070_10p,z_ar_tasmax_rcp26_rp20_2070_10p</t>
  </si>
  <si>
    <t>tasmax_rcp26_rp20_2070_50p</t>
  </si>
  <si>
    <t>tasmax_rcp26_rp20_2070_50p,z_ar_tasmax_rcp26_rp20_2070_50p</t>
  </si>
  <si>
    <t>tasmax_rcp26_rp20_2070_90p</t>
  </si>
  <si>
    <t>tasmax_rcp26_rp20_2070_90p,z_ar_tasmax_rcp26_rp20_2070_90p</t>
  </si>
  <si>
    <t xml:space="preserve"> heat exposure (2018) - New  &gt;&gt;&gt;  Summer extreme maximum temperature (℃)  &gt;&gt;&gt;  20 year return period  &gt;&gt;&gt;  Low emissions  &gt;&gt;&gt;  2080</t>
  </si>
  <si>
    <t>tasmax_rcp26_rp20_2080_10p</t>
  </si>
  <si>
    <t>tasmax_rcp26_rp20_2080_10p,z_ar_tasmax_rcp26_rp20_2080_10p</t>
  </si>
  <si>
    <t>tasmax_rcp26_rp20_2080_50p</t>
  </si>
  <si>
    <t>tasmax_rcp26_rp20_2080_50p,z_ar_tasmax_rcp26_rp20_2080_50p</t>
  </si>
  <si>
    <t>tasmax_rcp26_rp20_2080_90p</t>
  </si>
  <si>
    <t>tasmax_rcp26_rp20_2080_90p,z_ar_tasmax_rcp26_rp20_2080_90p</t>
  </si>
  <si>
    <t xml:space="preserve"> heat exposure (2018) - New  &gt;&gt;&gt;  Summer extreme maximum temperature (℃)  &gt;&gt;&gt;  20 year return period  &gt;&gt;&gt;  Low emissions  &gt;&gt;&gt;  2090</t>
  </si>
  <si>
    <t>tasmax_rcp26_rp20_2090_10p</t>
  </si>
  <si>
    <t>tasmax_rcp26_rp20_2090_10p,z_ar_tasmax_rcp26_rp20_2090_10p</t>
  </si>
  <si>
    <t>tasmax_rcp26_rp20_2090_50p</t>
  </si>
  <si>
    <t>tasmax_rcp26_rp20_2090_50p,z_ar_tasmax_rcp26_rp20_2090_50p</t>
  </si>
  <si>
    <t>tasmax_rcp26_rp20_2090_90p</t>
  </si>
  <si>
    <t>tasmax_rcp26_rp20_2090_90p,z_ar_tasmax_rcp26_rp20_2090_90p</t>
  </si>
  <si>
    <t xml:space="preserve"> heat exposure (2018) - New  &gt;&gt;&gt;  Summer extreme maximum temperature (℃)  &gt;&gt;&gt;  50 year return period  &gt;&gt;&gt;  Low emissions  &gt;&gt;&gt;  2020</t>
  </si>
  <si>
    <t>tasmax_rcp26_rp50_2020_10p</t>
  </si>
  <si>
    <t>tasmax_rcp26_rp50_2020_10p,z_ar_tasmax_rcp26_rp50_2020_10p</t>
  </si>
  <si>
    <t>tasmax_rcp26_rp50_2020_50p</t>
  </si>
  <si>
    <t>tasmax_rcp26_rp50_2020_50p,z_ar_tasmax_rcp26_rp50_2020_50p</t>
  </si>
  <si>
    <t>tasmax_rcp26_rp50_2020_90p</t>
  </si>
  <si>
    <t>tasmax_rcp26_rp50_2020_90p,z_ar_tasmax_rcp26_rp50_2020_90p</t>
  </si>
  <si>
    <t xml:space="preserve"> heat exposure (2018) - New  &gt;&gt;&gt;  Summer extreme maximum temperature (℃)  &gt;&gt;&gt;  50 year return period  &gt;&gt;&gt;  Low emissions  &gt;&gt;&gt;  2030</t>
  </si>
  <si>
    <t>tasmax_rcp26_rp50_2030_10p</t>
  </si>
  <si>
    <t>tasmax_rcp26_rp50_2030_10p,z_ar_tasmax_rcp26_rp50_2030_10p</t>
  </si>
  <si>
    <t>tasmax_rcp26_rp50_2030_50p</t>
  </si>
  <si>
    <t>tasmax_rcp26_rp50_2030_50p,z_ar_tasmax_rcp26_rp50_2030_50p</t>
  </si>
  <si>
    <t>tasmax_rcp26_rp50_2030_90p</t>
  </si>
  <si>
    <t>tasmax_rcp26_rp50_2030_90p,z_ar_tasmax_rcp26_rp50_2030_90p</t>
  </si>
  <si>
    <t xml:space="preserve"> heat exposure (2018) - New  &gt;&gt;&gt;  Summer extreme maximum temperature (℃)  &gt;&gt;&gt;  50 year return period  &gt;&gt;&gt;  Low emissions  &gt;&gt;&gt;  2040</t>
  </si>
  <si>
    <t>tasmax_rcp26_rp50_2040_10p</t>
  </si>
  <si>
    <t>tasmax_rcp26_rp50_2040_10p,z_ar_tasmax_rcp26_rp50_2040_10p</t>
  </si>
  <si>
    <t>tasmax_rcp26_rp50_2040_50p</t>
  </si>
  <si>
    <t>tasmax_rcp26_rp50_2040_50p,z_ar_tasmax_rcp26_rp50_2040_50p</t>
  </si>
  <si>
    <t>tasmax_rcp26_rp50_2040_90p</t>
  </si>
  <si>
    <t>tasmax_rcp26_rp50_2040_90p,z_ar_tasmax_rcp26_rp50_2040_90p</t>
  </si>
  <si>
    <t xml:space="preserve"> heat exposure (2018) - New  &gt;&gt;&gt;  Summer extreme maximum temperature (℃)  &gt;&gt;&gt;  50 year return period  &gt;&gt;&gt;  Low emissions  &gt;&gt;&gt;  2050</t>
  </si>
  <si>
    <t>tasmax_rcp26_rp50_2050_10p</t>
  </si>
  <si>
    <t>tasmax_rcp26_rp50_2050_10p,z_ar_tasmax_rcp26_rp50_2050_10p</t>
  </si>
  <si>
    <t>tasmax_rcp26_rp50_2050_50p</t>
  </si>
  <si>
    <t>tasmax_rcp26_rp50_2050_50p,z_ar_tasmax_rcp26_rp50_2050_50p</t>
  </si>
  <si>
    <t>tasmax_rcp26_rp50_2050_90p</t>
  </si>
  <si>
    <t>tasmax_rcp26_rp50_2050_90p,z_ar_tasmax_rcp26_rp50_2050_90p</t>
  </si>
  <si>
    <t xml:space="preserve"> heat exposure (2018) - New  &gt;&gt;&gt;  Summer extreme maximum temperature (℃)  &gt;&gt;&gt;  50 year return period  &gt;&gt;&gt;  Low emissions  &gt;&gt;&gt;  2060</t>
  </si>
  <si>
    <t>tasmax_rcp26_rp50_2060_10p</t>
  </si>
  <si>
    <t>tasmax_rcp26_rp50_2060_10p,z_ar_tasmax_rcp26_rp50_2060_10p</t>
  </si>
  <si>
    <t>tasmax_rcp26_rp50_2060_50p</t>
  </si>
  <si>
    <t>tasmax_rcp26_rp50_2060_50p,z_ar_tasmax_rcp26_rp50_2060_50p</t>
  </si>
  <si>
    <t>tasmax_rcp26_rp50_2060_90p</t>
  </si>
  <si>
    <t>tasmax_rcp26_rp50_2060_90p,z_ar_tasmax_rcp26_rp50_2060_90p</t>
  </si>
  <si>
    <t xml:space="preserve"> heat exposure (2018) - New  &gt;&gt;&gt;  Summer extreme maximum temperature (℃)  &gt;&gt;&gt;  50 year return period  &gt;&gt;&gt;  Low emissions  &gt;&gt;&gt;  2070</t>
  </si>
  <si>
    <t>tasmax_rcp26_rp50_2070_10p</t>
  </si>
  <si>
    <t>tasmax_rcp26_rp50_2070_10p,z_ar_tasmax_rcp26_rp50_2070_10p</t>
  </si>
  <si>
    <t>tasmax_rcp26_rp50_2070_50p</t>
  </si>
  <si>
    <t>tasmax_rcp26_rp50_2070_50p,z_ar_tasmax_rcp26_rp50_2070_50p</t>
  </si>
  <si>
    <t>tasmax_rcp26_rp50_2070_90p</t>
  </si>
  <si>
    <t>tasmax_rcp26_rp50_2070_90p,z_ar_tasmax_rcp26_rp50_2070_90p</t>
  </si>
  <si>
    <t xml:space="preserve"> heat exposure (2018) - New  &gt;&gt;&gt;  Summer extreme maximum temperature (℃)  &gt;&gt;&gt;  50 year return period  &gt;&gt;&gt;  Low emissions  &gt;&gt;&gt;  2080</t>
  </si>
  <si>
    <t>tasmax_rcp26_rp50_2080_10p</t>
  </si>
  <si>
    <t>tasmax_rcp26_rp50_2080_10p,z_ar_tasmax_rcp26_rp50_2080_10p</t>
  </si>
  <si>
    <t>tasmax_rcp26_rp50_2080_50p</t>
  </si>
  <si>
    <t>tasmax_rcp26_rp50_2080_50p,z_ar_tasmax_rcp26_rp50_2080_50p</t>
  </si>
  <si>
    <t>tasmax_rcp26_rp50_2080_90p</t>
  </si>
  <si>
    <t>tasmax_rcp26_rp50_2080_90p,z_ar_tasmax_rcp26_rp50_2080_90p</t>
  </si>
  <si>
    <t xml:space="preserve"> heat exposure (2018) - New  &gt;&gt;&gt;  Summer extreme maximum temperature (℃)  &gt;&gt;&gt;  50 year return period  &gt;&gt;&gt;  Low emissions  &gt;&gt;&gt;  2090</t>
  </si>
  <si>
    <t>tasmax_rcp26_rp50_2090_10p</t>
  </si>
  <si>
    <t>tasmax_rcp26_rp50_2090_10p,z_ar_tasmax_rcp26_rp50_2090_10p</t>
  </si>
  <si>
    <t>tasmax_rcp26_rp50_2090_50p</t>
  </si>
  <si>
    <t>tasmax_rcp26_rp50_2090_50p,z_ar_tasmax_rcp26_rp50_2090_50p</t>
  </si>
  <si>
    <t>tasmax_rcp26_rp50_2090_90p</t>
  </si>
  <si>
    <t>tasmax_rcp26_rp50_2090_90p,z_ar_tasmax_rcp26_rp50_2090_90p</t>
  </si>
  <si>
    <t xml:space="preserve"> heat exposure (2018) - New  &gt;&gt;&gt;  Summer extreme maximum temperature (℃)  &gt;&gt;&gt;  100 year return period  &gt;&gt;&gt;  Low emissions  &gt;&gt;&gt;  2020</t>
  </si>
  <si>
    <t>tasmax_rcp26_rp100_2020_10p</t>
  </si>
  <si>
    <t>tasmax_rcp26_rp100_2020_10p,z_ar_tasmax_rcp26_rp100_2020_10p</t>
  </si>
  <si>
    <t>tasmax_rcp26_rp100_2020_50p</t>
  </si>
  <si>
    <t>tasmax_rcp26_rp100_2020_50p,z_ar_tasmax_rcp26_rp100_2020_50p</t>
  </si>
  <si>
    <t>tasmax_rcp26_rp100_2020_90p</t>
  </si>
  <si>
    <t>tasmax_rcp26_rp100_2020_90p,z_ar_tasmax_rcp26_rp100_2020_90p</t>
  </si>
  <si>
    <t xml:space="preserve"> heat exposure (2018) - New  &gt;&gt;&gt;  Summer extreme maximum temperature (℃)  &gt;&gt;&gt;  100 year return period  &gt;&gt;&gt;  Low emissions  &gt;&gt;&gt;  2030</t>
  </si>
  <si>
    <t>tasmax_rcp26_rp100_2030_10p</t>
  </si>
  <si>
    <t>tasmax_rcp26_rp100_2030_10p,z_ar_tasmax_rcp26_rp100_2030_10p</t>
  </si>
  <si>
    <t>tasmax_rcp26_rp100_2030_50p</t>
  </si>
  <si>
    <t>tasmax_rcp26_rp100_2030_50p,z_ar_tasmax_rcp26_rp100_2030_50p</t>
  </si>
  <si>
    <t>tasmax_rcp26_rp100_2030_90p</t>
  </si>
  <si>
    <t>tasmax_rcp26_rp100_2030_90p,z_ar_tasmax_rcp26_rp100_2030_90p</t>
  </si>
  <si>
    <t xml:space="preserve"> heat exposure (2018) - New  &gt;&gt;&gt;  Summer extreme maximum temperature (℃)  &gt;&gt;&gt;  100 year return period  &gt;&gt;&gt;  Low emissions  &gt;&gt;&gt;  2040</t>
  </si>
  <si>
    <t>tasmax_rcp26_rp100_2040_10p</t>
  </si>
  <si>
    <t>tasmax_rcp26_rp100_2040_10p,z_ar_tasmax_rcp26_rp100_2040_10p</t>
  </si>
  <si>
    <t>tasmax_rcp26_rp100_2040_50p</t>
  </si>
  <si>
    <t>tasmax_rcp26_rp100_2040_50p,z_ar_tasmax_rcp26_rp100_2040_50p</t>
  </si>
  <si>
    <t>tasmax_rcp26_rp100_2040_90p</t>
  </si>
  <si>
    <t>tasmax_rcp26_rp100_2040_90p,z_ar_tasmax_rcp26_rp100_2040_90p</t>
  </si>
  <si>
    <t xml:space="preserve"> heat exposure (2018) - New  &gt;&gt;&gt;  Summer extreme maximum temperature (℃)  &gt;&gt;&gt;  100 year return period  &gt;&gt;&gt;  Low emissions  &gt;&gt;&gt;  2050</t>
  </si>
  <si>
    <t>tasmax_rcp26_rp100_2050_10p</t>
  </si>
  <si>
    <t>tasmax_rcp26_rp100_2050_10p,z_ar_tasmax_rcp26_rp100_2050_10p</t>
  </si>
  <si>
    <t>tasmax_rcp26_rp100_2050_50p</t>
  </si>
  <si>
    <t>tasmax_rcp26_rp100_2050_50p,z_ar_tasmax_rcp26_rp100_2050_50p</t>
  </si>
  <si>
    <t>tasmax_rcp26_rp100_2050_90p</t>
  </si>
  <si>
    <t>tasmax_rcp26_rp100_2050_90p,z_ar_tasmax_rcp26_rp100_2050_90p</t>
  </si>
  <si>
    <t xml:space="preserve"> heat exposure (2018) - New  &gt;&gt;&gt;  Summer extreme maximum temperature (℃)  &gt;&gt;&gt;  100 year return period  &gt;&gt;&gt;  Low emissions  &gt;&gt;&gt;  2060</t>
  </si>
  <si>
    <t>tasmax_rcp26_rp100_2060_10p</t>
  </si>
  <si>
    <t>tasmax_rcp26_rp100_2060_10p,z_ar_tasmax_rcp26_rp100_2060_10p</t>
  </si>
  <si>
    <t>tasmax_rcp26_rp100_2060_50p</t>
  </si>
  <si>
    <t>tasmax_rcp26_rp100_2060_50p,z_ar_tasmax_rcp26_rp100_2060_50p</t>
  </si>
  <si>
    <t>tasmax_rcp26_rp100_2060_90p</t>
  </si>
  <si>
    <t>tasmax_rcp26_rp100_2060_90p,z_ar_tasmax_rcp26_rp100_2060_90p</t>
  </si>
  <si>
    <t xml:space="preserve"> heat exposure (2018) - New  &gt;&gt;&gt;  Summer extreme maximum temperature (℃)  &gt;&gt;&gt;  100 year return period  &gt;&gt;&gt;  Low emissions  &gt;&gt;&gt;  2070</t>
  </si>
  <si>
    <t>tasmax_rcp26_rp100_2070_10p</t>
  </si>
  <si>
    <t>tasmax_rcp26_rp100_2070_10p,z_ar_tasmax_rcp26_rp100_2070_10p</t>
  </si>
  <si>
    <t>tasmax_rcp26_rp100_2070_50p</t>
  </si>
  <si>
    <t>tasmax_rcp26_rp100_2070_50p,z_ar_tasmax_rcp26_rp100_2070_50p</t>
  </si>
  <si>
    <t>tasmax_rcp26_rp100_2070_90p</t>
  </si>
  <si>
    <t>tasmax_rcp26_rp100_2070_90p,z_ar_tasmax_rcp26_rp100_2070_90p</t>
  </si>
  <si>
    <t xml:space="preserve"> heat exposure (2018) - New  &gt;&gt;&gt;  Summer extreme maximum temperature (℃)  &gt;&gt;&gt;  100 year return period  &gt;&gt;&gt;  Low emissions  &gt;&gt;&gt;  2080</t>
  </si>
  <si>
    <t>tasmax_rcp26_rp100_2080_10p</t>
  </si>
  <si>
    <t>tasmax_rcp26_rp100_2080_10p,z_ar_tasmax_rcp26_rp100_2080_10p</t>
  </si>
  <si>
    <t>tasmax_rcp26_rp100_2080_50p</t>
  </si>
  <si>
    <t>tasmax_rcp26_rp100_2080_50p,z_ar_tasmax_rcp26_rp100_2080_50p</t>
  </si>
  <si>
    <t>tasmax_rcp26_rp100_2080_90p</t>
  </si>
  <si>
    <t>tasmax_rcp26_rp100_2080_90p,z_ar_tasmax_rcp26_rp100_2080_90p</t>
  </si>
  <si>
    <t xml:space="preserve"> heat exposure (2018) - New  &gt;&gt;&gt;  Summer extreme maximum temperature (℃)  &gt;&gt;&gt;  100 year return period  &gt;&gt;&gt;  Low emissions  &gt;&gt;&gt;  2090</t>
  </si>
  <si>
    <t>tasmax_rcp26_rp100_2090_10p</t>
  </si>
  <si>
    <t>tasmax_rcp26_rp100_2090_10p,z_ar_tasmax_rcp26_rp100_2090_10p</t>
  </si>
  <si>
    <t>tasmax_rcp26_rp100_2090_50p</t>
  </si>
  <si>
    <t>tasmax_rcp26_rp100_2090_50p,z_ar_tasmax_rcp26_rp100_2090_50p</t>
  </si>
  <si>
    <t>tasmax_rcp26_rp100_2090_90p</t>
  </si>
  <si>
    <t>tasmax_rcp26_rp100_2090_90p,z_ar_tasmax_rcp26_rp100_2090_90p</t>
  </si>
  <si>
    <t xml:space="preserve"> heat exposure (2018) - New  &gt;&gt;&gt;  Summer extreme maximum temperature (℃)  &gt;&gt;&gt;  20 year return period  &gt;&gt;&gt;  Moderate emissions  &gt;&gt;&gt;  2020</t>
  </si>
  <si>
    <t>tasmax_rcp45_rp20_2020_10p</t>
  </si>
  <si>
    <t>tasmax_rcp45_rp20_2020_10p,z_ar_tasmax_rcp45_rp20_2020_10p</t>
  </si>
  <si>
    <t>tasmax_rcp45_rp20_2020_50p</t>
  </si>
  <si>
    <t>tasmax_rcp45_rp20_2020_50p,z_ar_tasmax_rcp45_rp20_2020_50p</t>
  </si>
  <si>
    <t>tasmax_rcp45_rp20_2020_90p</t>
  </si>
  <si>
    <t>tasmax_rcp45_rp20_2020_90p,z_ar_tasmax_rcp45_rp20_2020_90p</t>
  </si>
  <si>
    <t xml:space="preserve"> heat exposure (2018) - New  &gt;&gt;&gt;  Summer extreme maximum temperature (℃)  &gt;&gt;&gt;  20 year return period  &gt;&gt;&gt;  Moderate emissions  &gt;&gt;&gt;  2030</t>
  </si>
  <si>
    <t>tasmax_rcp45_rp20_2030_10p</t>
  </si>
  <si>
    <t>tasmax_rcp45_rp20_2030_10p,z_ar_tasmax_rcp45_rp20_2030_10p</t>
  </si>
  <si>
    <t>tasmax_rcp45_rp20_2030_50p</t>
  </si>
  <si>
    <t>tasmax_rcp45_rp20_2030_50p,z_ar_tasmax_rcp45_rp20_2030_50p</t>
  </si>
  <si>
    <t>tasmax_rcp45_rp20_2030_90p</t>
  </si>
  <si>
    <t>tasmax_rcp45_rp20_2030_90p,z_ar_tasmax_rcp45_rp20_2030_90p</t>
  </si>
  <si>
    <t xml:space="preserve"> heat exposure (2018) - New  &gt;&gt;&gt;  Summer extreme maximum temperature (℃)  &gt;&gt;&gt;  20 year return period  &gt;&gt;&gt;  Moderate emissions  &gt;&gt;&gt;  2040</t>
  </si>
  <si>
    <t>tasmax_rcp45_rp20_2040_10p</t>
  </si>
  <si>
    <t>tasmax_rcp45_rp20_2040_10p,z_ar_tasmax_rcp45_rp20_2040_10p</t>
  </si>
  <si>
    <t>tasmax_rcp45_rp20_2040_50p</t>
  </si>
  <si>
    <t>tasmax_rcp45_rp20_2040_50p,z_ar_tasmax_rcp45_rp20_2040_50p</t>
  </si>
  <si>
    <t>tasmax_rcp45_rp20_2040_90p</t>
  </si>
  <si>
    <t>tasmax_rcp45_rp20_2040_90p,z_ar_tasmax_rcp45_rp20_2040_90p</t>
  </si>
  <si>
    <t xml:space="preserve"> heat exposure (2018) - New  &gt;&gt;&gt;  Summer extreme maximum temperature (℃)  &gt;&gt;&gt;  20 year return period  &gt;&gt;&gt;  Moderate emissions  &gt;&gt;&gt;  2050</t>
  </si>
  <si>
    <t>tasmax_rcp45_rp20_2050_10p</t>
  </si>
  <si>
    <t>tasmax_rcp45_rp20_2050_10p,z_ar_tasmax_rcp45_rp20_2050_10p</t>
  </si>
  <si>
    <t>tasmax_rcp45_rp20_2050_50p</t>
  </si>
  <si>
    <t>tasmax_rcp45_rp20_2050_50p,z_ar_tasmax_rcp45_rp20_2050_50p</t>
  </si>
  <si>
    <t>tasmax_rcp45_rp20_2050_90p</t>
  </si>
  <si>
    <t>tasmax_rcp45_rp20_2050_90p,z_ar_tasmax_rcp45_rp20_2050_90p</t>
  </si>
  <si>
    <t xml:space="preserve"> heat exposure (2018) - New  &gt;&gt;&gt;  Summer extreme maximum temperature (℃)  &gt;&gt;&gt;  20 year return period  &gt;&gt;&gt;  Moderate emissions  &gt;&gt;&gt;  2060</t>
  </si>
  <si>
    <t>tasmax_rcp45_rp20_2060_10p</t>
  </si>
  <si>
    <t>tasmax_rcp45_rp20_2060_10p,z_ar_tasmax_rcp45_rp20_2060_10p</t>
  </si>
  <si>
    <t>tasmax_rcp45_rp20_2060_50p</t>
  </si>
  <si>
    <t>tasmax_rcp45_rp20_2060_50p,z_ar_tasmax_rcp45_rp20_2060_50p</t>
  </si>
  <si>
    <t>tasmax_rcp45_rp20_2060_90p</t>
  </si>
  <si>
    <t>tasmax_rcp45_rp20_2060_90p,z_ar_tasmax_rcp45_rp20_2060_90p</t>
  </si>
  <si>
    <t xml:space="preserve"> heat exposure (2018) - New  &gt;&gt;&gt;  Summer extreme maximum temperature (℃)  &gt;&gt;&gt;  20 year return period  &gt;&gt;&gt;  Moderate emissions  &gt;&gt;&gt;  2070</t>
  </si>
  <si>
    <t>tasmax_rcp45_rp20_2070_10p</t>
  </si>
  <si>
    <t>tasmax_rcp45_rp20_2070_10p,z_ar_tasmax_rcp45_rp20_2070_10p</t>
  </si>
  <si>
    <t>tasmax_rcp45_rp20_2070_50p</t>
  </si>
  <si>
    <t>tasmax_rcp45_rp20_2070_50p,z_ar_tasmax_rcp45_rp20_2070_50p</t>
  </si>
  <si>
    <t>tasmax_rcp45_rp20_2070_90p</t>
  </si>
  <si>
    <t>tasmax_rcp45_rp20_2070_90p,z_ar_tasmax_rcp45_rp20_2070_90p</t>
  </si>
  <si>
    <t xml:space="preserve"> heat exposure (2018) - New  &gt;&gt;&gt;  Summer extreme maximum temperature (℃)  &gt;&gt;&gt;  20 year return period  &gt;&gt;&gt;  Moderate emissions  &gt;&gt;&gt;  2080</t>
  </si>
  <si>
    <t>tasmax_rcp45_rp20_2080_10p</t>
  </si>
  <si>
    <t>tasmax_rcp45_rp20_2080_10p,z_ar_tasmax_rcp45_rp20_2080_10p</t>
  </si>
  <si>
    <t>tasmax_rcp45_rp20_2080_50p</t>
  </si>
  <si>
    <t>tasmax_rcp45_rp20_2080_50p,z_ar_tasmax_rcp45_rp20_2080_50p</t>
  </si>
  <si>
    <t>tasmax_rcp45_rp20_2080_90p</t>
  </si>
  <si>
    <t>tasmax_rcp45_rp20_2080_90p,z_ar_tasmax_rcp45_rp20_2080_90p</t>
  </si>
  <si>
    <t xml:space="preserve"> heat exposure (2018) - New  &gt;&gt;&gt;  Summer extreme maximum temperature (℃)  &gt;&gt;&gt;  20 year return period  &gt;&gt;&gt;  Moderate emissions  &gt;&gt;&gt;  2090</t>
  </si>
  <si>
    <t>tasmax_rcp45_rp20_2090_10p</t>
  </si>
  <si>
    <t>tasmax_rcp45_rp20_2090_10p,z_ar_tasmax_rcp45_rp20_2090_10p</t>
  </si>
  <si>
    <t>tasmax_rcp45_rp20_2090_50p</t>
  </si>
  <si>
    <t>tasmax_rcp45_rp20_2090_50p,z_ar_tasmax_rcp45_rp20_2090_50p</t>
  </si>
  <si>
    <t>tasmax_rcp45_rp20_2090_90p</t>
  </si>
  <si>
    <t>tasmax_rcp45_rp20_2090_90p,z_ar_tasmax_rcp45_rp20_2090_90p</t>
  </si>
  <si>
    <t xml:space="preserve"> heat exposure (2018) - New  &gt;&gt;&gt;  Summer extreme maximum temperature (℃)  &gt;&gt;&gt;  50 year return period  &gt;&gt;&gt;  Moderate emissions  &gt;&gt;&gt;  2020</t>
  </si>
  <si>
    <t>tasmax_rcp45_rp50_2020_10p</t>
  </si>
  <si>
    <t>tasmax_rcp45_rp50_2020_10p,z_ar_tasmax_rcp45_rp50_2020_10p</t>
  </si>
  <si>
    <t>tasmax_rcp45_rp50_2020_50p</t>
  </si>
  <si>
    <t>tasmax_rcp45_rp50_2020_50p,z_ar_tasmax_rcp45_rp50_2020_50p</t>
  </si>
  <si>
    <t>tasmax_rcp45_rp50_2020_90p</t>
  </si>
  <si>
    <t>tasmax_rcp45_rp50_2020_90p,z_ar_tasmax_rcp45_rp50_2020_90p</t>
  </si>
  <si>
    <t xml:space="preserve"> heat exposure (2018) - New  &gt;&gt;&gt;  Summer extreme maximum temperature (℃)  &gt;&gt;&gt;  50 year return period  &gt;&gt;&gt;  Moderate emissions  &gt;&gt;&gt;  2030</t>
  </si>
  <si>
    <t>tasmax_rcp45_rp50_2030_10p</t>
  </si>
  <si>
    <t>tasmax_rcp45_rp50_2030_10p,z_ar_tasmax_rcp45_rp50_2030_10p</t>
  </si>
  <si>
    <t>tasmax_rcp45_rp50_2030_50p</t>
  </si>
  <si>
    <t>tasmax_rcp45_rp50_2030_50p,z_ar_tasmax_rcp45_rp50_2030_50p</t>
  </si>
  <si>
    <t>tasmax_rcp45_rp50_2030_90p</t>
  </si>
  <si>
    <t>tasmax_rcp45_rp50_2030_90p,z_ar_tasmax_rcp45_rp50_2030_90p</t>
  </si>
  <si>
    <t xml:space="preserve"> heat exposure (2018) - New  &gt;&gt;&gt;  Summer extreme maximum temperature (℃)  &gt;&gt;&gt;  50 year return period  &gt;&gt;&gt;  Moderate emissions  &gt;&gt;&gt;  2040</t>
  </si>
  <si>
    <t>tasmax_rcp45_rp50_2040_10p</t>
  </si>
  <si>
    <t>tasmax_rcp45_rp50_2040_10p,z_ar_tasmax_rcp45_rp50_2040_10p</t>
  </si>
  <si>
    <t>tasmax_rcp45_rp50_2040_50p</t>
  </si>
  <si>
    <t>tasmax_rcp45_rp50_2040_50p,z_ar_tasmax_rcp45_rp50_2040_50p</t>
  </si>
  <si>
    <t>tasmax_rcp45_rp50_2040_90p</t>
  </si>
  <si>
    <t>tasmax_rcp45_rp50_2040_90p,z_ar_tasmax_rcp45_rp50_2040_90p</t>
  </si>
  <si>
    <t xml:space="preserve"> heat exposure (2018) - New  &gt;&gt;&gt;  Summer extreme maximum temperature (℃)  &gt;&gt;&gt;  50 year return period  &gt;&gt;&gt;  Moderate emissions  &gt;&gt;&gt;  2050</t>
  </si>
  <si>
    <t>tasmax_rcp45_rp50_2050_10p</t>
  </si>
  <si>
    <t>tasmax_rcp45_rp50_2050_10p,z_ar_tasmax_rcp45_rp50_2050_10p</t>
  </si>
  <si>
    <t>tasmax_rcp45_rp50_2050_50p</t>
  </si>
  <si>
    <t>tasmax_rcp45_rp50_2050_50p,z_ar_tasmax_rcp45_rp50_2050_50p</t>
  </si>
  <si>
    <t>tasmax_rcp45_rp50_2050_90p</t>
  </si>
  <si>
    <t>tasmax_rcp45_rp50_2050_90p,z_ar_tasmax_rcp45_rp50_2050_90p</t>
  </si>
  <si>
    <t xml:space="preserve"> heat exposure (2018) - New  &gt;&gt;&gt;  Summer extreme maximum temperature (℃)  &gt;&gt;&gt;  50 year return period  &gt;&gt;&gt;  Moderate emissions  &gt;&gt;&gt;  2060</t>
  </si>
  <si>
    <t>tasmax_rcp45_rp50_2060_10p</t>
  </si>
  <si>
    <t>tasmax_rcp45_rp50_2060_10p,z_ar_tasmax_rcp45_rp50_2060_10p</t>
  </si>
  <si>
    <t>tasmax_rcp45_rp50_2060_50p</t>
  </si>
  <si>
    <t>tasmax_rcp45_rp50_2060_50p,z_ar_tasmax_rcp45_rp50_2060_50p</t>
  </si>
  <si>
    <t>tasmax_rcp45_rp50_2060_90p</t>
  </si>
  <si>
    <t>tasmax_rcp45_rp50_2060_90p,z_ar_tasmax_rcp45_rp50_2060_90p</t>
  </si>
  <si>
    <t xml:space="preserve"> heat exposure (2018) - New  &gt;&gt;&gt;  Summer extreme maximum temperature (℃)  &gt;&gt;&gt;  50 year return period  &gt;&gt;&gt;  Moderate emissions  &gt;&gt;&gt;  2070</t>
  </si>
  <si>
    <t>tasmax_rcp45_rp50_2070_10p</t>
  </si>
  <si>
    <t>tasmax_rcp45_rp50_2070_10p,z_ar_tasmax_rcp45_rp50_2070_10p</t>
  </si>
  <si>
    <t>tasmax_rcp45_rp50_2070_50p</t>
  </si>
  <si>
    <t>tasmax_rcp45_rp50_2070_50p,z_ar_tasmax_rcp45_rp50_2070_50p</t>
  </si>
  <si>
    <t>tasmax_rcp45_rp50_2070_90p</t>
  </si>
  <si>
    <t>tasmax_rcp45_rp50_2070_90p,z_ar_tasmax_rcp45_rp50_2070_90p</t>
  </si>
  <si>
    <t xml:space="preserve"> heat exposure (2018) - New  &gt;&gt;&gt;  Summer extreme maximum temperature (℃)  &gt;&gt;&gt;  50 year return period  &gt;&gt;&gt;  Moderate emissions  &gt;&gt;&gt;  2080</t>
  </si>
  <si>
    <t>tasmax_rcp45_rp50_2080_10p</t>
  </si>
  <si>
    <t>tasmax_rcp45_rp50_2080_10p,z_ar_tasmax_rcp45_rp50_2080_10p</t>
  </si>
  <si>
    <t>tasmax_rcp45_rp50_2080_50p</t>
  </si>
  <si>
    <t>tasmax_rcp45_rp50_2080_50p,z_ar_tasmax_rcp45_rp50_2080_50p</t>
  </si>
  <si>
    <t>tasmax_rcp45_rp50_2080_90p</t>
  </si>
  <si>
    <t>tasmax_rcp45_rp50_2080_90p,z_ar_tasmax_rcp45_rp50_2080_90p</t>
  </si>
  <si>
    <t xml:space="preserve"> heat exposure (2018) - New  &gt;&gt;&gt;  Summer extreme maximum temperature (℃)  &gt;&gt;&gt;  50 year return period  &gt;&gt;&gt;  Moderate emissions  &gt;&gt;&gt;  2090</t>
  </si>
  <si>
    <t>tasmax_rcp45_rp50_2090_10p</t>
  </si>
  <si>
    <t>tasmax_rcp45_rp50_2090_10p,z_ar_tasmax_rcp45_rp50_2090_10p</t>
  </si>
  <si>
    <t>tasmax_rcp45_rp50_2090_50p</t>
  </si>
  <si>
    <t>tasmax_rcp45_rp50_2090_50p,z_ar_tasmax_rcp45_rp50_2090_50p</t>
  </si>
  <si>
    <t>tasmax_rcp45_rp50_2090_90p</t>
  </si>
  <si>
    <t>tasmax_rcp45_rp50_2090_90p,z_ar_tasmax_rcp45_rp50_2090_90p</t>
  </si>
  <si>
    <t xml:space="preserve"> heat exposure (2018) - New  &gt;&gt;&gt;  Summer extreme maximum temperature (℃)  &gt;&gt;&gt;  100 year return period  &gt;&gt;&gt;  Moderate emissions  &gt;&gt;&gt;  2020</t>
  </si>
  <si>
    <t>tasmax_rcp45_rp100_2020_10p</t>
  </si>
  <si>
    <t>tasmax_rcp45_rp100_2020_10p,z_ar_tasmax_rcp45_rp100_2020_10p</t>
  </si>
  <si>
    <t>tasmax_rcp45_rp100_2020_50p</t>
  </si>
  <si>
    <t>tasmax_rcp45_rp100_2020_50p,z_ar_tasmax_rcp45_rp100_2020_50p</t>
  </si>
  <si>
    <t>tasmax_rcp45_rp100_2020_90p</t>
  </si>
  <si>
    <t>tasmax_rcp45_rp100_2020_90p,z_ar_tasmax_rcp45_rp100_2020_90p</t>
  </si>
  <si>
    <t xml:space="preserve"> heat exposure (2018) - New  &gt;&gt;&gt;  Summer extreme maximum temperature (℃)  &gt;&gt;&gt;  100 year return period  &gt;&gt;&gt;  Moderate emissions  &gt;&gt;&gt;  2030</t>
  </si>
  <si>
    <t>tasmax_rcp45_rp100_2030_10p</t>
  </si>
  <si>
    <t>tasmax_rcp45_rp100_2030_10p,z_ar_tasmax_rcp45_rp100_2030_10p</t>
  </si>
  <si>
    <t>tasmax_rcp45_rp100_2030_50p</t>
  </si>
  <si>
    <t>tasmax_rcp45_rp100_2030_50p,z_ar_tasmax_rcp45_rp100_2030_50p</t>
  </si>
  <si>
    <t>tasmax_rcp45_rp100_2030_90p</t>
  </si>
  <si>
    <t>tasmax_rcp45_rp100_2030_90p,z_ar_tasmax_rcp45_rp100_2030_90p</t>
  </si>
  <si>
    <t xml:space="preserve"> heat exposure (2018) - New  &gt;&gt;&gt;  Summer extreme maximum temperature (℃)  &gt;&gt;&gt;  100 year return period  &gt;&gt;&gt;  Moderate emissions  &gt;&gt;&gt;  2040</t>
  </si>
  <si>
    <t>tasmax_rcp45_rp100_2040_10p</t>
  </si>
  <si>
    <t>tasmax_rcp45_rp100_2040_10p,z_ar_tasmax_rcp45_rp100_2040_10p</t>
  </si>
  <si>
    <t>tasmax_rcp45_rp100_2040_50p</t>
  </si>
  <si>
    <t>tasmax_rcp45_rp100_2040_50p,z_ar_tasmax_rcp45_rp100_2040_50p</t>
  </si>
  <si>
    <t>tasmax_rcp45_rp100_2040_90p</t>
  </si>
  <si>
    <t>tasmax_rcp45_rp100_2040_90p,z_ar_tasmax_rcp45_rp100_2040_90p</t>
  </si>
  <si>
    <t xml:space="preserve"> heat exposure (2018) - New  &gt;&gt;&gt;  Summer extreme maximum temperature (℃)  &gt;&gt;&gt;  100 year return period  &gt;&gt;&gt;  Moderate emissions  &gt;&gt;&gt;  2050</t>
  </si>
  <si>
    <t>tasmax_rcp45_rp100_2050_10p</t>
  </si>
  <si>
    <t>tasmax_rcp45_rp100_2050_10p,z_ar_tasmax_rcp45_rp100_2050_10p</t>
  </si>
  <si>
    <t>tasmax_rcp45_rp100_2050_50p</t>
  </si>
  <si>
    <t>tasmax_rcp45_rp100_2050_50p,z_ar_tasmax_rcp45_rp100_2050_50p</t>
  </si>
  <si>
    <t>tasmax_rcp45_rp100_2050_90p</t>
  </si>
  <si>
    <t>tasmax_rcp45_rp100_2050_90p,z_ar_tasmax_rcp45_rp100_2050_90p</t>
  </si>
  <si>
    <t xml:space="preserve"> heat exposure (2018) - New  &gt;&gt;&gt;  Summer extreme maximum temperature (℃)  &gt;&gt;&gt;  100 year return period  &gt;&gt;&gt;  Moderate emissions  &gt;&gt;&gt;  2060</t>
  </si>
  <si>
    <t>tasmax_rcp45_rp100_2060_10p</t>
  </si>
  <si>
    <t>tasmax_rcp45_rp100_2060_10p,z_ar_tasmax_rcp45_rp100_2060_10p</t>
  </si>
  <si>
    <t>tasmax_rcp45_rp100_2060_50p</t>
  </si>
  <si>
    <t>tasmax_rcp45_rp100_2060_50p,z_ar_tasmax_rcp45_rp100_2060_50p</t>
  </si>
  <si>
    <t>tasmax_rcp45_rp100_2060_90p</t>
  </si>
  <si>
    <t>tasmax_rcp45_rp100_2060_90p,z_ar_tasmax_rcp45_rp100_2060_90p</t>
  </si>
  <si>
    <t xml:space="preserve"> heat exposure (2018) - New  &gt;&gt;&gt;  Summer extreme maximum temperature (℃)  &gt;&gt;&gt;  100 year return period  &gt;&gt;&gt;  Moderate emissions  &gt;&gt;&gt;  2070</t>
  </si>
  <si>
    <t>tasmax_rcp45_rp100_2070_10p</t>
  </si>
  <si>
    <t>tasmax_rcp45_rp100_2070_10p,z_ar_tasmax_rcp45_rp100_2070_10p</t>
  </si>
  <si>
    <t>tasmax_rcp45_rp100_2070_50p</t>
  </si>
  <si>
    <t>tasmax_rcp45_rp100_2070_50p,z_ar_tasmax_rcp45_rp100_2070_50p</t>
  </si>
  <si>
    <t>tasmax_rcp45_rp100_2070_90p</t>
  </si>
  <si>
    <t>tasmax_rcp45_rp100_2070_90p,z_ar_tasmax_rcp45_rp100_2070_90p</t>
  </si>
  <si>
    <t xml:space="preserve"> heat exposure (2018) - New  &gt;&gt;&gt;  Summer extreme maximum temperature (℃)  &gt;&gt;&gt;  100 year return period  &gt;&gt;&gt;  Moderate emissions  &gt;&gt;&gt;  2080</t>
  </si>
  <si>
    <t>tasmax_rcp45_rp100_2080_10p</t>
  </si>
  <si>
    <t>tasmax_rcp45_rp100_2080_10p,z_ar_tasmax_rcp45_rp100_2080_10p</t>
  </si>
  <si>
    <t>tasmax_rcp45_rp100_2080_50p</t>
  </si>
  <si>
    <t>tasmax_rcp45_rp100_2080_50p,z_ar_tasmax_rcp45_rp100_2080_50p</t>
  </si>
  <si>
    <t>tasmax_rcp45_rp100_2080_90p</t>
  </si>
  <si>
    <t>tasmax_rcp45_rp100_2080_90p,z_ar_tasmax_rcp45_rp100_2080_90p</t>
  </si>
  <si>
    <t xml:space="preserve"> heat exposure (2018) - New  &gt;&gt;&gt;  Summer extreme maximum temperature (℃)  &gt;&gt;&gt;  100 year return period  &gt;&gt;&gt;  Moderate emissions  &gt;&gt;&gt;  2090</t>
  </si>
  <si>
    <t>tasmax_rcp45_rp100_2090_10p</t>
  </si>
  <si>
    <t>tasmax_rcp45_rp100_2090_10p,z_ar_tasmax_rcp45_rp100_2090_10p</t>
  </si>
  <si>
    <t>tasmax_rcp45_rp100_2090_50p</t>
  </si>
  <si>
    <t>tasmax_rcp45_rp100_2090_50p,z_ar_tasmax_rcp45_rp100_2090_50p</t>
  </si>
  <si>
    <t>tasmax_rcp45_rp100_2090_90p</t>
  </si>
  <si>
    <t>tasmax_rcp45_rp100_2090_90p,z_ar_tasmax_rcp45_rp100_2090_90p</t>
  </si>
  <si>
    <t xml:space="preserve"> heat exposure (2018) - New  &gt;&gt;&gt;  Summer extreme maximum temperature (℃)  &gt;&gt;&gt;  20 year return period  &gt;&gt;&gt;  High emissions  &gt;&gt;&gt;  2020</t>
  </si>
  <si>
    <t>tasmax_rcp60_rp20_2020_10p</t>
  </si>
  <si>
    <t>tasmax_rcp60_rp20_2020_10p,z_ar_tasmax_rcp60_rp20_2020_10p</t>
  </si>
  <si>
    <t>tasmax_rcp60_rp20_2020_50p</t>
  </si>
  <si>
    <t>tasmax_rcp60_rp20_2020_50p,z_ar_tasmax_rcp60_rp20_2020_50p</t>
  </si>
  <si>
    <t>tasmax_rcp60_rp20_2020_90p</t>
  </si>
  <si>
    <t>tasmax_rcp60_rp20_2020_90p,z_ar_tasmax_rcp60_rp20_2020_90p</t>
  </si>
  <si>
    <t xml:space="preserve"> heat exposure (2018) - New  &gt;&gt;&gt;  Summer extreme maximum temperature (℃)  &gt;&gt;&gt;  20 year return period  &gt;&gt;&gt;  High emissions  &gt;&gt;&gt;  2030</t>
  </si>
  <si>
    <t>tasmax_rcp60_rp20_2030_10p</t>
  </si>
  <si>
    <t>tasmax_rcp60_rp20_2030_10p,z_ar_tasmax_rcp60_rp20_2030_10p</t>
  </si>
  <si>
    <t>tasmax_rcp60_rp20_2030_50p</t>
  </si>
  <si>
    <t>tasmax_rcp60_rp20_2030_50p,z_ar_tasmax_rcp60_rp20_2030_50p</t>
  </si>
  <si>
    <t>tasmax_rcp60_rp20_2030_90p</t>
  </si>
  <si>
    <t>tasmax_rcp60_rp20_2030_90p,z_ar_tasmax_rcp60_rp20_2030_90p</t>
  </si>
  <si>
    <t xml:space="preserve"> heat exposure (2018) - New  &gt;&gt;&gt;  Summer extreme maximum temperature (℃)  &gt;&gt;&gt;  20 year return period  &gt;&gt;&gt;  High emissions  &gt;&gt;&gt;  2040</t>
  </si>
  <si>
    <t>tasmax_rcp60_rp20_2040_10p</t>
  </si>
  <si>
    <t>tasmax_rcp60_rp20_2040_10p,z_ar_tasmax_rcp60_rp20_2040_10p</t>
  </si>
  <si>
    <t>tasmax_rcp60_rp20_2040_50p</t>
  </si>
  <si>
    <t>tasmax_rcp60_rp20_2040_50p,z_ar_tasmax_rcp60_rp20_2040_50p</t>
  </si>
  <si>
    <t>tasmax_rcp60_rp20_2040_90p</t>
  </si>
  <si>
    <t>tasmax_rcp60_rp20_2040_90p,z_ar_tasmax_rcp60_rp20_2040_90p</t>
  </si>
  <si>
    <t xml:space="preserve"> heat exposure (2018) - New  &gt;&gt;&gt;  Summer extreme maximum temperature (℃)  &gt;&gt;&gt;  20 year return period  &gt;&gt;&gt;  High emissions  &gt;&gt;&gt;  2050</t>
  </si>
  <si>
    <t>tasmax_rcp60_rp20_2050_10p</t>
  </si>
  <si>
    <t>tasmax_rcp60_rp20_2050_10p,z_ar_tasmax_rcp60_rp20_2050_10p</t>
  </si>
  <si>
    <t>tasmax_rcp60_rp20_2050_50p</t>
  </si>
  <si>
    <t>tasmax_rcp60_rp20_2050_50p,z_ar_tasmax_rcp60_rp20_2050_50p</t>
  </si>
  <si>
    <t>tasmax_rcp60_rp20_2050_90p</t>
  </si>
  <si>
    <t>tasmax_rcp60_rp20_2050_90p,z_ar_tasmax_rcp60_rp20_2050_90p</t>
  </si>
  <si>
    <t xml:space="preserve"> heat exposure (2018) - New  &gt;&gt;&gt;  Summer extreme maximum temperature (℃)  &gt;&gt;&gt;  20 year return period  &gt;&gt;&gt;  High emissions  &gt;&gt;&gt;  2060</t>
  </si>
  <si>
    <t>tasmax_rcp60_rp20_2060_10p</t>
  </si>
  <si>
    <t>tasmax_rcp60_rp20_2060_10p,z_ar_tasmax_rcp60_rp20_2060_10p</t>
  </si>
  <si>
    <t>tasmax_rcp60_rp20_2060_50p</t>
  </si>
  <si>
    <t>tasmax_rcp60_rp20_2060_50p,z_ar_tasmax_rcp60_rp20_2060_50p</t>
  </si>
  <si>
    <t>tasmax_rcp60_rp20_2060_90p</t>
  </si>
  <si>
    <t>tasmax_rcp60_rp20_2060_90p,z_ar_tasmax_rcp60_rp20_2060_90p</t>
  </si>
  <si>
    <t xml:space="preserve"> heat exposure (2018) - New  &gt;&gt;&gt;  Summer extreme maximum temperature (℃)  &gt;&gt;&gt;  20 year return period  &gt;&gt;&gt;  High emissions  &gt;&gt;&gt;  2070</t>
  </si>
  <si>
    <t>tasmax_rcp60_rp20_2070_10p</t>
  </si>
  <si>
    <t>tasmax_rcp60_rp20_2070_10p,z_ar_tasmax_rcp60_rp20_2070_10p</t>
  </si>
  <si>
    <t>tasmax_rcp60_rp20_2070_50p</t>
  </si>
  <si>
    <t>tasmax_rcp60_rp20_2070_50p,z_ar_tasmax_rcp60_rp20_2070_50p</t>
  </si>
  <si>
    <t>tasmax_rcp60_rp20_2070_90p</t>
  </si>
  <si>
    <t>tasmax_rcp60_rp20_2070_90p,z_ar_tasmax_rcp60_rp20_2070_90p</t>
  </si>
  <si>
    <t xml:space="preserve"> heat exposure (2018) - New  &gt;&gt;&gt;  Summer extreme maximum temperature (℃)  &gt;&gt;&gt;  20 year return period  &gt;&gt;&gt;  High emissions  &gt;&gt;&gt;  2080</t>
  </si>
  <si>
    <t>tasmax_rcp60_rp20_2080_10p</t>
  </si>
  <si>
    <t>tasmax_rcp60_rp20_2080_10p,z_ar_tasmax_rcp60_rp20_2080_10p</t>
  </si>
  <si>
    <t>tasmax_rcp60_rp20_2080_50p</t>
  </si>
  <si>
    <t>tasmax_rcp60_rp20_2080_50p,z_ar_tasmax_rcp60_rp20_2080_50p</t>
  </si>
  <si>
    <t>tasmax_rcp60_rp20_2080_90p</t>
  </si>
  <si>
    <t>tasmax_rcp60_rp20_2080_90p,z_ar_tasmax_rcp60_rp20_2080_90p</t>
  </si>
  <si>
    <t xml:space="preserve"> heat exposure (2018) - New  &gt;&gt;&gt;  Summer extreme maximum temperature (℃)  &gt;&gt;&gt;  20 year return period  &gt;&gt;&gt;  High emissions  &gt;&gt;&gt;  2090</t>
  </si>
  <si>
    <t>tasmax_rcp60_rp20_2090_10p</t>
  </si>
  <si>
    <t>tasmax_rcp60_rp20_2090_10p,z_ar_tasmax_rcp60_rp20_2090_10p</t>
  </si>
  <si>
    <t>tasmax_rcp60_rp20_2090_50p</t>
  </si>
  <si>
    <t>tasmax_rcp60_rp20_2090_50p,z_ar_tasmax_rcp60_rp20_2090_50p</t>
  </si>
  <si>
    <t>tasmax_rcp60_rp20_2090_90p</t>
  </si>
  <si>
    <t>tasmax_rcp60_rp20_2090_90p,z_ar_tasmax_rcp60_rp20_2090_90p</t>
  </si>
  <si>
    <t xml:space="preserve"> heat exposure (2018) - New  &gt;&gt;&gt;  Summer extreme maximum temperature (℃)  &gt;&gt;&gt;  50 year return period  &gt;&gt;&gt;  High emissions  &gt;&gt;&gt;  2020</t>
  </si>
  <si>
    <t>tasmax_rcp60_rp50_2020_10p</t>
  </si>
  <si>
    <t>tasmax_rcp60_rp50_2020_10p,z_ar_tasmax_rcp60_rp50_2020_10p</t>
  </si>
  <si>
    <t>tasmax_rcp60_rp50_2020_50p</t>
  </si>
  <si>
    <t>tasmax_rcp60_rp50_2020_50p,z_ar_tasmax_rcp60_rp50_2020_50p</t>
  </si>
  <si>
    <t>tasmax_rcp60_rp50_2020_90p</t>
  </si>
  <si>
    <t>tasmax_rcp60_rp50_2020_90p,z_ar_tasmax_rcp60_rp50_2020_90p</t>
  </si>
  <si>
    <t xml:space="preserve"> heat exposure (2018) - New  &gt;&gt;&gt;  Summer extreme maximum temperature (℃)  &gt;&gt;&gt;  50 year return period  &gt;&gt;&gt;  High emissions  &gt;&gt;&gt;  2030</t>
  </si>
  <si>
    <t>tasmax_rcp60_rp50_2030_10p</t>
  </si>
  <si>
    <t>tasmax_rcp60_rp50_2030_10p,z_ar_tasmax_rcp60_rp50_2030_10p</t>
  </si>
  <si>
    <t>tasmax_rcp60_rp50_2030_50p</t>
  </si>
  <si>
    <t>tasmax_rcp60_rp50_2030_50p,z_ar_tasmax_rcp60_rp50_2030_50p</t>
  </si>
  <si>
    <t>tasmax_rcp60_rp50_2030_90p</t>
  </si>
  <si>
    <t>tasmax_rcp60_rp50_2030_90p,z_ar_tasmax_rcp60_rp50_2030_90p</t>
  </si>
  <si>
    <t xml:space="preserve"> heat exposure (2018) - New  &gt;&gt;&gt;  Summer extreme maximum temperature (℃)  &gt;&gt;&gt;  50 year return period  &gt;&gt;&gt;  High emissions  &gt;&gt;&gt;  2040</t>
  </si>
  <si>
    <t>tasmax_rcp60_rp50_2040_10p</t>
  </si>
  <si>
    <t>tasmax_rcp60_rp50_2040_10p,z_ar_tasmax_rcp60_rp50_2040_10p</t>
  </si>
  <si>
    <t>tasmax_rcp60_rp50_2040_50p</t>
  </si>
  <si>
    <t>tasmax_rcp60_rp50_2040_50p,z_ar_tasmax_rcp60_rp50_2040_50p</t>
  </si>
  <si>
    <t>tasmax_rcp60_rp50_2040_90p</t>
  </si>
  <si>
    <t>tasmax_rcp60_rp50_2040_90p,z_ar_tasmax_rcp60_rp50_2040_90p</t>
  </si>
  <si>
    <t xml:space="preserve"> heat exposure (2018) - New  &gt;&gt;&gt;  Summer extreme maximum temperature (℃)  &gt;&gt;&gt;  50 year return period  &gt;&gt;&gt;  High emissions  &gt;&gt;&gt;  2050</t>
  </si>
  <si>
    <t>tasmax_rcp60_rp50_2050_10p</t>
  </si>
  <si>
    <t>tasmax_rcp60_rp50_2050_10p,z_ar_tasmax_rcp60_rp50_2050_10p</t>
  </si>
  <si>
    <t>tasmax_rcp60_rp50_2050_50p</t>
  </si>
  <si>
    <t>tasmax_rcp60_rp50_2050_50p,z_ar_tasmax_rcp60_rp50_2050_50p</t>
  </si>
  <si>
    <t>tasmax_rcp60_rp50_2050_90p</t>
  </si>
  <si>
    <t>tasmax_rcp60_rp50_2050_90p,z_ar_tasmax_rcp60_rp50_2050_90p</t>
  </si>
  <si>
    <t xml:space="preserve"> heat exposure (2018) - New  &gt;&gt;&gt;  Summer extreme maximum temperature (℃)  &gt;&gt;&gt;  50 year return period  &gt;&gt;&gt;  High emissions  &gt;&gt;&gt;  2060</t>
  </si>
  <si>
    <t>tasmax_rcp60_rp50_2060_10p</t>
  </si>
  <si>
    <t>tasmax_rcp60_rp50_2060_10p,z_ar_tasmax_rcp60_rp50_2060_10p</t>
  </si>
  <si>
    <t>tasmax_rcp60_rp50_2060_50p</t>
  </si>
  <si>
    <t>tasmax_rcp60_rp50_2060_50p,z_ar_tasmax_rcp60_rp50_2060_50p</t>
  </si>
  <si>
    <t>tasmax_rcp60_rp50_2060_90p</t>
  </si>
  <si>
    <t>tasmax_rcp60_rp50_2060_90p,z_ar_tasmax_rcp60_rp50_2060_90p</t>
  </si>
  <si>
    <t xml:space="preserve"> heat exposure (2018) - New  &gt;&gt;&gt;  Summer extreme maximum temperature (℃)  &gt;&gt;&gt;  50 year return period  &gt;&gt;&gt;  High emissions  &gt;&gt;&gt;  2070</t>
  </si>
  <si>
    <t>tasmax_rcp60_rp50_2070_10p</t>
  </si>
  <si>
    <t>tasmax_rcp60_rp50_2070_10p,z_ar_tasmax_rcp60_rp50_2070_10p</t>
  </si>
  <si>
    <t>tasmax_rcp60_rp50_2070_50p</t>
  </si>
  <si>
    <t>tasmax_rcp60_rp50_2070_50p,z_ar_tasmax_rcp60_rp50_2070_50p</t>
  </si>
  <si>
    <t>tasmax_rcp60_rp50_2070_90p</t>
  </si>
  <si>
    <t>tasmax_rcp60_rp50_2070_90p,z_ar_tasmax_rcp60_rp50_2070_90p</t>
  </si>
  <si>
    <t xml:space="preserve"> heat exposure (2018) - New  &gt;&gt;&gt;  Summer extreme maximum temperature (℃)  &gt;&gt;&gt;  50 year return period  &gt;&gt;&gt;  High emissions  &gt;&gt;&gt;  2080</t>
  </si>
  <si>
    <t>tasmax_rcp60_rp50_2080_10p</t>
  </si>
  <si>
    <t>tasmax_rcp60_rp50_2080_10p,z_ar_tasmax_rcp60_rp50_2080_10p</t>
  </si>
  <si>
    <t>tasmax_rcp60_rp50_2080_50p</t>
  </si>
  <si>
    <t>tasmax_rcp60_rp50_2080_50p,z_ar_tasmax_rcp60_rp50_2080_50p</t>
  </si>
  <si>
    <t>tasmax_rcp60_rp50_2080_90p</t>
  </si>
  <si>
    <t>tasmax_rcp60_rp50_2080_90p,z_ar_tasmax_rcp60_rp50_2080_90p</t>
  </si>
  <si>
    <t xml:space="preserve"> heat exposure (2018) - New  &gt;&gt;&gt;  Summer extreme maximum temperature (℃)  &gt;&gt;&gt;  50 year return period  &gt;&gt;&gt;  High emissions  &gt;&gt;&gt;  2090</t>
  </si>
  <si>
    <t>tasmax_rcp60_rp50_2090_10p</t>
  </si>
  <si>
    <t>tasmax_rcp60_rp50_2090_10p,z_ar_tasmax_rcp60_rp50_2090_10p</t>
  </si>
  <si>
    <t>tasmax_rcp60_rp50_2090_50p</t>
  </si>
  <si>
    <t>tasmax_rcp60_rp50_2090_50p,z_ar_tasmax_rcp60_rp50_2090_50p</t>
  </si>
  <si>
    <t>tasmax_rcp60_rp50_2090_90p</t>
  </si>
  <si>
    <t>tasmax_rcp60_rp50_2090_90p,z_ar_tasmax_rcp60_rp50_2090_90p</t>
  </si>
  <si>
    <t xml:space="preserve"> heat exposure (2018) - New  &gt;&gt;&gt;  Summer extreme maximum temperature (℃)  &gt;&gt;&gt;  100 year return period  &gt;&gt;&gt;  High emissions  &gt;&gt;&gt;  2020</t>
  </si>
  <si>
    <t>tasmax_rcp60_rp100_2020_10p</t>
  </si>
  <si>
    <t>tasmax_rcp60_rp100_2020_10p,z_ar_tasmax_rcp60_rp100_2020_10p</t>
  </si>
  <si>
    <t>tasmax_rcp60_rp100_2020_50p</t>
  </si>
  <si>
    <t>tasmax_rcp60_rp100_2020_50p,z_ar_tasmax_rcp60_rp100_2020_50p</t>
  </si>
  <si>
    <t>tasmax_rcp60_rp100_2020_90p</t>
  </si>
  <si>
    <t>tasmax_rcp60_rp100_2020_90p,z_ar_tasmax_rcp60_rp100_2020_90p</t>
  </si>
  <si>
    <t xml:space="preserve"> heat exposure (2018) - New  &gt;&gt;&gt;  Summer extreme maximum temperature (℃)  &gt;&gt;&gt;  100 year return period  &gt;&gt;&gt;  High emissions  &gt;&gt;&gt;  2030</t>
  </si>
  <si>
    <t>tasmax_rcp60_rp100_2030_10p</t>
  </si>
  <si>
    <t>tasmax_rcp60_rp100_2030_10p,z_ar_tasmax_rcp60_rp100_2030_10p</t>
  </si>
  <si>
    <t>tasmax_rcp60_rp100_2030_50p</t>
  </si>
  <si>
    <t>tasmax_rcp60_rp100_2030_50p,z_ar_tasmax_rcp60_rp100_2030_50p</t>
  </si>
  <si>
    <t>tasmax_rcp60_rp100_2030_90p</t>
  </si>
  <si>
    <t>tasmax_rcp60_rp100_2030_90p,z_ar_tasmax_rcp60_rp100_2030_90p</t>
  </si>
  <si>
    <t xml:space="preserve"> heat exposure (2018) - New  &gt;&gt;&gt;  Summer extreme maximum temperature (℃)  &gt;&gt;&gt;  100 year return period  &gt;&gt;&gt;  High emissions  &gt;&gt;&gt;  2040</t>
  </si>
  <si>
    <t>tasmax_rcp60_rp100_2040_10p</t>
  </si>
  <si>
    <t>tasmax_rcp60_rp100_2040_10p,z_ar_tasmax_rcp60_rp100_2040_10p</t>
  </si>
  <si>
    <t>tasmax_rcp60_rp100_2040_50p</t>
  </si>
  <si>
    <t>tasmax_rcp60_rp100_2040_50p,z_ar_tasmax_rcp60_rp100_2040_50p</t>
  </si>
  <si>
    <t>tasmax_rcp60_rp100_2040_90p</t>
  </si>
  <si>
    <t>tasmax_rcp60_rp100_2040_90p,z_ar_tasmax_rcp60_rp100_2040_90p</t>
  </si>
  <si>
    <t xml:space="preserve"> heat exposure (2018) - New  &gt;&gt;&gt;  Summer extreme maximum temperature (℃)  &gt;&gt;&gt;  100 year return period  &gt;&gt;&gt;  High emissions  &gt;&gt;&gt;  2050</t>
  </si>
  <si>
    <t>tasmax_rcp60_rp100_2050_10p</t>
  </si>
  <si>
    <t>tasmax_rcp60_rp100_2050_10p,z_ar_tasmax_rcp60_rp100_2050_10p</t>
  </si>
  <si>
    <t>tasmax_rcp60_rp100_2050_50p</t>
  </si>
  <si>
    <t>tasmax_rcp60_rp100_2050_50p,z_ar_tasmax_rcp60_rp100_2050_50p</t>
  </si>
  <si>
    <t>tasmax_rcp60_rp100_2050_90p</t>
  </si>
  <si>
    <t>tasmax_rcp60_rp100_2050_90p,z_ar_tasmax_rcp60_rp100_2050_90p</t>
  </si>
  <si>
    <t xml:space="preserve"> heat exposure (2018) - New  &gt;&gt;&gt;  Summer extreme maximum temperature (℃)  &gt;&gt;&gt;  100 year return period  &gt;&gt;&gt;  High emissions  &gt;&gt;&gt;  2060</t>
  </si>
  <si>
    <t>tasmax_rcp60_rp100_2060_10p</t>
  </si>
  <si>
    <t>tasmax_rcp60_rp100_2060_10p,z_ar_tasmax_rcp60_rp100_2060_10p</t>
  </si>
  <si>
    <t>tasmax_rcp60_rp100_2060_50p</t>
  </si>
  <si>
    <t>tasmax_rcp60_rp100_2060_50p,z_ar_tasmax_rcp60_rp100_2060_50p</t>
  </si>
  <si>
    <t>tasmax_rcp60_rp100_2060_90p</t>
  </si>
  <si>
    <t>tasmax_rcp60_rp100_2060_90p,z_ar_tasmax_rcp60_rp100_2060_90p</t>
  </si>
  <si>
    <t xml:space="preserve"> heat exposure (2018) - New  &gt;&gt;&gt;  Summer extreme maximum temperature (℃)  &gt;&gt;&gt;  100 year return period  &gt;&gt;&gt;  High emissions  &gt;&gt;&gt;  2070</t>
  </si>
  <si>
    <t>tasmax_rcp60_rp100_2070_10p</t>
  </si>
  <si>
    <t>tasmax_rcp60_rp100_2070_10p,z_ar_tasmax_rcp60_rp100_2070_10p</t>
  </si>
  <si>
    <t>tasmax_rcp60_rp100_2070_50p</t>
  </si>
  <si>
    <t>tasmax_rcp60_rp100_2070_50p,z_ar_tasmax_rcp60_rp100_2070_50p</t>
  </si>
  <si>
    <t>tasmax_rcp60_rp100_2070_90p</t>
  </si>
  <si>
    <t>tasmax_rcp60_rp100_2070_90p,z_ar_tasmax_rcp60_rp100_2070_90p</t>
  </si>
  <si>
    <t xml:space="preserve"> heat exposure (2018) - New  &gt;&gt;&gt;  Summer extreme maximum temperature (℃)  &gt;&gt;&gt;  100 year return period  &gt;&gt;&gt;  High emissions  &gt;&gt;&gt;  2080</t>
  </si>
  <si>
    <t>tasmax_rcp60_rp100_2080_10p</t>
  </si>
  <si>
    <t>tasmax_rcp60_rp100_2080_10p,z_ar_tasmax_rcp60_rp100_2080_10p</t>
  </si>
  <si>
    <t>tasmax_rcp60_rp100_2080_50p</t>
  </si>
  <si>
    <t>tasmax_rcp60_rp100_2080_50p,z_ar_tasmax_rcp60_rp100_2080_50p</t>
  </si>
  <si>
    <t>tasmax_rcp60_rp100_2080_90p</t>
  </si>
  <si>
    <t>tasmax_rcp60_rp100_2080_90p,z_ar_tasmax_rcp60_rp100_2080_90p</t>
  </si>
  <si>
    <t xml:space="preserve"> heat exposure (2018) - New  &gt;&gt;&gt;  Summer extreme maximum temperature (℃)  &gt;&gt;&gt;  100 year return period  &gt;&gt;&gt;  High emissions  &gt;&gt;&gt;  2090</t>
  </si>
  <si>
    <t>tasmax_rcp60_rp100_2090_10p</t>
  </si>
  <si>
    <t>tasmax_rcp60_rp100_2090_10p,z_ar_tasmax_rcp60_rp100_2090_10p</t>
  </si>
  <si>
    <t>tasmax_rcp60_rp100_2090_50p</t>
  </si>
  <si>
    <t>tasmax_rcp60_rp100_2090_50p,z_ar_tasmax_rcp60_rp100_2090_50p</t>
  </si>
  <si>
    <t>tasmax_rcp60_rp100_2090_90p</t>
  </si>
  <si>
    <t>tasmax_rcp60_rp100_2090_90p,z_ar_tasmax_rcp60_rp100_2090_90p</t>
  </si>
  <si>
    <t xml:space="preserve"> heat exposure (2018) - New  &gt;&gt;&gt;  Summer extreme maximum temperature (℃)  &gt;&gt;&gt;  20 year return period  &gt;&gt;&gt;  Very high emissions  &gt;&gt;&gt;  2020</t>
  </si>
  <si>
    <t>tasmax_rcp85_rp20_2020_10p</t>
  </si>
  <si>
    <t>tasmax_rcp85_rp20_2020_10p,z_ar_tasmax_rcp85_rp20_2020_10p</t>
  </si>
  <si>
    <t>tasmax_rcp85_rp20_2020_50p</t>
  </si>
  <si>
    <t>tasmax_rcp85_rp20_2020_50p,z_ar_tasmax_rcp85_rp20_2020_50p</t>
  </si>
  <si>
    <t>tasmax_rcp85_rp20_2020_90p</t>
  </si>
  <si>
    <t>tasmax_rcp85_rp20_2020_90p,z_ar_tasmax_rcp85_rp20_2020_90p</t>
  </si>
  <si>
    <t xml:space="preserve"> heat exposure (2018) - New  &gt;&gt;&gt;  Summer extreme maximum temperature (℃)  &gt;&gt;&gt;  20 year return period  &gt;&gt;&gt;  Very high emissions  &gt;&gt;&gt;  2030</t>
  </si>
  <si>
    <t>tasmax_rcp85_rp20_2030_10p</t>
  </si>
  <si>
    <t>tasmax_rcp85_rp20_2030_10p,z_ar_tasmax_rcp85_rp20_2030_10p</t>
  </si>
  <si>
    <t>tasmax_rcp85_rp20_2030_50p</t>
  </si>
  <si>
    <t>tasmax_rcp85_rp20_2030_50p,z_ar_tasmax_rcp85_rp20_2030_50p</t>
  </si>
  <si>
    <t>tasmax_rcp85_rp20_2030_90p</t>
  </si>
  <si>
    <t>tasmax_rcp85_rp20_2030_90p,z_ar_tasmax_rcp85_rp20_2030_90p</t>
  </si>
  <si>
    <t xml:space="preserve"> heat exposure (2018) - New  &gt;&gt;&gt;  Summer extreme maximum temperature (℃)  &gt;&gt;&gt;  20 year return period  &gt;&gt;&gt;  Very high emissions  &gt;&gt;&gt;  2040</t>
  </si>
  <si>
    <t>tasmax_rcp85_rp20_2040_10p</t>
  </si>
  <si>
    <t>tasmax_rcp85_rp20_2040_10p,z_ar_tasmax_rcp85_rp20_2040_10p</t>
  </si>
  <si>
    <t>tasmax_rcp85_rp20_2040_50p</t>
  </si>
  <si>
    <t>tasmax_rcp85_rp20_2040_50p,z_ar_tasmax_rcp85_rp20_2040_50p</t>
  </si>
  <si>
    <t>tasmax_rcp85_rp20_2040_90p</t>
  </si>
  <si>
    <t>tasmax_rcp85_rp20_2040_90p,z_ar_tasmax_rcp85_rp20_2040_90p</t>
  </si>
  <si>
    <t xml:space="preserve"> heat exposure (2018) - New  &gt;&gt;&gt;  Summer extreme maximum temperature (℃)  &gt;&gt;&gt;  20 year return period  &gt;&gt;&gt;  Very high emissions  &gt;&gt;&gt;  2050</t>
  </si>
  <si>
    <t>tasmax_rcp85_rp20_2050_10p</t>
  </si>
  <si>
    <t>tasmax_rcp85_rp20_2050_10p,z_ar_tasmax_rcp85_rp20_2050_10p</t>
  </si>
  <si>
    <t>tasmax_rcp85_rp20_2050_50p</t>
  </si>
  <si>
    <t>tasmax_rcp85_rp20_2050_50p,z_ar_tasmax_rcp85_rp20_2050_50p</t>
  </si>
  <si>
    <t>tasmax_rcp85_rp20_2050_90p</t>
  </si>
  <si>
    <t>tasmax_rcp85_rp20_2050_90p,z_ar_tasmax_rcp85_rp20_2050_90p</t>
  </si>
  <si>
    <t xml:space="preserve"> heat exposure (2018) - New  &gt;&gt;&gt;  Summer extreme maximum temperature (℃)  &gt;&gt;&gt;  20 year return period  &gt;&gt;&gt;  Very high emissions  &gt;&gt;&gt;  2060</t>
  </si>
  <si>
    <t>tasmax_rcp85_rp20_2060_10p</t>
  </si>
  <si>
    <t>tasmax_rcp85_rp20_2060_10p,z_ar_tasmax_rcp85_rp20_2060_10p</t>
  </si>
  <si>
    <t>tasmax_rcp85_rp20_2060_50p</t>
  </si>
  <si>
    <t>tasmax_rcp85_rp20_2060_50p,z_ar_tasmax_rcp85_rp20_2060_50p</t>
  </si>
  <si>
    <t>tasmax_rcp85_rp20_2060_90p</t>
  </si>
  <si>
    <t>tasmax_rcp85_rp20_2060_90p,z_ar_tasmax_rcp85_rp20_2060_90p</t>
  </si>
  <si>
    <t xml:space="preserve"> heat exposure (2018) - New  &gt;&gt;&gt;  Summer extreme maximum temperature (℃)  &gt;&gt;&gt;  20 year return period  &gt;&gt;&gt;  Very high emissions  &gt;&gt;&gt;  2070</t>
  </si>
  <si>
    <t>tasmax_rcp85_rp20_2070_10p</t>
  </si>
  <si>
    <t>tasmax_rcp85_rp20_2070_10p,z_ar_tasmax_rcp85_rp20_2070_10p</t>
  </si>
  <si>
    <t>tasmax_rcp85_rp20_2070_50p</t>
  </si>
  <si>
    <t>tasmax_rcp85_rp20_2070_50p,z_ar_tasmax_rcp85_rp20_2070_50p</t>
  </si>
  <si>
    <t>tasmax_rcp85_rp20_2070_90p</t>
  </si>
  <si>
    <t>tasmax_rcp85_rp20_2070_90p,z_ar_tasmax_rcp85_rp20_2070_90p</t>
  </si>
  <si>
    <t xml:space="preserve"> heat exposure (2018) - New  &gt;&gt;&gt;  Summer extreme maximum temperature (℃)  &gt;&gt;&gt;  20 year return period  &gt;&gt;&gt;  Very high emissions  &gt;&gt;&gt;  2080</t>
  </si>
  <si>
    <t>tasmax_rcp85_rp20_2080_10p</t>
  </si>
  <si>
    <t>tasmax_rcp85_rp20_2080_10p,z_ar_tasmax_rcp85_rp20_2080_10p</t>
  </si>
  <si>
    <t>tasmax_rcp85_rp20_2080_50p</t>
  </si>
  <si>
    <t>tasmax_rcp85_rp20_2080_50p,z_ar_tasmax_rcp85_rp20_2080_50p</t>
  </si>
  <si>
    <t>tasmax_rcp85_rp20_2080_90p</t>
  </si>
  <si>
    <t>tasmax_rcp85_rp20_2080_90p,z_ar_tasmax_rcp85_rp20_2080_90p</t>
  </si>
  <si>
    <t xml:space="preserve"> heat exposure (2018) - New  &gt;&gt;&gt;  Summer extreme maximum temperature (℃)  &gt;&gt;&gt;  20 year return period  &gt;&gt;&gt;  Very high emissions  &gt;&gt;&gt;  2090</t>
  </si>
  <si>
    <t>tasmax_rcp85_rp20_2090_10p</t>
  </si>
  <si>
    <t>tasmax_rcp85_rp20_2090_10p,z_ar_tasmax_rcp85_rp20_2090_10p</t>
  </si>
  <si>
    <t>tasmax_rcp85_rp20_2090_50p</t>
  </si>
  <si>
    <t>tasmax_rcp85_rp20_2090_50p,z_ar_tasmax_rcp85_rp20_2090_50p</t>
  </si>
  <si>
    <t>tasmax_rcp85_rp20_2090_90p</t>
  </si>
  <si>
    <t>tasmax_rcp85_rp20_2090_90p,z_ar_tasmax_rcp85_rp20_2090_90p</t>
  </si>
  <si>
    <t xml:space="preserve"> heat exposure (2018) - New  &gt;&gt;&gt;  Summer extreme maximum temperature (℃)  &gt;&gt;&gt;  50 year return period  &gt;&gt;&gt;  Very high emissions  &gt;&gt;&gt;  2020</t>
  </si>
  <si>
    <t>tasmax_rcp85_rp50_2020_10p</t>
  </si>
  <si>
    <t>tasmax_rcp85_rp50_2020_10p,z_ar_tasmax_rcp85_rp50_2020_10p</t>
  </si>
  <si>
    <t>tasmax_rcp85_rp50_2020_50p</t>
  </si>
  <si>
    <t>tasmax_rcp85_rp50_2020_50p,z_ar_tasmax_rcp85_rp50_2020_50p</t>
  </si>
  <si>
    <t>tasmax_rcp85_rp50_2020_90p</t>
  </si>
  <si>
    <t>tasmax_rcp85_rp50_2020_90p,z_ar_tasmax_rcp85_rp50_2020_90p</t>
  </si>
  <si>
    <t xml:space="preserve"> heat exposure (2018) - New  &gt;&gt;&gt;  Summer extreme maximum temperature (℃)  &gt;&gt;&gt;  50 year return period  &gt;&gt;&gt;  Very high emissions  &gt;&gt;&gt;  2030</t>
  </si>
  <si>
    <t>tasmax_rcp85_rp50_2030_10p</t>
  </si>
  <si>
    <t>tasmax_rcp85_rp50_2030_10p,z_ar_tasmax_rcp85_rp50_2030_10p</t>
  </si>
  <si>
    <t>tasmax_rcp85_rp50_2030_50p</t>
  </si>
  <si>
    <t>tasmax_rcp85_rp50_2030_50p,z_ar_tasmax_rcp85_rp50_2030_50p</t>
  </si>
  <si>
    <t>tasmax_rcp85_rp50_2030_90p</t>
  </si>
  <si>
    <t>tasmax_rcp85_rp50_2030_90p,z_ar_tasmax_rcp85_rp50_2030_90p</t>
  </si>
  <si>
    <t xml:space="preserve"> heat exposure (2018) - New  &gt;&gt;&gt;  Summer extreme maximum temperature (℃)  &gt;&gt;&gt;  50 year return period  &gt;&gt;&gt;  Very high emissions  &gt;&gt;&gt;  2040</t>
  </si>
  <si>
    <t>tasmax_rcp85_rp50_2040_10p</t>
  </si>
  <si>
    <t>tasmax_rcp85_rp50_2040_10p,z_ar_tasmax_rcp85_rp50_2040_10p</t>
  </si>
  <si>
    <t>tasmax_rcp85_rp50_2040_50p</t>
  </si>
  <si>
    <t>tasmax_rcp85_rp50_2040_50p,z_ar_tasmax_rcp85_rp50_2040_50p</t>
  </si>
  <si>
    <t>tasmax_rcp85_rp50_2040_90p</t>
  </si>
  <si>
    <t>tasmax_rcp85_rp50_2040_90p,z_ar_tasmax_rcp85_rp50_2040_90p</t>
  </si>
  <si>
    <t xml:space="preserve"> heat exposure (2018) - New  &gt;&gt;&gt;  Summer extreme maximum temperature (℃)  &gt;&gt;&gt;  50 year return period  &gt;&gt;&gt;  Very high emissions  &gt;&gt;&gt;  2050</t>
  </si>
  <si>
    <t>tasmax_rcp85_rp50_2050_10p</t>
  </si>
  <si>
    <t>tasmax_rcp85_rp50_2050_10p,z_ar_tasmax_rcp85_rp50_2050_10p</t>
  </si>
  <si>
    <t>tasmax_rcp85_rp50_2050_50p</t>
  </si>
  <si>
    <t>tasmax_rcp85_rp50_2050_50p,z_ar_tasmax_rcp85_rp50_2050_50p</t>
  </si>
  <si>
    <t>tasmax_rcp85_rp50_2050_90p</t>
  </si>
  <si>
    <t>tasmax_rcp85_rp50_2050_90p,z_ar_tasmax_rcp85_rp50_2050_90p</t>
  </si>
  <si>
    <t xml:space="preserve"> heat exposure (2018) - New  &gt;&gt;&gt;  Summer extreme maximum temperature (℃)  &gt;&gt;&gt;  50 year return period  &gt;&gt;&gt;  Very high emissions  &gt;&gt;&gt;  2060</t>
  </si>
  <si>
    <t>tasmax_rcp85_rp50_2060_10p</t>
  </si>
  <si>
    <t>tasmax_rcp85_rp50_2060_10p,z_ar_tasmax_rcp85_rp50_2060_10p</t>
  </si>
  <si>
    <t>tasmax_rcp85_rp50_2060_50p</t>
  </si>
  <si>
    <t>tasmax_rcp85_rp50_2060_50p,z_ar_tasmax_rcp85_rp50_2060_50p</t>
  </si>
  <si>
    <t>tasmax_rcp85_rp50_2060_90p</t>
  </si>
  <si>
    <t>tasmax_rcp85_rp50_2060_90p,z_ar_tasmax_rcp85_rp50_2060_90p</t>
  </si>
  <si>
    <t xml:space="preserve"> heat exposure (2018) - New  &gt;&gt;&gt;  Summer extreme maximum temperature (℃)  &gt;&gt;&gt;  50 year return period  &gt;&gt;&gt;  Very high emissions  &gt;&gt;&gt;  2070</t>
  </si>
  <si>
    <t>tasmax_rcp85_rp50_2070_10p</t>
  </si>
  <si>
    <t>tasmax_rcp85_rp50_2070_10p,z_ar_tasmax_rcp85_rp50_2070_10p</t>
  </si>
  <si>
    <t>tasmax_rcp85_rp50_2070_50p</t>
  </si>
  <si>
    <t>tasmax_rcp85_rp50_2070_50p,z_ar_tasmax_rcp85_rp50_2070_50p</t>
  </si>
  <si>
    <t>tasmax_rcp85_rp50_2070_90p</t>
  </si>
  <si>
    <t>tasmax_rcp85_rp50_2070_90p,z_ar_tasmax_rcp85_rp50_2070_90p</t>
  </si>
  <si>
    <t xml:space="preserve"> heat exposure (2018) - New  &gt;&gt;&gt;  Summer extreme maximum temperature (℃)  &gt;&gt;&gt;  50 year return period  &gt;&gt;&gt;  Very high emissions  &gt;&gt;&gt;  2080</t>
  </si>
  <si>
    <t>tasmax_rcp85_rp50_2080_10p</t>
  </si>
  <si>
    <t>tasmax_rcp85_rp50_2080_10p,z_ar_tasmax_rcp85_rp50_2080_10p</t>
  </si>
  <si>
    <t>tasmax_rcp85_rp50_2080_50p</t>
  </si>
  <si>
    <t>tasmax_rcp85_rp50_2080_50p,z_ar_tasmax_rcp85_rp50_2080_50p</t>
  </si>
  <si>
    <t>tasmax_rcp85_rp50_2080_90p</t>
  </si>
  <si>
    <t>tasmax_rcp85_rp50_2080_90p,z_ar_tasmax_rcp85_rp50_2080_90p</t>
  </si>
  <si>
    <t xml:space="preserve"> heat exposure (2018) - New  &gt;&gt;&gt;  Summer extreme maximum temperature (℃)  &gt;&gt;&gt;  50 year return period  &gt;&gt;&gt;  Very high emissions  &gt;&gt;&gt;  2090</t>
  </si>
  <si>
    <t>tasmax_rcp85_rp50_2090_10p</t>
  </si>
  <si>
    <t>tasmax_rcp85_rp50_2090_10p,z_ar_tasmax_rcp85_rp50_2090_10p</t>
  </si>
  <si>
    <t>tasmax_rcp85_rp50_2090_50p</t>
  </si>
  <si>
    <t>tasmax_rcp85_rp50_2090_50p,z_ar_tasmax_rcp85_rp50_2090_50p</t>
  </si>
  <si>
    <t>tasmax_rcp85_rp50_2090_90p</t>
  </si>
  <si>
    <t>tasmax_rcp85_rp50_2090_90p,z_ar_tasmax_rcp85_rp50_2090_90p</t>
  </si>
  <si>
    <t xml:space="preserve"> heat exposure (2018) - New  &gt;&gt;&gt;  Summer extreme maximum temperature (℃)  &gt;&gt;&gt;  100 year return period  &gt;&gt;&gt;  Very high emissions  &gt;&gt;&gt;  2020</t>
  </si>
  <si>
    <t>tasmax_rcp85_rp100_2020_10p</t>
  </si>
  <si>
    <t>tasmax_rcp85_rp100_2020_10p,z_ar_tasmax_rcp85_rp100_2020_10p</t>
  </si>
  <si>
    <t>tasmax_rcp85_rp100_2020_50p</t>
  </si>
  <si>
    <t>tasmax_rcp85_rp100_2020_50p,z_ar_tasmax_rcp85_rp100_2020_50p</t>
  </si>
  <si>
    <t>tasmax_rcp85_rp100_2020_90p</t>
  </si>
  <si>
    <t>tasmax_rcp85_rp100_2020_90p,z_ar_tasmax_rcp85_rp100_2020_90p</t>
  </si>
  <si>
    <t xml:space="preserve"> heat exposure (2018) - New  &gt;&gt;&gt;  Summer extreme maximum temperature (℃)  &gt;&gt;&gt;  100 year return period  &gt;&gt;&gt;  Very high emissions  &gt;&gt;&gt;  2030</t>
  </si>
  <si>
    <t>tasmax_rcp85_rp100_2030_10p</t>
  </si>
  <si>
    <t>tasmax_rcp85_rp100_2030_10p,z_ar_tasmax_rcp85_rp100_2030_10p</t>
  </si>
  <si>
    <t>tasmax_rcp85_rp100_2030_50p</t>
  </si>
  <si>
    <t>tasmax_rcp85_rp100_2030_50p,z_ar_tasmax_rcp85_rp100_2030_50p</t>
  </si>
  <si>
    <t>tasmax_rcp85_rp100_2030_90p</t>
  </si>
  <si>
    <t>tasmax_rcp85_rp100_2030_90p,z_ar_tasmax_rcp85_rp100_2030_90p</t>
  </si>
  <si>
    <t xml:space="preserve"> heat exposure (2018) - New  &gt;&gt;&gt;  Summer extreme maximum temperature (℃)  &gt;&gt;&gt;  100 year return period  &gt;&gt;&gt;  Very high emissions  &gt;&gt;&gt;  2040</t>
  </si>
  <si>
    <t>tasmax_rcp85_rp100_2040_10p</t>
  </si>
  <si>
    <t>tasmax_rcp85_rp100_2040_10p,z_ar_tasmax_rcp85_rp100_2040_10p</t>
  </si>
  <si>
    <t>tasmax_rcp85_rp100_2040_50p</t>
  </si>
  <si>
    <t>tasmax_rcp85_rp100_2040_50p,z_ar_tasmax_rcp85_rp100_2040_50p</t>
  </si>
  <si>
    <t>tasmax_rcp85_rp100_2040_90p</t>
  </si>
  <si>
    <t>tasmax_rcp85_rp100_2040_90p,z_ar_tasmax_rcp85_rp100_2040_90p</t>
  </si>
  <si>
    <t xml:space="preserve"> heat exposure (2018) - New  &gt;&gt;&gt;  Summer extreme maximum temperature (℃)  &gt;&gt;&gt;  100 year return period  &gt;&gt;&gt;  Very high emissions  &gt;&gt;&gt;  2050</t>
  </si>
  <si>
    <t>tasmax_rcp85_rp100_2050_10p</t>
  </si>
  <si>
    <t>tasmax_rcp85_rp100_2050_10p,z_ar_tasmax_rcp85_rp100_2050_10p</t>
  </si>
  <si>
    <t>tasmax_rcp85_rp100_2050_50p</t>
  </si>
  <si>
    <t>tasmax_rcp85_rp100_2050_50p,z_ar_tasmax_rcp85_rp100_2050_50p</t>
  </si>
  <si>
    <t>tasmax_rcp85_rp100_2050_90p</t>
  </si>
  <si>
    <t>tasmax_rcp85_rp100_2050_90p,z_ar_tasmax_rcp85_rp100_2050_90p</t>
  </si>
  <si>
    <t xml:space="preserve"> heat exposure (2018) - New  &gt;&gt;&gt;  Summer extreme maximum temperature (℃)  &gt;&gt;&gt;  100 year return period  &gt;&gt;&gt;  Very high emissions  &gt;&gt;&gt;  2060</t>
  </si>
  <si>
    <t>tasmax_rcp85_rp100_2060_10p</t>
  </si>
  <si>
    <t>tasmax_rcp85_rp100_2060_10p,z_ar_tasmax_rcp85_rp100_2060_10p</t>
  </si>
  <si>
    <t>tasmax_rcp85_rp100_2060_50p</t>
  </si>
  <si>
    <t>tasmax_rcp85_rp100_2060_50p,z_ar_tasmax_rcp85_rp100_2060_50p</t>
  </si>
  <si>
    <t>tasmax_rcp85_rp100_2060_90p</t>
  </si>
  <si>
    <t>tasmax_rcp85_rp100_2060_90p,z_ar_tasmax_rcp85_rp100_2060_90p</t>
  </si>
  <si>
    <t xml:space="preserve"> heat exposure (2018) - New  &gt;&gt;&gt;  Summer extreme maximum temperature (℃)  &gt;&gt;&gt;  100 year return period  &gt;&gt;&gt;  Very high emissions  &gt;&gt;&gt;  2070</t>
  </si>
  <si>
    <t>tasmax_rcp85_rp100_2070_10p</t>
  </si>
  <si>
    <t>tasmax_rcp85_rp100_2070_10p,z_ar_tasmax_rcp85_rp100_2070_10p</t>
  </si>
  <si>
    <t>tasmax_rcp85_rp100_2070_50p</t>
  </si>
  <si>
    <t>tasmax_rcp85_rp100_2070_50p,z_ar_tasmax_rcp85_rp100_2070_50p</t>
  </si>
  <si>
    <t>tasmax_rcp85_rp100_2070_90p</t>
  </si>
  <si>
    <t>tasmax_rcp85_rp100_2070_90p,z_ar_tasmax_rcp85_rp100_2070_90p</t>
  </si>
  <si>
    <t xml:space="preserve"> heat exposure (2018) - New  &gt;&gt;&gt;  Summer extreme maximum temperature (℃)  &gt;&gt;&gt;  100 year return period  &gt;&gt;&gt;  Very high emissions  &gt;&gt;&gt;  2080</t>
  </si>
  <si>
    <t>tasmax_rcp85_rp100_2080_10p</t>
  </si>
  <si>
    <t>tasmax_rcp85_rp100_2080_10p,z_ar_tasmax_rcp85_rp100_2080_10p</t>
  </si>
  <si>
    <t>tasmax_rcp85_rp100_2080_50p</t>
  </si>
  <si>
    <t>tasmax_rcp85_rp100_2080_50p,z_ar_tasmax_rcp85_rp100_2080_50p</t>
  </si>
  <si>
    <t>tasmax_rcp85_rp100_2080_90p</t>
  </si>
  <si>
    <t>tasmax_rcp85_rp100_2080_90p,z_ar_tasmax_rcp85_rp100_2080_90p</t>
  </si>
  <si>
    <t xml:space="preserve"> heat exposure (2018) - New  &gt;&gt;&gt;  Summer extreme maximum temperature (℃)  &gt;&gt;&gt;  100 year return period  &gt;&gt;&gt;  Very high emissions  &gt;&gt;&gt;  2090</t>
  </si>
  <si>
    <t>tasmax_rcp85_rp100_2090_10p</t>
  </si>
  <si>
    <t>tasmax_rcp85_rp100_2090_10p,z_ar_tasmax_rcp85_rp100_2090_10p</t>
  </si>
  <si>
    <t>tasmax_rcp85_rp100_2090_50p</t>
  </si>
  <si>
    <t>tasmax_rcp85_rp100_2090_50p,z_ar_tasmax_rcp85_rp100_2090_50p</t>
  </si>
  <si>
    <t>tasmax_rcp85_rp100_2090_90p</t>
  </si>
  <si>
    <t>tasmax_rcp85_rp100_2090_90p,z_ar_tasmax_rcp85_rp100_2090_90p</t>
  </si>
  <si>
    <t xml:space="preserve"> heat exposure (2018) - New  &gt;&gt;&gt;  Summer extreme maximum temperature (Score)  &gt;&gt;&gt;  20 year return period  &gt;&gt;&gt;  Low emissions  &gt;&gt;&gt;  2020</t>
  </si>
  <si>
    <t>z_ar_tasmax_rcp26_rp20_2020_10p</t>
  </si>
  <si>
    <t>z_ar_tasmax_rcp26_rp20_2020_10p,tasmax_rcp26_rp20_2020_10p</t>
  </si>
  <si>
    <t>z_ar_tasmax_rcp26_rp20_2020_50p</t>
  </si>
  <si>
    <t>z_ar_tasmax_rcp26_rp20_2020_50p,tasmax_rcp26_rp20_2020_50p</t>
  </si>
  <si>
    <t>z_ar_tasmax_rcp26_rp20_2020_90p</t>
  </si>
  <si>
    <t>z_ar_tasmax_rcp26_rp20_2020_90p,tasmax_rcp26_rp20_2020_90p</t>
  </si>
  <si>
    <t xml:space="preserve"> heat exposure (2018) - New  &gt;&gt;&gt;  Summer extreme maximum temperature (Score)  &gt;&gt;&gt;  20 year return period  &gt;&gt;&gt;  Low emissions  &gt;&gt;&gt;  2030</t>
  </si>
  <si>
    <t>z_ar_tasmax_rcp26_rp20_2030_10p</t>
  </si>
  <si>
    <t>z_ar_tasmax_rcp26_rp20_2030_10p,tasmax_rcp26_rp20_2030_10p</t>
  </si>
  <si>
    <t>z_ar_tasmax_rcp26_rp20_2030_50p</t>
  </si>
  <si>
    <t>z_ar_tasmax_rcp26_rp20_2030_50p,tasmax_rcp26_rp20_2030_50p</t>
  </si>
  <si>
    <t>z_ar_tasmax_rcp26_rp20_2030_90p</t>
  </si>
  <si>
    <t>z_ar_tasmax_rcp26_rp20_2030_90p,tasmax_rcp26_rp20_2030_90p</t>
  </si>
  <si>
    <t xml:space="preserve"> heat exposure (2018) - New  &gt;&gt;&gt;  Summer extreme maximum temperature (Score)  &gt;&gt;&gt;  20 year return period  &gt;&gt;&gt;  Low emissions  &gt;&gt;&gt;  2040</t>
  </si>
  <si>
    <t>z_ar_tasmax_rcp26_rp20_2040_10p</t>
  </si>
  <si>
    <t>z_ar_tasmax_rcp26_rp20_2040_10p,tasmax_rcp26_rp20_2040_10p</t>
  </si>
  <si>
    <t>z_ar_tasmax_rcp26_rp20_2040_50p</t>
  </si>
  <si>
    <t>z_ar_tasmax_rcp26_rp20_2040_50p,tasmax_rcp26_rp20_2040_50p</t>
  </si>
  <si>
    <t>z_ar_tasmax_rcp26_rp20_2040_90p</t>
  </si>
  <si>
    <t>z_ar_tasmax_rcp26_rp20_2040_90p,tasmax_rcp26_rp20_2040_90p</t>
  </si>
  <si>
    <t xml:space="preserve"> heat exposure (2018) - New  &gt;&gt;&gt;  Summer extreme maximum temperature (Score)  &gt;&gt;&gt;  20 year return period  &gt;&gt;&gt;  Low emissions  &gt;&gt;&gt;  2050</t>
  </si>
  <si>
    <t>z_ar_tasmax_rcp26_rp20_2050_10p</t>
  </si>
  <si>
    <t>z_ar_tasmax_rcp26_rp20_2050_10p,tasmax_rcp26_rp20_2050_10p</t>
  </si>
  <si>
    <t>z_ar_tasmax_rcp26_rp20_2050_50p</t>
  </si>
  <si>
    <t>z_ar_tasmax_rcp26_rp20_2050_50p,tasmax_rcp26_rp20_2050_50p</t>
  </si>
  <si>
    <t>z_ar_tasmax_rcp26_rp20_2050_90p</t>
  </si>
  <si>
    <t>z_ar_tasmax_rcp26_rp20_2050_90p,tasmax_rcp26_rp20_2050_90p</t>
  </si>
  <si>
    <t xml:space="preserve"> heat exposure (2018) - New  &gt;&gt;&gt;  Summer extreme maximum temperature (Score)  &gt;&gt;&gt;  20 year return period  &gt;&gt;&gt;  Low emissions  &gt;&gt;&gt;  2060</t>
  </si>
  <si>
    <t>z_ar_tasmax_rcp26_rp20_2060_10p</t>
  </si>
  <si>
    <t>z_ar_tasmax_rcp26_rp20_2060_10p,tasmax_rcp26_rp20_2060_10p</t>
  </si>
  <si>
    <t>z_ar_tasmax_rcp26_rp20_2060_50p</t>
  </si>
  <si>
    <t>z_ar_tasmax_rcp26_rp20_2060_50p,tasmax_rcp26_rp20_2060_50p</t>
  </si>
  <si>
    <t>z_ar_tasmax_rcp26_rp20_2060_90p</t>
  </si>
  <si>
    <t>z_ar_tasmax_rcp26_rp20_2060_90p,tasmax_rcp26_rp20_2060_90p</t>
  </si>
  <si>
    <t xml:space="preserve"> heat exposure (2018) - New  &gt;&gt;&gt;  Summer extreme maximum temperature (Score)  &gt;&gt;&gt;  20 year return period  &gt;&gt;&gt;  Low emissions  &gt;&gt;&gt;  2070</t>
  </si>
  <si>
    <t>z_ar_tasmax_rcp26_rp20_2070_10p</t>
  </si>
  <si>
    <t>z_ar_tasmax_rcp26_rp20_2070_10p,tasmax_rcp26_rp20_2070_10p</t>
  </si>
  <si>
    <t>z_ar_tasmax_rcp26_rp20_2070_50p</t>
  </si>
  <si>
    <t>z_ar_tasmax_rcp26_rp20_2070_50p,tasmax_rcp26_rp20_2070_50p</t>
  </si>
  <si>
    <t>z_ar_tasmax_rcp26_rp20_2070_90p</t>
  </si>
  <si>
    <t>z_ar_tasmax_rcp26_rp20_2070_90p,tasmax_rcp26_rp20_2070_90p</t>
  </si>
  <si>
    <t xml:space="preserve"> heat exposure (2018) - New  &gt;&gt;&gt;  Summer extreme maximum temperature (Score)  &gt;&gt;&gt;  20 year return period  &gt;&gt;&gt;  Low emissions  &gt;&gt;&gt;  2080</t>
  </si>
  <si>
    <t>z_ar_tasmax_rcp26_rp20_2080_10p</t>
  </si>
  <si>
    <t>z_ar_tasmax_rcp26_rp20_2080_10p,tasmax_rcp26_rp20_2080_10p</t>
  </si>
  <si>
    <t>z_ar_tasmax_rcp26_rp20_2080_50p</t>
  </si>
  <si>
    <t>z_ar_tasmax_rcp26_rp20_2080_50p,tasmax_rcp26_rp20_2080_50p</t>
  </si>
  <si>
    <t>z_ar_tasmax_rcp26_rp20_2080_90p</t>
  </si>
  <si>
    <t>z_ar_tasmax_rcp26_rp20_2080_90p,tasmax_rcp26_rp20_2080_90p</t>
  </si>
  <si>
    <t xml:space="preserve"> heat exposure (2018) - New  &gt;&gt;&gt;  Summer extreme maximum temperature (Score)  &gt;&gt;&gt;  20 year return period  &gt;&gt;&gt;  Low emissions  &gt;&gt;&gt;  2090</t>
  </si>
  <si>
    <t>z_ar_tasmax_rcp26_rp20_2090_10p</t>
  </si>
  <si>
    <t>z_ar_tasmax_rcp26_rp20_2090_10p,tasmax_rcp26_rp20_2090_10p</t>
  </si>
  <si>
    <t>z_ar_tasmax_rcp26_rp20_2090_50p</t>
  </si>
  <si>
    <t>z_ar_tasmax_rcp26_rp20_2090_50p,tasmax_rcp26_rp20_2090_50p</t>
  </si>
  <si>
    <t>z_ar_tasmax_rcp26_rp20_2090_90p</t>
  </si>
  <si>
    <t>z_ar_tasmax_rcp26_rp20_2090_90p,tasmax_rcp26_rp20_2090_90p</t>
  </si>
  <si>
    <t xml:space="preserve"> heat exposure (2018) - New  &gt;&gt;&gt;  Summer extreme maximum temperature (Score)  &gt;&gt;&gt;  50 year return period  &gt;&gt;&gt;  Low emissions  &gt;&gt;&gt;  2020</t>
  </si>
  <si>
    <t>z_ar_tasmax_rcp26_rp50_2020_10p</t>
  </si>
  <si>
    <t>z_ar_tasmax_rcp26_rp50_2020_10p,tasmax_rcp26_rp50_2020_10p</t>
  </si>
  <si>
    <t>z_ar_tasmax_rcp26_rp50_2020_50p</t>
  </si>
  <si>
    <t>z_ar_tasmax_rcp26_rp50_2020_50p,tasmax_rcp26_rp50_2020_50p</t>
  </si>
  <si>
    <t>z_ar_tasmax_rcp26_rp50_2020_90p</t>
  </si>
  <si>
    <t>z_ar_tasmax_rcp26_rp50_2020_90p,tasmax_rcp26_rp50_2020_90p</t>
  </si>
  <si>
    <t xml:space="preserve"> heat exposure (2018) - New  &gt;&gt;&gt;  Summer extreme maximum temperature (Score)  &gt;&gt;&gt;  50 year return period  &gt;&gt;&gt;  Low emissions  &gt;&gt;&gt;  2030</t>
  </si>
  <si>
    <t>z_ar_tasmax_rcp26_rp50_2030_10p</t>
  </si>
  <si>
    <t>z_ar_tasmax_rcp26_rp50_2030_10p,tasmax_rcp26_rp50_2030_10p</t>
  </si>
  <si>
    <t>z_ar_tasmax_rcp26_rp50_2030_50p</t>
  </si>
  <si>
    <t>z_ar_tasmax_rcp26_rp50_2030_50p,tasmax_rcp26_rp50_2030_50p</t>
  </si>
  <si>
    <t>z_ar_tasmax_rcp26_rp50_2030_90p</t>
  </si>
  <si>
    <t>z_ar_tasmax_rcp26_rp50_2030_90p,tasmax_rcp26_rp50_2030_90p</t>
  </si>
  <si>
    <t xml:space="preserve"> heat exposure (2018) - New  &gt;&gt;&gt;  Summer extreme maximum temperature (Score)  &gt;&gt;&gt;  50 year return period  &gt;&gt;&gt;  Low emissions  &gt;&gt;&gt;  2040</t>
  </si>
  <si>
    <t>z_ar_tasmax_rcp26_rp50_2040_10p</t>
  </si>
  <si>
    <t>z_ar_tasmax_rcp26_rp50_2040_10p,tasmax_rcp26_rp50_2040_10p</t>
  </si>
  <si>
    <t>z_ar_tasmax_rcp26_rp50_2040_50p</t>
  </si>
  <si>
    <t>z_ar_tasmax_rcp26_rp50_2040_50p,tasmax_rcp26_rp50_2040_50p</t>
  </si>
  <si>
    <t>z_ar_tasmax_rcp26_rp50_2040_90p</t>
  </si>
  <si>
    <t>z_ar_tasmax_rcp26_rp50_2040_90p,tasmax_rcp26_rp50_2040_90p</t>
  </si>
  <si>
    <t xml:space="preserve"> heat exposure (2018) - New  &gt;&gt;&gt;  Summer extreme maximum temperature (Score)  &gt;&gt;&gt;  50 year return period  &gt;&gt;&gt;  Low emissions  &gt;&gt;&gt;  2050</t>
  </si>
  <si>
    <t>z_ar_tasmax_rcp26_rp50_2050_10p</t>
  </si>
  <si>
    <t>z_ar_tasmax_rcp26_rp50_2050_10p,tasmax_rcp26_rp50_2050_10p</t>
  </si>
  <si>
    <t>z_ar_tasmax_rcp26_rp50_2050_50p</t>
  </si>
  <si>
    <t>z_ar_tasmax_rcp26_rp50_2050_50p,tasmax_rcp26_rp50_2050_50p</t>
  </si>
  <si>
    <t>z_ar_tasmax_rcp26_rp50_2050_90p</t>
  </si>
  <si>
    <t>z_ar_tasmax_rcp26_rp50_2050_90p,tasmax_rcp26_rp50_2050_90p</t>
  </si>
  <si>
    <t xml:space="preserve"> heat exposure (2018) - New  &gt;&gt;&gt;  Summer extreme maximum temperature (Score)  &gt;&gt;&gt;  50 year return period  &gt;&gt;&gt;  Low emissions  &gt;&gt;&gt;  2060</t>
  </si>
  <si>
    <t>z_ar_tasmax_rcp26_rp50_2060_10p</t>
  </si>
  <si>
    <t>z_ar_tasmax_rcp26_rp50_2060_10p,tasmax_rcp26_rp50_2060_10p</t>
  </si>
  <si>
    <t>z_ar_tasmax_rcp26_rp50_2060_50p</t>
  </si>
  <si>
    <t>z_ar_tasmax_rcp26_rp50_2060_50p,tasmax_rcp26_rp50_2060_50p</t>
  </si>
  <si>
    <t>z_ar_tasmax_rcp26_rp50_2060_90p</t>
  </si>
  <si>
    <t>z_ar_tasmax_rcp26_rp50_2060_90p,tasmax_rcp26_rp50_2060_90p</t>
  </si>
  <si>
    <t xml:space="preserve"> heat exposure (2018) - New  &gt;&gt;&gt;  Summer extreme maximum temperature (Score)  &gt;&gt;&gt;  50 year return period  &gt;&gt;&gt;  Low emissions  &gt;&gt;&gt;  2070</t>
  </si>
  <si>
    <t>z_ar_tasmax_rcp26_rp50_2070_10p</t>
  </si>
  <si>
    <t>z_ar_tasmax_rcp26_rp50_2070_10p,tasmax_rcp26_rp50_2070_10p</t>
  </si>
  <si>
    <t>z_ar_tasmax_rcp26_rp50_2070_50p</t>
  </si>
  <si>
    <t>z_ar_tasmax_rcp26_rp50_2070_50p,tasmax_rcp26_rp50_2070_50p</t>
  </si>
  <si>
    <t>z_ar_tasmax_rcp26_rp50_2070_90p</t>
  </si>
  <si>
    <t>z_ar_tasmax_rcp26_rp50_2070_90p,tasmax_rcp26_rp50_2070_90p</t>
  </si>
  <si>
    <t xml:space="preserve"> heat exposure (2018) - New  &gt;&gt;&gt;  Summer extreme maximum temperature (Score)  &gt;&gt;&gt;  50 year return period  &gt;&gt;&gt;  Low emissions  &gt;&gt;&gt;  2080</t>
  </si>
  <si>
    <t>z_ar_tasmax_rcp26_rp50_2080_10p</t>
  </si>
  <si>
    <t>z_ar_tasmax_rcp26_rp50_2080_10p,tasmax_rcp26_rp50_2080_10p</t>
  </si>
  <si>
    <t>z_ar_tasmax_rcp26_rp50_2080_50p</t>
  </si>
  <si>
    <t>z_ar_tasmax_rcp26_rp50_2080_50p,tasmax_rcp26_rp50_2080_50p</t>
  </si>
  <si>
    <t>z_ar_tasmax_rcp26_rp50_2080_90p</t>
  </si>
  <si>
    <t>z_ar_tasmax_rcp26_rp50_2080_90p,tasmax_rcp26_rp50_2080_90p</t>
  </si>
  <si>
    <t xml:space="preserve"> heat exposure (2018) - New  &gt;&gt;&gt;  Summer extreme maximum temperature (Score)  &gt;&gt;&gt;  50 year return period  &gt;&gt;&gt;  Low emissions  &gt;&gt;&gt;  2090</t>
  </si>
  <si>
    <t>z_ar_tasmax_rcp26_rp50_2090_10p</t>
  </si>
  <si>
    <t>z_ar_tasmax_rcp26_rp50_2090_10p,tasmax_rcp26_rp50_2090_10p</t>
  </si>
  <si>
    <t>z_ar_tasmax_rcp26_rp50_2090_50p</t>
  </si>
  <si>
    <t>z_ar_tasmax_rcp26_rp50_2090_50p,tasmax_rcp26_rp50_2090_50p</t>
  </si>
  <si>
    <t>z_ar_tasmax_rcp26_rp50_2090_90p</t>
  </si>
  <si>
    <t>z_ar_tasmax_rcp26_rp50_2090_90p,tasmax_rcp26_rp50_2090_90p</t>
  </si>
  <si>
    <t xml:space="preserve"> heat exposure (2018) - New  &gt;&gt;&gt;  Summer extreme maximum temperature (Score)  &gt;&gt;&gt;  100 year return period  &gt;&gt;&gt;  Low emissions  &gt;&gt;&gt;  2020</t>
  </si>
  <si>
    <t>z_ar_tasmax_rcp26_rp100_2020_10p</t>
  </si>
  <si>
    <t>z_ar_tasmax_rcp26_rp100_2020_10p,tasmax_rcp26_rp100_2020_10p</t>
  </si>
  <si>
    <t>z_ar_tasmax_rcp26_rp100_2020_50p</t>
  </si>
  <si>
    <t>z_ar_tasmax_rcp26_rp100_2020_50p,tasmax_rcp26_rp100_2020_50p</t>
  </si>
  <si>
    <t>z_ar_tasmax_rcp26_rp100_2020_90p</t>
  </si>
  <si>
    <t>z_ar_tasmax_rcp26_rp100_2020_90p,tasmax_rcp26_rp100_2020_90p</t>
  </si>
  <si>
    <t xml:space="preserve"> heat exposure (2018) - New  &gt;&gt;&gt;  Summer extreme maximum temperature (Score)  &gt;&gt;&gt;  100 year return period  &gt;&gt;&gt;  Low emissions  &gt;&gt;&gt;  2030</t>
  </si>
  <si>
    <t>z_ar_tasmax_rcp26_rp100_2030_10p</t>
  </si>
  <si>
    <t>z_ar_tasmax_rcp26_rp100_2030_10p,tasmax_rcp26_rp100_2030_10p</t>
  </si>
  <si>
    <t>z_ar_tasmax_rcp26_rp100_2030_50p</t>
  </si>
  <si>
    <t>z_ar_tasmax_rcp26_rp100_2030_50p,tasmax_rcp26_rp100_2030_50p</t>
  </si>
  <si>
    <t>z_ar_tasmax_rcp26_rp100_2030_90p</t>
  </si>
  <si>
    <t>z_ar_tasmax_rcp26_rp100_2030_90p,tasmax_rcp26_rp100_2030_90p</t>
  </si>
  <si>
    <t xml:space="preserve"> heat exposure (2018) - New  &gt;&gt;&gt;  Summer extreme maximum temperature (Score)  &gt;&gt;&gt;  100 year return period  &gt;&gt;&gt;  Low emissions  &gt;&gt;&gt;  2040</t>
  </si>
  <si>
    <t>z_ar_tasmax_rcp26_rp100_2040_10p</t>
  </si>
  <si>
    <t>z_ar_tasmax_rcp26_rp100_2040_10p,tasmax_rcp26_rp100_2040_10p</t>
  </si>
  <si>
    <t>z_ar_tasmax_rcp26_rp100_2040_50p</t>
  </si>
  <si>
    <t>z_ar_tasmax_rcp26_rp100_2040_50p,tasmax_rcp26_rp100_2040_50p</t>
  </si>
  <si>
    <t>z_ar_tasmax_rcp26_rp100_2040_90p</t>
  </si>
  <si>
    <t>z_ar_tasmax_rcp26_rp100_2040_90p,tasmax_rcp26_rp100_2040_90p</t>
  </si>
  <si>
    <t xml:space="preserve"> heat exposure (2018) - New  &gt;&gt;&gt;  Summer extreme maximum temperature (Score)  &gt;&gt;&gt;  100 year return period  &gt;&gt;&gt;  Low emissions  &gt;&gt;&gt;  2050</t>
  </si>
  <si>
    <t>z_ar_tasmax_rcp26_rp100_2050_10p</t>
  </si>
  <si>
    <t>z_ar_tasmax_rcp26_rp100_2050_10p,tasmax_rcp26_rp100_2050_10p</t>
  </si>
  <si>
    <t>z_ar_tasmax_rcp26_rp100_2050_50p</t>
  </si>
  <si>
    <t>z_ar_tasmax_rcp26_rp100_2050_50p,tasmax_rcp26_rp100_2050_50p</t>
  </si>
  <si>
    <t>z_ar_tasmax_rcp26_rp100_2050_90p</t>
  </si>
  <si>
    <t>z_ar_tasmax_rcp26_rp100_2050_90p,tasmax_rcp26_rp100_2050_90p</t>
  </si>
  <si>
    <t xml:space="preserve"> heat exposure (2018) - New  &gt;&gt;&gt;  Summer extreme maximum temperature (Score)  &gt;&gt;&gt;  100 year return period  &gt;&gt;&gt;  Low emissions  &gt;&gt;&gt;  2060</t>
  </si>
  <si>
    <t>z_ar_tasmax_rcp26_rp100_2060_10p</t>
  </si>
  <si>
    <t>z_ar_tasmax_rcp26_rp100_2060_10p,tasmax_rcp26_rp100_2060_10p</t>
  </si>
  <si>
    <t>z_ar_tasmax_rcp26_rp100_2060_50p</t>
  </si>
  <si>
    <t>z_ar_tasmax_rcp26_rp100_2060_50p,tasmax_rcp26_rp100_2060_50p</t>
  </si>
  <si>
    <t>z_ar_tasmax_rcp26_rp100_2060_90p</t>
  </si>
  <si>
    <t>z_ar_tasmax_rcp26_rp100_2060_90p,tasmax_rcp26_rp100_2060_90p</t>
  </si>
  <si>
    <t xml:space="preserve"> heat exposure (2018) - New  &gt;&gt;&gt;  Summer extreme maximum temperature (Score)  &gt;&gt;&gt;  100 year return period  &gt;&gt;&gt;  Low emissions  &gt;&gt;&gt;  2070</t>
  </si>
  <si>
    <t>z_ar_tasmax_rcp26_rp100_2070_10p</t>
  </si>
  <si>
    <t>z_ar_tasmax_rcp26_rp100_2070_10p,tasmax_rcp26_rp100_2070_10p</t>
  </si>
  <si>
    <t>z_ar_tasmax_rcp26_rp100_2070_50p</t>
  </si>
  <si>
    <t>z_ar_tasmax_rcp26_rp100_2070_50p,tasmax_rcp26_rp100_2070_50p</t>
  </si>
  <si>
    <t>z_ar_tasmax_rcp26_rp100_2070_90p</t>
  </si>
  <si>
    <t>z_ar_tasmax_rcp26_rp100_2070_90p,tasmax_rcp26_rp100_2070_90p</t>
  </si>
  <si>
    <t xml:space="preserve"> heat exposure (2018) - New  &gt;&gt;&gt;  Summer extreme maximum temperature (Score)  &gt;&gt;&gt;  100 year return period  &gt;&gt;&gt;  Low emissions  &gt;&gt;&gt;  2080</t>
  </si>
  <si>
    <t>z_ar_tasmax_rcp26_rp100_2080_10p</t>
  </si>
  <si>
    <t>z_ar_tasmax_rcp26_rp100_2080_10p,tasmax_rcp26_rp100_2080_10p</t>
  </si>
  <si>
    <t>z_ar_tasmax_rcp26_rp100_2080_50p</t>
  </si>
  <si>
    <t>z_ar_tasmax_rcp26_rp100_2080_50p,tasmax_rcp26_rp100_2080_50p</t>
  </si>
  <si>
    <t>z_ar_tasmax_rcp26_rp100_2080_90p</t>
  </si>
  <si>
    <t>z_ar_tasmax_rcp26_rp100_2080_90p,tasmax_rcp26_rp100_2080_90p</t>
  </si>
  <si>
    <t xml:space="preserve"> heat exposure (2018) - New  &gt;&gt;&gt;  Summer extreme maximum temperature (Score)  &gt;&gt;&gt;  100 year return period  &gt;&gt;&gt;  Low emissions  &gt;&gt;&gt;  2090</t>
  </si>
  <si>
    <t>z_ar_tasmax_rcp26_rp100_2090_10p</t>
  </si>
  <si>
    <t>z_ar_tasmax_rcp26_rp100_2090_10p,tasmax_rcp26_rp100_2090_10p</t>
  </si>
  <si>
    <t>z_ar_tasmax_rcp26_rp100_2090_50p</t>
  </si>
  <si>
    <t>z_ar_tasmax_rcp26_rp100_2090_50p,tasmax_rcp26_rp100_2090_50p</t>
  </si>
  <si>
    <t>z_ar_tasmax_rcp26_rp100_2090_90p</t>
  </si>
  <si>
    <t>z_ar_tasmax_rcp26_rp100_2090_90p,tasmax_rcp26_rp100_2090_90p</t>
  </si>
  <si>
    <t xml:space="preserve"> heat exposure (2018) - New  &gt;&gt;&gt;  Summer extreme maximum temperature (Score)  &gt;&gt;&gt;  20 year return period  &gt;&gt;&gt;  Moderate emissions  &gt;&gt;&gt;  2020</t>
  </si>
  <si>
    <t>z_ar_tasmax_rcp45_rp20_2020_10p</t>
  </si>
  <si>
    <t>z_ar_tasmax_rcp45_rp20_2020_10p,tasmax_rcp45_rp20_2020_10p</t>
  </si>
  <si>
    <t>z_ar_tasmax_rcp45_rp20_2020_50p</t>
  </si>
  <si>
    <t>z_ar_tasmax_rcp45_rp20_2020_50p,tasmax_rcp45_rp20_2020_50p</t>
  </si>
  <si>
    <t>z_ar_tasmax_rcp45_rp20_2020_90p</t>
  </si>
  <si>
    <t>z_ar_tasmax_rcp45_rp20_2020_90p,tasmax_rcp45_rp20_2020_90p</t>
  </si>
  <si>
    <t xml:space="preserve"> heat exposure (2018) - New  &gt;&gt;&gt;  Summer extreme maximum temperature (Score)  &gt;&gt;&gt;  20 year return period  &gt;&gt;&gt;  Moderate emissions  &gt;&gt;&gt;  2030</t>
  </si>
  <si>
    <t>z_ar_tasmax_rcp45_rp20_2030_10p</t>
  </si>
  <si>
    <t>z_ar_tasmax_rcp45_rp20_2030_10p,tasmax_rcp45_rp20_2030_10p</t>
  </si>
  <si>
    <t>z_ar_tasmax_rcp45_rp20_2030_50p</t>
  </si>
  <si>
    <t>z_ar_tasmax_rcp45_rp20_2030_50p,tasmax_rcp45_rp20_2030_50p</t>
  </si>
  <si>
    <t>z_ar_tasmax_rcp45_rp20_2030_90p</t>
  </si>
  <si>
    <t>z_ar_tasmax_rcp45_rp20_2030_90p,tasmax_rcp45_rp20_2030_90p</t>
  </si>
  <si>
    <t xml:space="preserve"> heat exposure (2018) - New  &gt;&gt;&gt;  Summer extreme maximum temperature (Score)  &gt;&gt;&gt;  20 year return period  &gt;&gt;&gt;  Moderate emissions  &gt;&gt;&gt;  2040</t>
  </si>
  <si>
    <t>z_ar_tasmax_rcp45_rp20_2040_10p</t>
  </si>
  <si>
    <t>z_ar_tasmax_rcp45_rp20_2040_10p,tasmax_rcp45_rp20_2040_10p</t>
  </si>
  <si>
    <t>z_ar_tasmax_rcp45_rp20_2040_50p</t>
  </si>
  <si>
    <t>z_ar_tasmax_rcp45_rp20_2040_50p,tasmax_rcp45_rp20_2040_50p</t>
  </si>
  <si>
    <t>z_ar_tasmax_rcp45_rp20_2040_90p</t>
  </si>
  <si>
    <t>z_ar_tasmax_rcp45_rp20_2040_90p,tasmax_rcp45_rp20_2040_90p</t>
  </si>
  <si>
    <t xml:space="preserve"> heat exposure (2018) - New  &gt;&gt;&gt;  Summer extreme maximum temperature (Score)  &gt;&gt;&gt;  20 year return period  &gt;&gt;&gt;  Moderate emissions  &gt;&gt;&gt;  2050</t>
  </si>
  <si>
    <t>z_ar_tasmax_rcp45_rp20_2050_10p</t>
  </si>
  <si>
    <t>z_ar_tasmax_rcp45_rp20_2050_10p,tasmax_rcp45_rp20_2050_10p</t>
  </si>
  <si>
    <t>z_ar_tasmax_rcp45_rp20_2050_50p</t>
  </si>
  <si>
    <t>z_ar_tasmax_rcp45_rp20_2050_50p,tasmax_rcp45_rp20_2050_50p</t>
  </si>
  <si>
    <t>z_ar_tasmax_rcp45_rp20_2050_90p</t>
  </si>
  <si>
    <t>z_ar_tasmax_rcp45_rp20_2050_90p,tasmax_rcp45_rp20_2050_90p</t>
  </si>
  <si>
    <t xml:space="preserve"> heat exposure (2018) - New  &gt;&gt;&gt;  Summer extreme maximum temperature (Score)  &gt;&gt;&gt;  20 year return period  &gt;&gt;&gt;  Moderate emissions  &gt;&gt;&gt;  2060</t>
  </si>
  <si>
    <t>z_ar_tasmax_rcp45_rp20_2060_10p</t>
  </si>
  <si>
    <t>z_ar_tasmax_rcp45_rp20_2060_10p,tasmax_rcp45_rp20_2060_10p</t>
  </si>
  <si>
    <t>z_ar_tasmax_rcp45_rp20_2060_50p</t>
  </si>
  <si>
    <t>z_ar_tasmax_rcp45_rp20_2060_50p,tasmax_rcp45_rp20_2060_50p</t>
  </si>
  <si>
    <t>z_ar_tasmax_rcp45_rp20_2060_90p</t>
  </si>
  <si>
    <t>z_ar_tasmax_rcp45_rp20_2060_90p,tasmax_rcp45_rp20_2060_90p</t>
  </si>
  <si>
    <t xml:space="preserve"> heat exposure (2018) - New  &gt;&gt;&gt;  Summer extreme maximum temperature (Score)  &gt;&gt;&gt;  20 year return period  &gt;&gt;&gt;  Moderate emissions  &gt;&gt;&gt;  2070</t>
  </si>
  <si>
    <t>z_ar_tasmax_rcp45_rp20_2070_10p</t>
  </si>
  <si>
    <t>z_ar_tasmax_rcp45_rp20_2070_10p,tasmax_rcp45_rp20_2070_10p</t>
  </si>
  <si>
    <t>z_ar_tasmax_rcp45_rp20_2070_50p</t>
  </si>
  <si>
    <t>z_ar_tasmax_rcp45_rp20_2070_50p,tasmax_rcp45_rp20_2070_50p</t>
  </si>
  <si>
    <t>z_ar_tasmax_rcp45_rp20_2070_90p</t>
  </si>
  <si>
    <t>z_ar_tasmax_rcp45_rp20_2070_90p,tasmax_rcp45_rp20_2070_90p</t>
  </si>
  <si>
    <t xml:space="preserve"> heat exposure (2018) - New  &gt;&gt;&gt;  Summer extreme maximum temperature (Score)  &gt;&gt;&gt;  20 year return period  &gt;&gt;&gt;  Moderate emissions  &gt;&gt;&gt;  2080</t>
  </si>
  <si>
    <t>z_ar_tasmax_rcp45_rp20_2080_10p</t>
  </si>
  <si>
    <t>z_ar_tasmax_rcp45_rp20_2080_10p,tasmax_rcp45_rp20_2080_10p</t>
  </si>
  <si>
    <t>z_ar_tasmax_rcp45_rp20_2080_50p</t>
  </si>
  <si>
    <t>z_ar_tasmax_rcp45_rp20_2080_50p,tasmax_rcp45_rp20_2080_50p</t>
  </si>
  <si>
    <t>z_ar_tasmax_rcp45_rp20_2080_90p</t>
  </si>
  <si>
    <t>z_ar_tasmax_rcp45_rp20_2080_90p,tasmax_rcp45_rp20_2080_90p</t>
  </si>
  <si>
    <t xml:space="preserve"> heat exposure (2018) - New  &gt;&gt;&gt;  Summer extreme maximum temperature (Score)  &gt;&gt;&gt;  20 year return period  &gt;&gt;&gt;  Moderate emissions  &gt;&gt;&gt;  2090</t>
  </si>
  <si>
    <t>z_ar_tasmax_rcp45_rp20_2090_10p</t>
  </si>
  <si>
    <t>z_ar_tasmax_rcp45_rp20_2090_10p,tasmax_rcp45_rp20_2090_10p</t>
  </si>
  <si>
    <t>z_ar_tasmax_rcp45_rp20_2090_50p</t>
  </si>
  <si>
    <t>z_ar_tasmax_rcp45_rp20_2090_50p,tasmax_rcp45_rp20_2090_50p</t>
  </si>
  <si>
    <t>z_ar_tasmax_rcp45_rp20_2090_90p</t>
  </si>
  <si>
    <t>z_ar_tasmax_rcp45_rp20_2090_90p,tasmax_rcp45_rp20_2090_90p</t>
  </si>
  <si>
    <t xml:space="preserve"> heat exposure (2018) - New  &gt;&gt;&gt;  Summer extreme maximum temperature (Score)  &gt;&gt;&gt;  50 year return period  &gt;&gt;&gt;  Moderate emissions  &gt;&gt;&gt;  2020</t>
  </si>
  <si>
    <t>z_ar_tasmax_rcp45_rp50_2020_10p</t>
  </si>
  <si>
    <t>z_ar_tasmax_rcp45_rp50_2020_10p,tasmax_rcp45_rp50_2020_10p</t>
  </si>
  <si>
    <t>z_ar_tasmax_rcp45_rp50_2020_50p</t>
  </si>
  <si>
    <t>z_ar_tasmax_rcp45_rp50_2020_50p,tasmax_rcp45_rp50_2020_50p</t>
  </si>
  <si>
    <t>z_ar_tasmax_rcp45_rp50_2020_90p</t>
  </si>
  <si>
    <t>z_ar_tasmax_rcp45_rp50_2020_90p,tasmax_rcp45_rp50_2020_90p</t>
  </si>
  <si>
    <t xml:space="preserve"> heat exposure (2018) - New  &gt;&gt;&gt;  Summer extreme maximum temperature (Score)  &gt;&gt;&gt;  50 year return period  &gt;&gt;&gt;  Moderate emissions  &gt;&gt;&gt;  2030</t>
  </si>
  <si>
    <t>z_ar_tasmax_rcp45_rp50_2030_10p</t>
  </si>
  <si>
    <t>z_ar_tasmax_rcp45_rp50_2030_10p,tasmax_rcp45_rp50_2030_10p</t>
  </si>
  <si>
    <t>z_ar_tasmax_rcp45_rp50_2030_50p</t>
  </si>
  <si>
    <t>z_ar_tasmax_rcp45_rp50_2030_50p,tasmax_rcp45_rp50_2030_50p</t>
  </si>
  <si>
    <t>z_ar_tasmax_rcp45_rp50_2030_90p</t>
  </si>
  <si>
    <t>z_ar_tasmax_rcp45_rp50_2030_90p,tasmax_rcp45_rp50_2030_90p</t>
  </si>
  <si>
    <t xml:space="preserve"> heat exposure (2018) - New  &gt;&gt;&gt;  Summer extreme maximum temperature (Score)  &gt;&gt;&gt;  50 year return period  &gt;&gt;&gt;  Moderate emissions  &gt;&gt;&gt;  2040</t>
  </si>
  <si>
    <t>z_ar_tasmax_rcp45_rp50_2040_10p</t>
  </si>
  <si>
    <t>z_ar_tasmax_rcp45_rp50_2040_10p,tasmax_rcp45_rp50_2040_10p</t>
  </si>
  <si>
    <t>z_ar_tasmax_rcp45_rp50_2040_50p</t>
  </si>
  <si>
    <t>z_ar_tasmax_rcp45_rp50_2040_50p,tasmax_rcp45_rp50_2040_50p</t>
  </si>
  <si>
    <t>z_ar_tasmax_rcp45_rp50_2040_90p</t>
  </si>
  <si>
    <t>z_ar_tasmax_rcp45_rp50_2040_90p,tasmax_rcp45_rp50_2040_90p</t>
  </si>
  <si>
    <t xml:space="preserve"> heat exposure (2018) - New  &gt;&gt;&gt;  Summer extreme maximum temperature (Score)  &gt;&gt;&gt;  50 year return period  &gt;&gt;&gt;  Moderate emissions  &gt;&gt;&gt;  2050</t>
  </si>
  <si>
    <t>z_ar_tasmax_rcp45_rp50_2050_10p</t>
  </si>
  <si>
    <t>z_ar_tasmax_rcp45_rp50_2050_10p,tasmax_rcp45_rp50_2050_10p</t>
  </si>
  <si>
    <t>z_ar_tasmax_rcp45_rp50_2050_50p</t>
  </si>
  <si>
    <t>z_ar_tasmax_rcp45_rp50_2050_50p,tasmax_rcp45_rp50_2050_50p</t>
  </si>
  <si>
    <t>z_ar_tasmax_rcp45_rp50_2050_90p</t>
  </si>
  <si>
    <t>z_ar_tasmax_rcp45_rp50_2050_90p,tasmax_rcp45_rp50_2050_90p</t>
  </si>
  <si>
    <t xml:space="preserve"> heat exposure (2018) - New  &gt;&gt;&gt;  Summer extreme maximum temperature (Score)  &gt;&gt;&gt;  50 year return period  &gt;&gt;&gt;  Moderate emissions  &gt;&gt;&gt;  2060</t>
  </si>
  <si>
    <t>z_ar_tasmax_rcp45_rp50_2060_10p</t>
  </si>
  <si>
    <t>z_ar_tasmax_rcp45_rp50_2060_10p,tasmax_rcp45_rp50_2060_10p</t>
  </si>
  <si>
    <t>z_ar_tasmax_rcp45_rp50_2060_50p</t>
  </si>
  <si>
    <t>z_ar_tasmax_rcp45_rp50_2060_50p,tasmax_rcp45_rp50_2060_50p</t>
  </si>
  <si>
    <t>z_ar_tasmax_rcp45_rp50_2060_90p</t>
  </si>
  <si>
    <t>z_ar_tasmax_rcp45_rp50_2060_90p,tasmax_rcp45_rp50_2060_90p</t>
  </si>
  <si>
    <t xml:space="preserve"> heat exposure (2018) - New  &gt;&gt;&gt;  Summer extreme maximum temperature (Score)  &gt;&gt;&gt;  50 year return period  &gt;&gt;&gt;  Moderate emissions  &gt;&gt;&gt;  2070</t>
  </si>
  <si>
    <t>z_ar_tasmax_rcp45_rp50_2070_10p</t>
  </si>
  <si>
    <t>z_ar_tasmax_rcp45_rp50_2070_10p,tasmax_rcp45_rp50_2070_10p</t>
  </si>
  <si>
    <t>z_ar_tasmax_rcp45_rp50_2070_50p</t>
  </si>
  <si>
    <t>z_ar_tasmax_rcp45_rp50_2070_50p,tasmax_rcp45_rp50_2070_50p</t>
  </si>
  <si>
    <t>z_ar_tasmax_rcp45_rp50_2070_90p</t>
  </si>
  <si>
    <t>z_ar_tasmax_rcp45_rp50_2070_90p,tasmax_rcp45_rp50_2070_90p</t>
  </si>
  <si>
    <t xml:space="preserve"> heat exposure (2018) - New  &gt;&gt;&gt;  Summer extreme maximum temperature (Score)  &gt;&gt;&gt;  50 year return period  &gt;&gt;&gt;  Moderate emissions  &gt;&gt;&gt;  2080</t>
  </si>
  <si>
    <t>z_ar_tasmax_rcp45_rp50_2080_10p</t>
  </si>
  <si>
    <t>z_ar_tasmax_rcp45_rp50_2080_10p,tasmax_rcp45_rp50_2080_10p</t>
  </si>
  <si>
    <t>z_ar_tasmax_rcp45_rp50_2080_50p</t>
  </si>
  <si>
    <t>z_ar_tasmax_rcp45_rp50_2080_50p,tasmax_rcp45_rp50_2080_50p</t>
  </si>
  <si>
    <t>z_ar_tasmax_rcp45_rp50_2080_90p</t>
  </si>
  <si>
    <t>z_ar_tasmax_rcp45_rp50_2080_90p,tasmax_rcp45_rp50_2080_90p</t>
  </si>
  <si>
    <t xml:space="preserve"> heat exposure (2018) - New  &gt;&gt;&gt;  Summer extreme maximum temperature (Score)  &gt;&gt;&gt;  50 year return period  &gt;&gt;&gt;  Moderate emissions  &gt;&gt;&gt;  2090</t>
  </si>
  <si>
    <t>z_ar_tasmax_rcp45_rp50_2090_10p</t>
  </si>
  <si>
    <t>z_ar_tasmax_rcp45_rp50_2090_10p,tasmax_rcp45_rp50_2090_10p</t>
  </si>
  <si>
    <t>z_ar_tasmax_rcp45_rp50_2090_50p</t>
  </si>
  <si>
    <t>z_ar_tasmax_rcp45_rp50_2090_50p,tasmax_rcp45_rp50_2090_50p</t>
  </si>
  <si>
    <t>z_ar_tasmax_rcp45_rp50_2090_90p</t>
  </si>
  <si>
    <t>z_ar_tasmax_rcp45_rp50_2090_90p,tasmax_rcp45_rp50_2090_90p</t>
  </si>
  <si>
    <t xml:space="preserve"> heat exposure (2018) - New  &gt;&gt;&gt;  Summer extreme maximum temperature (Score)  &gt;&gt;&gt;  100 year return period  &gt;&gt;&gt;  Moderate emissions  &gt;&gt;&gt;  2020</t>
  </si>
  <si>
    <t>z_ar_tasmax_rcp45_rp100_2020_10p</t>
  </si>
  <si>
    <t>z_ar_tasmax_rcp45_rp100_2020_10p,tasmax_rcp45_rp100_2020_10p</t>
  </si>
  <si>
    <t>z_ar_tasmax_rcp45_rp100_2020_50p</t>
  </si>
  <si>
    <t>z_ar_tasmax_rcp45_rp100_2020_50p,tasmax_rcp45_rp100_2020_50p</t>
  </si>
  <si>
    <t>z_ar_tasmax_rcp45_rp100_2020_90p</t>
  </si>
  <si>
    <t>z_ar_tasmax_rcp45_rp100_2020_90p,tasmax_rcp45_rp100_2020_90p</t>
  </si>
  <si>
    <t xml:space="preserve"> heat exposure (2018) - New  &gt;&gt;&gt;  Summer extreme maximum temperature (Score)  &gt;&gt;&gt;  100 year return period  &gt;&gt;&gt;  Moderate emissions  &gt;&gt;&gt;  2030</t>
  </si>
  <si>
    <t>z_ar_tasmax_rcp45_rp100_2030_10p</t>
  </si>
  <si>
    <t>z_ar_tasmax_rcp45_rp100_2030_10p,tasmax_rcp45_rp100_2030_10p</t>
  </si>
  <si>
    <t>z_ar_tasmax_rcp45_rp100_2030_50p</t>
  </si>
  <si>
    <t>z_ar_tasmax_rcp45_rp100_2030_50p,tasmax_rcp45_rp100_2030_50p</t>
  </si>
  <si>
    <t>z_ar_tasmax_rcp45_rp100_2030_90p</t>
  </si>
  <si>
    <t>z_ar_tasmax_rcp45_rp100_2030_90p,tasmax_rcp45_rp100_2030_90p</t>
  </si>
  <si>
    <t xml:space="preserve"> heat exposure (2018) - New  &gt;&gt;&gt;  Summer extreme maximum temperature (Score)  &gt;&gt;&gt;  100 year return period  &gt;&gt;&gt;  Moderate emissions  &gt;&gt;&gt;  2040</t>
  </si>
  <si>
    <t>z_ar_tasmax_rcp45_rp100_2040_10p</t>
  </si>
  <si>
    <t>z_ar_tasmax_rcp45_rp100_2040_10p,tasmax_rcp45_rp100_2040_10p</t>
  </si>
  <si>
    <t>z_ar_tasmax_rcp45_rp100_2040_50p</t>
  </si>
  <si>
    <t>z_ar_tasmax_rcp45_rp100_2040_50p,tasmax_rcp45_rp100_2040_50p</t>
  </si>
  <si>
    <t>z_ar_tasmax_rcp45_rp100_2040_90p</t>
  </si>
  <si>
    <t>z_ar_tasmax_rcp45_rp100_2040_90p,tasmax_rcp45_rp100_2040_90p</t>
  </si>
  <si>
    <t xml:space="preserve"> heat exposure (2018) - New  &gt;&gt;&gt;  Summer extreme maximum temperature (Score)  &gt;&gt;&gt;  100 year return period  &gt;&gt;&gt;  Moderate emissions  &gt;&gt;&gt;  2050</t>
  </si>
  <si>
    <t>z_ar_tasmax_rcp45_rp100_2050_10p</t>
  </si>
  <si>
    <t>z_ar_tasmax_rcp45_rp100_2050_10p,tasmax_rcp45_rp100_2050_10p</t>
  </si>
  <si>
    <t>z_ar_tasmax_rcp45_rp100_2050_50p</t>
  </si>
  <si>
    <t>z_ar_tasmax_rcp45_rp100_2050_50p,tasmax_rcp45_rp100_2050_50p</t>
  </si>
  <si>
    <t>z_ar_tasmax_rcp45_rp100_2050_90p</t>
  </si>
  <si>
    <t>z_ar_tasmax_rcp45_rp100_2050_90p,tasmax_rcp45_rp100_2050_90p</t>
  </si>
  <si>
    <t xml:space="preserve"> heat exposure (2018) - New  &gt;&gt;&gt;  Summer extreme maximum temperature (Score)  &gt;&gt;&gt;  100 year return period  &gt;&gt;&gt;  Moderate emissions  &gt;&gt;&gt;  2060</t>
  </si>
  <si>
    <t>z_ar_tasmax_rcp45_rp100_2060_10p</t>
  </si>
  <si>
    <t>z_ar_tasmax_rcp45_rp100_2060_10p,tasmax_rcp45_rp100_2060_10p</t>
  </si>
  <si>
    <t>z_ar_tasmax_rcp45_rp100_2060_50p</t>
  </si>
  <si>
    <t>z_ar_tasmax_rcp45_rp100_2060_50p,tasmax_rcp45_rp100_2060_50p</t>
  </si>
  <si>
    <t>z_ar_tasmax_rcp45_rp100_2060_90p</t>
  </si>
  <si>
    <t>z_ar_tasmax_rcp45_rp100_2060_90p,tasmax_rcp45_rp100_2060_90p</t>
  </si>
  <si>
    <t xml:space="preserve"> heat exposure (2018) - New  &gt;&gt;&gt;  Summer extreme maximum temperature (Score)  &gt;&gt;&gt;  100 year return period  &gt;&gt;&gt;  Moderate emissions  &gt;&gt;&gt;  2070</t>
  </si>
  <si>
    <t>z_ar_tasmax_rcp45_rp100_2070_10p</t>
  </si>
  <si>
    <t>z_ar_tasmax_rcp45_rp100_2070_10p,tasmax_rcp45_rp100_2070_10p</t>
  </si>
  <si>
    <t>z_ar_tasmax_rcp45_rp100_2070_50p</t>
  </si>
  <si>
    <t>z_ar_tasmax_rcp45_rp100_2070_50p,tasmax_rcp45_rp100_2070_50p</t>
  </si>
  <si>
    <t>z_ar_tasmax_rcp45_rp100_2070_90p</t>
  </si>
  <si>
    <t>z_ar_tasmax_rcp45_rp100_2070_90p,tasmax_rcp45_rp100_2070_90p</t>
  </si>
  <si>
    <t xml:space="preserve"> heat exposure (2018) - New  &gt;&gt;&gt;  Summer extreme maximum temperature (Score)  &gt;&gt;&gt;  100 year return period  &gt;&gt;&gt;  Moderate emissions  &gt;&gt;&gt;  2080</t>
  </si>
  <si>
    <t>z_ar_tasmax_rcp45_rp100_2080_10p</t>
  </si>
  <si>
    <t>z_ar_tasmax_rcp45_rp100_2080_10p,tasmax_rcp45_rp100_2080_10p</t>
  </si>
  <si>
    <t>z_ar_tasmax_rcp45_rp100_2080_50p</t>
  </si>
  <si>
    <t>z_ar_tasmax_rcp45_rp100_2080_50p,tasmax_rcp45_rp100_2080_50p</t>
  </si>
  <si>
    <t>z_ar_tasmax_rcp45_rp100_2080_90p</t>
  </si>
  <si>
    <t>z_ar_tasmax_rcp45_rp100_2080_90p,tasmax_rcp45_rp100_2080_90p</t>
  </si>
  <si>
    <t xml:space="preserve"> heat exposure (2018) - New  &gt;&gt;&gt;  Summer extreme maximum temperature (Score)  &gt;&gt;&gt;  100 year return period  &gt;&gt;&gt;  Moderate emissions  &gt;&gt;&gt;  2090</t>
  </si>
  <si>
    <t>z_ar_tasmax_rcp45_rp100_2090_10p</t>
  </si>
  <si>
    <t>z_ar_tasmax_rcp45_rp100_2090_10p,tasmax_rcp45_rp100_2090_10p</t>
  </si>
  <si>
    <t>z_ar_tasmax_rcp45_rp100_2090_50p</t>
  </si>
  <si>
    <t>z_ar_tasmax_rcp45_rp100_2090_50p,tasmax_rcp45_rp100_2090_50p</t>
  </si>
  <si>
    <t>z_ar_tasmax_rcp45_rp100_2090_90p</t>
  </si>
  <si>
    <t>z_ar_tasmax_rcp45_rp100_2090_90p,tasmax_rcp45_rp100_2090_90p</t>
  </si>
  <si>
    <t xml:space="preserve"> heat exposure (2018) - New  &gt;&gt;&gt;  Summer extreme maximum temperature (Score)  &gt;&gt;&gt;  20 year return period  &gt;&gt;&gt;  High emissions  &gt;&gt;&gt;  2020</t>
  </si>
  <si>
    <t>z_ar_tasmax_rcp60_rp20_2020_10p</t>
  </si>
  <si>
    <t>z_ar_tasmax_rcp60_rp20_2020_10p,tasmax_rcp60_rp20_2020_10p</t>
  </si>
  <si>
    <t>z_ar_tasmax_rcp60_rp20_2020_50p</t>
  </si>
  <si>
    <t>z_ar_tasmax_rcp60_rp20_2020_50p,tasmax_rcp60_rp20_2020_50p</t>
  </si>
  <si>
    <t>z_ar_tasmax_rcp60_rp20_2020_90p</t>
  </si>
  <si>
    <t>z_ar_tasmax_rcp60_rp20_2020_90p,tasmax_rcp60_rp20_2020_90p</t>
  </si>
  <si>
    <t xml:space="preserve"> heat exposure (2018) - New  &gt;&gt;&gt;  Summer extreme maximum temperature (Score)  &gt;&gt;&gt;  20 year return period  &gt;&gt;&gt;  High emissions  &gt;&gt;&gt;  2030</t>
  </si>
  <si>
    <t>z_ar_tasmax_rcp60_rp20_2030_10p</t>
  </si>
  <si>
    <t>z_ar_tasmax_rcp60_rp20_2030_10p,tasmax_rcp60_rp20_2030_10p</t>
  </si>
  <si>
    <t>z_ar_tasmax_rcp60_rp20_2030_50p</t>
  </si>
  <si>
    <t>z_ar_tasmax_rcp60_rp20_2030_50p,tasmax_rcp60_rp20_2030_50p</t>
  </si>
  <si>
    <t>z_ar_tasmax_rcp60_rp20_2030_90p</t>
  </si>
  <si>
    <t>z_ar_tasmax_rcp60_rp20_2030_90p,tasmax_rcp60_rp20_2030_90p</t>
  </si>
  <si>
    <t xml:space="preserve"> heat exposure (2018) - New  &gt;&gt;&gt;  Summer extreme maximum temperature (Score)  &gt;&gt;&gt;  20 year return period  &gt;&gt;&gt;  High emissions  &gt;&gt;&gt;  2040</t>
  </si>
  <si>
    <t>z_ar_tasmax_rcp60_rp20_2040_10p</t>
  </si>
  <si>
    <t>z_ar_tasmax_rcp60_rp20_2040_10p,tasmax_rcp60_rp20_2040_10p</t>
  </si>
  <si>
    <t>z_ar_tasmax_rcp60_rp20_2040_50p</t>
  </si>
  <si>
    <t>z_ar_tasmax_rcp60_rp20_2040_50p,tasmax_rcp60_rp20_2040_50p</t>
  </si>
  <si>
    <t>z_ar_tasmax_rcp60_rp20_2040_90p</t>
  </si>
  <si>
    <t>z_ar_tasmax_rcp60_rp20_2040_90p,tasmax_rcp60_rp20_2040_90p</t>
  </si>
  <si>
    <t xml:space="preserve"> heat exposure (2018) - New  &gt;&gt;&gt;  Summer extreme maximum temperature (Score)  &gt;&gt;&gt;  20 year return period  &gt;&gt;&gt;  High emissions  &gt;&gt;&gt;  2050</t>
  </si>
  <si>
    <t>z_ar_tasmax_rcp60_rp20_2050_10p</t>
  </si>
  <si>
    <t>z_ar_tasmax_rcp60_rp20_2050_10p,tasmax_rcp60_rp20_2050_10p</t>
  </si>
  <si>
    <t>z_ar_tasmax_rcp60_rp20_2050_50p</t>
  </si>
  <si>
    <t>z_ar_tasmax_rcp60_rp20_2050_50p,tasmax_rcp60_rp20_2050_50p</t>
  </si>
  <si>
    <t>z_ar_tasmax_rcp60_rp20_2050_90p</t>
  </si>
  <si>
    <t>z_ar_tasmax_rcp60_rp20_2050_90p,tasmax_rcp60_rp20_2050_90p</t>
  </si>
  <si>
    <t xml:space="preserve"> heat exposure (2018) - New  &gt;&gt;&gt;  Summer extreme maximum temperature (Score)  &gt;&gt;&gt;  20 year return period  &gt;&gt;&gt;  High emissions  &gt;&gt;&gt;  2060</t>
  </si>
  <si>
    <t>z_ar_tasmax_rcp60_rp20_2060_10p</t>
  </si>
  <si>
    <t>z_ar_tasmax_rcp60_rp20_2060_10p,tasmax_rcp60_rp20_2060_10p</t>
  </si>
  <si>
    <t>z_ar_tasmax_rcp60_rp20_2060_50p</t>
  </si>
  <si>
    <t>z_ar_tasmax_rcp60_rp20_2060_50p,tasmax_rcp60_rp20_2060_50p</t>
  </si>
  <si>
    <t>z_ar_tasmax_rcp60_rp20_2060_90p</t>
  </si>
  <si>
    <t>z_ar_tasmax_rcp60_rp20_2060_90p,tasmax_rcp60_rp20_2060_90p</t>
  </si>
  <si>
    <t xml:space="preserve"> heat exposure (2018) - New  &gt;&gt;&gt;  Summer extreme maximum temperature (Score)  &gt;&gt;&gt;  20 year return period  &gt;&gt;&gt;  High emissions  &gt;&gt;&gt;  2070</t>
  </si>
  <si>
    <t>z_ar_tasmax_rcp60_rp20_2070_10p</t>
  </si>
  <si>
    <t>z_ar_tasmax_rcp60_rp20_2070_10p,tasmax_rcp60_rp20_2070_10p</t>
  </si>
  <si>
    <t>z_ar_tasmax_rcp60_rp20_2070_50p</t>
  </si>
  <si>
    <t>z_ar_tasmax_rcp60_rp20_2070_50p,tasmax_rcp60_rp20_2070_50p</t>
  </si>
  <si>
    <t>z_ar_tasmax_rcp60_rp20_2070_90p</t>
  </si>
  <si>
    <t>z_ar_tasmax_rcp60_rp20_2070_90p,tasmax_rcp60_rp20_2070_90p</t>
  </si>
  <si>
    <t xml:space="preserve"> heat exposure (2018) - New  &gt;&gt;&gt;  Summer extreme maximum temperature (Score)  &gt;&gt;&gt;  20 year return period  &gt;&gt;&gt;  High emissions  &gt;&gt;&gt;  2080</t>
  </si>
  <si>
    <t>z_ar_tasmax_rcp60_rp20_2080_10p</t>
  </si>
  <si>
    <t>z_ar_tasmax_rcp60_rp20_2080_10p,tasmax_rcp60_rp20_2080_10p</t>
  </si>
  <si>
    <t>z_ar_tasmax_rcp60_rp20_2080_50p</t>
  </si>
  <si>
    <t>z_ar_tasmax_rcp60_rp20_2080_50p,tasmax_rcp60_rp20_2080_50p</t>
  </si>
  <si>
    <t>z_ar_tasmax_rcp60_rp20_2080_90p</t>
  </si>
  <si>
    <t>z_ar_tasmax_rcp60_rp20_2080_90p,tasmax_rcp60_rp20_2080_90p</t>
  </si>
  <si>
    <t xml:space="preserve"> heat exposure (2018) - New  &gt;&gt;&gt;  Summer extreme maximum temperature (Score)  &gt;&gt;&gt;  20 year return period  &gt;&gt;&gt;  High emissions  &gt;&gt;&gt;  2090</t>
  </si>
  <si>
    <t>z_ar_tasmax_rcp60_rp20_2090_10p</t>
  </si>
  <si>
    <t>z_ar_tasmax_rcp60_rp20_2090_10p,tasmax_rcp60_rp20_2090_10p</t>
  </si>
  <si>
    <t>z_ar_tasmax_rcp60_rp20_2090_50p</t>
  </si>
  <si>
    <t>z_ar_tasmax_rcp60_rp20_2090_50p,tasmax_rcp60_rp20_2090_50p</t>
  </si>
  <si>
    <t>z_ar_tasmax_rcp60_rp20_2090_90p</t>
  </si>
  <si>
    <t>z_ar_tasmax_rcp60_rp20_2090_90p,tasmax_rcp60_rp20_2090_90p</t>
  </si>
  <si>
    <t xml:space="preserve"> heat exposure (2018) - New  &gt;&gt;&gt;  Summer extreme maximum temperature (Score)  &gt;&gt;&gt;  50 year return period  &gt;&gt;&gt;  High emissions  &gt;&gt;&gt;  2020</t>
  </si>
  <si>
    <t>z_ar_tasmax_rcp60_rp50_2020_10p</t>
  </si>
  <si>
    <t>z_ar_tasmax_rcp60_rp50_2020_10p,tasmax_rcp60_rp50_2020_10p</t>
  </si>
  <si>
    <t>z_ar_tasmax_rcp60_rp50_2020_50p</t>
  </si>
  <si>
    <t>z_ar_tasmax_rcp60_rp50_2020_50p,tasmax_rcp60_rp50_2020_50p</t>
  </si>
  <si>
    <t>z_ar_tasmax_rcp60_rp50_2020_90p</t>
  </si>
  <si>
    <t>z_ar_tasmax_rcp60_rp50_2020_90p,tasmax_rcp60_rp50_2020_90p</t>
  </si>
  <si>
    <t xml:space="preserve"> heat exposure (2018) - New  &gt;&gt;&gt;  Summer extreme maximum temperature (Score)  &gt;&gt;&gt;  50 year return period  &gt;&gt;&gt;  High emissions  &gt;&gt;&gt;  2030</t>
  </si>
  <si>
    <t>z_ar_tasmax_rcp60_rp50_2030_10p</t>
  </si>
  <si>
    <t>z_ar_tasmax_rcp60_rp50_2030_10p,tasmax_rcp60_rp50_2030_10p</t>
  </si>
  <si>
    <t>z_ar_tasmax_rcp60_rp50_2030_50p</t>
  </si>
  <si>
    <t>z_ar_tasmax_rcp60_rp50_2030_50p,tasmax_rcp60_rp50_2030_50p</t>
  </si>
  <si>
    <t>z_ar_tasmax_rcp60_rp50_2030_90p</t>
  </si>
  <si>
    <t>z_ar_tasmax_rcp60_rp50_2030_90p,tasmax_rcp60_rp50_2030_90p</t>
  </si>
  <si>
    <t xml:space="preserve"> heat exposure (2018) - New  &gt;&gt;&gt;  Summer extreme maximum temperature (Score)  &gt;&gt;&gt;  50 year return period  &gt;&gt;&gt;  High emissions  &gt;&gt;&gt;  2040</t>
  </si>
  <si>
    <t>z_ar_tasmax_rcp60_rp50_2040_10p</t>
  </si>
  <si>
    <t>z_ar_tasmax_rcp60_rp50_2040_10p,tasmax_rcp60_rp50_2040_10p</t>
  </si>
  <si>
    <t>z_ar_tasmax_rcp60_rp50_2040_50p</t>
  </si>
  <si>
    <t>z_ar_tasmax_rcp60_rp50_2040_50p,tasmax_rcp60_rp50_2040_50p</t>
  </si>
  <si>
    <t>z_ar_tasmax_rcp60_rp50_2040_90p</t>
  </si>
  <si>
    <t>z_ar_tasmax_rcp60_rp50_2040_90p,tasmax_rcp60_rp50_2040_90p</t>
  </si>
  <si>
    <t xml:space="preserve"> heat exposure (2018) - New  &gt;&gt;&gt;  Summer extreme maximum temperature (Score)  &gt;&gt;&gt;  50 year return period  &gt;&gt;&gt;  High emissions  &gt;&gt;&gt;  2050</t>
  </si>
  <si>
    <t>z_ar_tasmax_rcp60_rp50_2050_10p</t>
  </si>
  <si>
    <t>z_ar_tasmax_rcp60_rp50_2050_10p,tasmax_rcp60_rp50_2050_10p</t>
  </si>
  <si>
    <t>z_ar_tasmax_rcp60_rp50_2050_50p</t>
  </si>
  <si>
    <t>z_ar_tasmax_rcp60_rp50_2050_50p,tasmax_rcp60_rp50_2050_50p</t>
  </si>
  <si>
    <t>z_ar_tasmax_rcp60_rp50_2050_90p</t>
  </si>
  <si>
    <t>z_ar_tasmax_rcp60_rp50_2050_90p,tasmax_rcp60_rp50_2050_90p</t>
  </si>
  <si>
    <t xml:space="preserve"> heat exposure (2018) - New  &gt;&gt;&gt;  Summer extreme maximum temperature (Score)  &gt;&gt;&gt;  50 year return period  &gt;&gt;&gt;  High emissions  &gt;&gt;&gt;  2060</t>
  </si>
  <si>
    <t>z_ar_tasmax_rcp60_rp50_2060_10p</t>
  </si>
  <si>
    <t>z_ar_tasmax_rcp60_rp50_2060_10p,tasmax_rcp60_rp50_2060_10p</t>
  </si>
  <si>
    <t>z_ar_tasmax_rcp60_rp50_2060_50p</t>
  </si>
  <si>
    <t>z_ar_tasmax_rcp60_rp50_2060_50p,tasmax_rcp60_rp50_2060_50p</t>
  </si>
  <si>
    <t>z_ar_tasmax_rcp60_rp50_2060_90p</t>
  </si>
  <si>
    <t>z_ar_tasmax_rcp60_rp50_2060_90p,tasmax_rcp60_rp50_2060_90p</t>
  </si>
  <si>
    <t xml:space="preserve"> heat exposure (2018) - New  &gt;&gt;&gt;  Summer extreme maximum temperature (Score)  &gt;&gt;&gt;  50 year return period  &gt;&gt;&gt;  High emissions  &gt;&gt;&gt;  2070</t>
  </si>
  <si>
    <t>z_ar_tasmax_rcp60_rp50_2070_10p</t>
  </si>
  <si>
    <t>z_ar_tasmax_rcp60_rp50_2070_10p,tasmax_rcp60_rp50_2070_10p</t>
  </si>
  <si>
    <t>z_ar_tasmax_rcp60_rp50_2070_50p</t>
  </si>
  <si>
    <t>z_ar_tasmax_rcp60_rp50_2070_50p,tasmax_rcp60_rp50_2070_50p</t>
  </si>
  <si>
    <t>z_ar_tasmax_rcp60_rp50_2070_90p</t>
  </si>
  <si>
    <t>z_ar_tasmax_rcp60_rp50_2070_90p,tasmax_rcp60_rp50_2070_90p</t>
  </si>
  <si>
    <t xml:space="preserve"> heat exposure (2018) - New  &gt;&gt;&gt;  Summer extreme maximum temperature (Score)  &gt;&gt;&gt;  50 year return period  &gt;&gt;&gt;  High emissions  &gt;&gt;&gt;  2080</t>
  </si>
  <si>
    <t>z_ar_tasmax_rcp60_rp50_2080_10p</t>
  </si>
  <si>
    <t>z_ar_tasmax_rcp60_rp50_2080_10p,tasmax_rcp60_rp50_2080_10p</t>
  </si>
  <si>
    <t>z_ar_tasmax_rcp60_rp50_2080_50p</t>
  </si>
  <si>
    <t>z_ar_tasmax_rcp60_rp50_2080_50p,tasmax_rcp60_rp50_2080_50p</t>
  </si>
  <si>
    <t>z_ar_tasmax_rcp60_rp50_2080_90p</t>
  </si>
  <si>
    <t>z_ar_tasmax_rcp60_rp50_2080_90p,tasmax_rcp60_rp50_2080_90p</t>
  </si>
  <si>
    <t xml:space="preserve"> heat exposure (2018) - New  &gt;&gt;&gt;  Summer extreme maximum temperature (Score)  &gt;&gt;&gt;  50 year return period  &gt;&gt;&gt;  High emissions  &gt;&gt;&gt;  2090</t>
  </si>
  <si>
    <t>z_ar_tasmax_rcp60_rp50_2090_10p</t>
  </si>
  <si>
    <t>z_ar_tasmax_rcp60_rp50_2090_10p,tasmax_rcp60_rp50_2090_10p</t>
  </si>
  <si>
    <t>z_ar_tasmax_rcp60_rp50_2090_50p</t>
  </si>
  <si>
    <t>z_ar_tasmax_rcp60_rp50_2090_50p,tasmax_rcp60_rp50_2090_50p</t>
  </si>
  <si>
    <t>z_ar_tasmax_rcp60_rp50_2090_90p</t>
  </si>
  <si>
    <t>z_ar_tasmax_rcp60_rp50_2090_90p,tasmax_rcp60_rp50_2090_90p</t>
  </si>
  <si>
    <t xml:space="preserve"> heat exposure (2018) - New  &gt;&gt;&gt;  Summer extreme maximum temperature (Score)  &gt;&gt;&gt;  100 year return period  &gt;&gt;&gt;  High emissions  &gt;&gt;&gt;  2020</t>
  </si>
  <si>
    <t>z_ar_tasmax_rcp60_rp100_2020_10p</t>
  </si>
  <si>
    <t>z_ar_tasmax_rcp60_rp100_2020_10p,tasmax_rcp60_rp100_2020_10p</t>
  </si>
  <si>
    <t>z_ar_tasmax_rcp60_rp100_2020_50p</t>
  </si>
  <si>
    <t>z_ar_tasmax_rcp60_rp100_2020_50p,tasmax_rcp60_rp100_2020_50p</t>
  </si>
  <si>
    <t>z_ar_tasmax_rcp60_rp100_2020_90p</t>
  </si>
  <si>
    <t>z_ar_tasmax_rcp60_rp100_2020_90p,tasmax_rcp60_rp100_2020_90p</t>
  </si>
  <si>
    <t xml:space="preserve"> heat exposure (2018) - New  &gt;&gt;&gt;  Summer extreme maximum temperature (Score)  &gt;&gt;&gt;  100 year return period  &gt;&gt;&gt;  High emissions  &gt;&gt;&gt;  2030</t>
  </si>
  <si>
    <t>z_ar_tasmax_rcp60_rp100_2030_10p</t>
  </si>
  <si>
    <t>z_ar_tasmax_rcp60_rp100_2030_10p,tasmax_rcp60_rp100_2030_10p</t>
  </si>
  <si>
    <t>z_ar_tasmax_rcp60_rp100_2030_50p</t>
  </si>
  <si>
    <t>z_ar_tasmax_rcp60_rp100_2030_50p,tasmax_rcp60_rp100_2030_50p</t>
  </si>
  <si>
    <t>z_ar_tasmax_rcp60_rp100_2030_90p</t>
  </si>
  <si>
    <t>z_ar_tasmax_rcp60_rp100_2030_90p,tasmax_rcp60_rp100_2030_90p</t>
  </si>
  <si>
    <t xml:space="preserve"> heat exposure (2018) - New  &gt;&gt;&gt;  Summer extreme maximum temperature (Score)  &gt;&gt;&gt;  100 year return period  &gt;&gt;&gt;  High emissions  &gt;&gt;&gt;  2040</t>
  </si>
  <si>
    <t>z_ar_tasmax_rcp60_rp100_2040_10p</t>
  </si>
  <si>
    <t>z_ar_tasmax_rcp60_rp100_2040_10p,tasmax_rcp60_rp100_2040_10p</t>
  </si>
  <si>
    <t>z_ar_tasmax_rcp60_rp100_2040_50p</t>
  </si>
  <si>
    <t>z_ar_tasmax_rcp60_rp100_2040_50p,tasmax_rcp60_rp100_2040_50p</t>
  </si>
  <si>
    <t>z_ar_tasmax_rcp60_rp100_2040_90p</t>
  </si>
  <si>
    <t>z_ar_tasmax_rcp60_rp100_2040_90p,tasmax_rcp60_rp100_2040_90p</t>
  </si>
  <si>
    <t xml:space="preserve"> heat exposure (2018) - New  &gt;&gt;&gt;  Summer extreme maximum temperature (Score)  &gt;&gt;&gt;  100 year return period  &gt;&gt;&gt;  High emissions  &gt;&gt;&gt;  2050</t>
  </si>
  <si>
    <t>z_ar_tasmax_rcp60_rp100_2050_10p</t>
  </si>
  <si>
    <t>z_ar_tasmax_rcp60_rp100_2050_10p,tasmax_rcp60_rp100_2050_10p</t>
  </si>
  <si>
    <t>z_ar_tasmax_rcp60_rp100_2050_50p</t>
  </si>
  <si>
    <t>z_ar_tasmax_rcp60_rp100_2050_50p,tasmax_rcp60_rp100_2050_50p</t>
  </si>
  <si>
    <t>z_ar_tasmax_rcp60_rp100_2050_90p</t>
  </si>
  <si>
    <t>z_ar_tasmax_rcp60_rp100_2050_90p,tasmax_rcp60_rp100_2050_90p</t>
  </si>
  <si>
    <t xml:space="preserve"> heat exposure (2018) - New  &gt;&gt;&gt;  Summer extreme maximum temperature (Score)  &gt;&gt;&gt;  100 year return period  &gt;&gt;&gt;  High emissions  &gt;&gt;&gt;  2060</t>
  </si>
  <si>
    <t>z_ar_tasmax_rcp60_rp100_2060_10p</t>
  </si>
  <si>
    <t>z_ar_tasmax_rcp60_rp100_2060_10p,tasmax_rcp60_rp100_2060_10p</t>
  </si>
  <si>
    <t>z_ar_tasmax_rcp60_rp100_2060_50p</t>
  </si>
  <si>
    <t>z_ar_tasmax_rcp60_rp100_2060_50p,tasmax_rcp60_rp100_2060_50p</t>
  </si>
  <si>
    <t>z_ar_tasmax_rcp60_rp100_2060_90p</t>
  </si>
  <si>
    <t>z_ar_tasmax_rcp60_rp100_2060_90p,tasmax_rcp60_rp100_2060_90p</t>
  </si>
  <si>
    <t xml:space="preserve"> heat exposure (2018) - New  &gt;&gt;&gt;  Summer extreme maximum temperature (Score)  &gt;&gt;&gt;  100 year return period  &gt;&gt;&gt;  High emissions  &gt;&gt;&gt;  2070</t>
  </si>
  <si>
    <t>z_ar_tasmax_rcp60_rp100_2070_10p</t>
  </si>
  <si>
    <t>z_ar_tasmax_rcp60_rp100_2070_10p,tasmax_rcp60_rp100_2070_10p</t>
  </si>
  <si>
    <t>z_ar_tasmax_rcp60_rp100_2070_50p</t>
  </si>
  <si>
    <t>z_ar_tasmax_rcp60_rp100_2070_50p,tasmax_rcp60_rp100_2070_50p</t>
  </si>
  <si>
    <t>z_ar_tasmax_rcp60_rp100_2070_90p</t>
  </si>
  <si>
    <t>z_ar_tasmax_rcp60_rp100_2070_90p,tasmax_rcp60_rp100_2070_90p</t>
  </si>
  <si>
    <t xml:space="preserve"> heat exposure (2018) - New  &gt;&gt;&gt;  Summer extreme maximum temperature (Score)  &gt;&gt;&gt;  100 year return period  &gt;&gt;&gt;  High emissions  &gt;&gt;&gt;  2080</t>
  </si>
  <si>
    <t>z_ar_tasmax_rcp60_rp100_2080_10p</t>
  </si>
  <si>
    <t>z_ar_tasmax_rcp60_rp100_2080_10p,tasmax_rcp60_rp100_2080_10p</t>
  </si>
  <si>
    <t>z_ar_tasmax_rcp60_rp100_2080_50p</t>
  </si>
  <si>
    <t>z_ar_tasmax_rcp60_rp100_2080_50p,tasmax_rcp60_rp100_2080_50p</t>
  </si>
  <si>
    <t>z_ar_tasmax_rcp60_rp100_2080_90p</t>
  </si>
  <si>
    <t>z_ar_tasmax_rcp60_rp100_2080_90p,tasmax_rcp60_rp100_2080_90p</t>
  </si>
  <si>
    <t xml:space="preserve"> heat exposure (2018) - New  &gt;&gt;&gt;  Summer extreme maximum temperature (Score)  &gt;&gt;&gt;  100 year return period  &gt;&gt;&gt;  High emissions  &gt;&gt;&gt;  2090</t>
  </si>
  <si>
    <t>z_ar_tasmax_rcp60_rp100_2090_10p</t>
  </si>
  <si>
    <t>z_ar_tasmax_rcp60_rp100_2090_10p,tasmax_rcp60_rp100_2090_10p</t>
  </si>
  <si>
    <t>z_ar_tasmax_rcp60_rp100_2090_50p</t>
  </si>
  <si>
    <t>z_ar_tasmax_rcp60_rp100_2090_50p,tasmax_rcp60_rp100_2090_50p</t>
  </si>
  <si>
    <t>z_ar_tasmax_rcp60_rp100_2090_90p</t>
  </si>
  <si>
    <t>z_ar_tasmax_rcp60_rp100_2090_90p,tasmax_rcp60_rp100_2090_90p</t>
  </si>
  <si>
    <t xml:space="preserve"> heat exposure (2018) - New  &gt;&gt;&gt;  Summer extreme maximum temperature (Score)  &gt;&gt;&gt;  20 year return period  &gt;&gt;&gt;  Very high emissions  &gt;&gt;&gt;  2020</t>
  </si>
  <si>
    <t>z_ar_tasmax_rcp85_rp20_2020_10p</t>
  </si>
  <si>
    <t>z_ar_tasmax_rcp85_rp20_2020_10p,tasmax_rcp85_rp20_2020_10p</t>
  </si>
  <si>
    <t>z_ar_tasmax_rcp85_rp20_2020_50p</t>
  </si>
  <si>
    <t>z_ar_tasmax_rcp85_rp20_2020_50p,tasmax_rcp85_rp20_2020_50p</t>
  </si>
  <si>
    <t>z_ar_tasmax_rcp85_rp20_2020_90p</t>
  </si>
  <si>
    <t>z_ar_tasmax_rcp85_rp20_2020_90p,tasmax_rcp85_rp20_2020_90p</t>
  </si>
  <si>
    <t xml:space="preserve"> heat exposure (2018) - New  &gt;&gt;&gt;  Summer extreme maximum temperature (Score)  &gt;&gt;&gt;  20 year return period  &gt;&gt;&gt;  Very high emissions  &gt;&gt;&gt;  2030</t>
  </si>
  <si>
    <t>z_ar_tasmax_rcp85_rp20_2030_10p</t>
  </si>
  <si>
    <t>z_ar_tasmax_rcp85_rp20_2030_10p,tasmax_rcp85_rp20_2030_10p</t>
  </si>
  <si>
    <t>z_ar_tasmax_rcp85_rp20_2030_50p</t>
  </si>
  <si>
    <t>z_ar_tasmax_rcp85_rp20_2030_50p,tasmax_rcp85_rp20_2030_50p</t>
  </si>
  <si>
    <t>z_ar_tasmax_rcp85_rp20_2030_90p</t>
  </si>
  <si>
    <t>z_ar_tasmax_rcp85_rp20_2030_90p,tasmax_rcp85_rp20_2030_90p</t>
  </si>
  <si>
    <t xml:space="preserve"> heat exposure (2018) - New  &gt;&gt;&gt;  Summer extreme maximum temperature (Score)  &gt;&gt;&gt;  20 year return period  &gt;&gt;&gt;  Very high emissions  &gt;&gt;&gt;  2040</t>
  </si>
  <si>
    <t>z_ar_tasmax_rcp85_rp20_2040_10p</t>
  </si>
  <si>
    <t>z_ar_tasmax_rcp85_rp20_2040_10p,tasmax_rcp85_rp20_2040_10p</t>
  </si>
  <si>
    <t>z_ar_tasmax_rcp85_rp20_2040_50p</t>
  </si>
  <si>
    <t>z_ar_tasmax_rcp85_rp20_2040_50p,tasmax_rcp85_rp20_2040_50p</t>
  </si>
  <si>
    <t>z_ar_tasmax_rcp85_rp20_2040_90p</t>
  </si>
  <si>
    <t>z_ar_tasmax_rcp85_rp20_2040_90p,tasmax_rcp85_rp20_2040_90p</t>
  </si>
  <si>
    <t xml:space="preserve"> heat exposure (2018) - New  &gt;&gt;&gt;  Summer extreme maximum temperature (Score)  &gt;&gt;&gt;  20 year return period  &gt;&gt;&gt;  Very high emissions  &gt;&gt;&gt;  2050</t>
  </si>
  <si>
    <t>z_ar_tasmax_rcp85_rp20_2050_10p</t>
  </si>
  <si>
    <t>z_ar_tasmax_rcp85_rp20_2050_10p,tasmax_rcp85_rp20_2050_10p</t>
  </si>
  <si>
    <t>z_ar_tasmax_rcp85_rp20_2050_50p</t>
  </si>
  <si>
    <t>z_ar_tasmax_rcp85_rp20_2050_50p,tasmax_rcp85_rp20_2050_50p</t>
  </si>
  <si>
    <t>z_ar_tasmax_rcp85_rp20_2050_90p</t>
  </si>
  <si>
    <t>z_ar_tasmax_rcp85_rp20_2050_90p,tasmax_rcp85_rp20_2050_90p</t>
  </si>
  <si>
    <t xml:space="preserve"> heat exposure (2018) - New  &gt;&gt;&gt;  Summer extreme maximum temperature (Score)  &gt;&gt;&gt;  20 year return period  &gt;&gt;&gt;  Very high emissions  &gt;&gt;&gt;  2060</t>
  </si>
  <si>
    <t>z_ar_tasmax_rcp85_rp20_2060_10p</t>
  </si>
  <si>
    <t>z_ar_tasmax_rcp85_rp20_2060_10p,tasmax_rcp85_rp20_2060_10p</t>
  </si>
  <si>
    <t>z_ar_tasmax_rcp85_rp20_2060_50p</t>
  </si>
  <si>
    <t>z_ar_tasmax_rcp85_rp20_2060_50p,tasmax_rcp85_rp20_2060_50p</t>
  </si>
  <si>
    <t>z_ar_tasmax_rcp85_rp20_2060_90p</t>
  </si>
  <si>
    <t>z_ar_tasmax_rcp85_rp20_2060_90p,tasmax_rcp85_rp20_2060_90p</t>
  </si>
  <si>
    <t xml:space="preserve"> heat exposure (2018) - New  &gt;&gt;&gt;  Summer extreme maximum temperature (Score)  &gt;&gt;&gt;  20 year return period  &gt;&gt;&gt;  Very high emissions  &gt;&gt;&gt;  2070</t>
  </si>
  <si>
    <t>z_ar_tasmax_rcp85_rp20_2070_10p</t>
  </si>
  <si>
    <t>z_ar_tasmax_rcp85_rp20_2070_10p,tasmax_rcp85_rp20_2070_10p</t>
  </si>
  <si>
    <t>z_ar_tasmax_rcp85_rp20_2070_50p</t>
  </si>
  <si>
    <t>z_ar_tasmax_rcp85_rp20_2070_50p,tasmax_rcp85_rp20_2070_50p</t>
  </si>
  <si>
    <t>z_ar_tasmax_rcp85_rp20_2070_90p</t>
  </si>
  <si>
    <t>z_ar_tasmax_rcp85_rp20_2070_90p,tasmax_rcp85_rp20_2070_90p</t>
  </si>
  <si>
    <t xml:space="preserve"> heat exposure (2018) - New  &gt;&gt;&gt;  Summer extreme maximum temperature (Score)  &gt;&gt;&gt;  20 year return period  &gt;&gt;&gt;  Very high emissions  &gt;&gt;&gt;  2080</t>
  </si>
  <si>
    <t>z_ar_tasmax_rcp85_rp20_2080_10p</t>
  </si>
  <si>
    <t>z_ar_tasmax_rcp85_rp20_2080_10p,tasmax_rcp85_rp20_2080_10p</t>
  </si>
  <si>
    <t>z_ar_tasmax_rcp85_rp20_2080_50p</t>
  </si>
  <si>
    <t>z_ar_tasmax_rcp85_rp20_2080_50p,tasmax_rcp85_rp20_2080_50p</t>
  </si>
  <si>
    <t>z_ar_tasmax_rcp85_rp20_2080_90p</t>
  </si>
  <si>
    <t>z_ar_tasmax_rcp85_rp20_2080_90p,tasmax_rcp85_rp20_2080_90p</t>
  </si>
  <si>
    <t xml:space="preserve"> heat exposure (2018) - New  &gt;&gt;&gt;  Summer extreme maximum temperature (Score)  &gt;&gt;&gt;  20 year return period  &gt;&gt;&gt;  Very high emissions  &gt;&gt;&gt;  2090</t>
  </si>
  <si>
    <t>z_ar_tasmax_rcp85_rp20_2090_10p</t>
  </si>
  <si>
    <t>z_ar_tasmax_rcp85_rp20_2090_10p,tasmax_rcp85_rp20_2090_10p</t>
  </si>
  <si>
    <t>z_ar_tasmax_rcp85_rp20_2090_50p</t>
  </si>
  <si>
    <t>z_ar_tasmax_rcp85_rp20_2090_50p,tasmax_rcp85_rp20_2090_50p</t>
  </si>
  <si>
    <t>z_ar_tasmax_rcp85_rp20_2090_90p</t>
  </si>
  <si>
    <t>z_ar_tasmax_rcp85_rp20_2090_90p,tasmax_rcp85_rp20_2090_90p</t>
  </si>
  <si>
    <t xml:space="preserve"> heat exposure (2018) - New  &gt;&gt;&gt;  Summer extreme maximum temperature (Score)  &gt;&gt;&gt;  50 year return period  &gt;&gt;&gt;  Very high emissions  &gt;&gt;&gt;  2020</t>
  </si>
  <si>
    <t>z_ar_tasmax_rcp85_rp50_2020_10p</t>
  </si>
  <si>
    <t>z_ar_tasmax_rcp85_rp50_2020_10p,tasmax_rcp85_rp50_2020_10p</t>
  </si>
  <si>
    <t>z_ar_tasmax_rcp85_rp50_2020_50p</t>
  </si>
  <si>
    <t>z_ar_tasmax_rcp85_rp50_2020_50p,tasmax_rcp85_rp50_2020_50p</t>
  </si>
  <si>
    <t>z_ar_tasmax_rcp85_rp50_2020_90p</t>
  </si>
  <si>
    <t>z_ar_tasmax_rcp85_rp50_2020_90p,tasmax_rcp85_rp50_2020_90p</t>
  </si>
  <si>
    <t xml:space="preserve"> heat exposure (2018) - New  &gt;&gt;&gt;  Summer extreme maximum temperature (Score)  &gt;&gt;&gt;  50 year return period  &gt;&gt;&gt;  Very high emissions  &gt;&gt;&gt;  2030</t>
  </si>
  <si>
    <t>z_ar_tasmax_rcp85_rp50_2030_10p</t>
  </si>
  <si>
    <t>z_ar_tasmax_rcp85_rp50_2030_10p,tasmax_rcp85_rp50_2030_10p</t>
  </si>
  <si>
    <t>z_ar_tasmax_rcp85_rp50_2030_50p</t>
  </si>
  <si>
    <t>z_ar_tasmax_rcp85_rp50_2030_50p,tasmax_rcp85_rp50_2030_50p</t>
  </si>
  <si>
    <t>z_ar_tasmax_rcp85_rp50_2030_90p</t>
  </si>
  <si>
    <t>z_ar_tasmax_rcp85_rp50_2030_90p,tasmax_rcp85_rp50_2030_90p</t>
  </si>
  <si>
    <t xml:space="preserve"> heat exposure (2018) - New  &gt;&gt;&gt;  Summer extreme maximum temperature (Score)  &gt;&gt;&gt;  50 year return period  &gt;&gt;&gt;  Very high emissions  &gt;&gt;&gt;  2040</t>
  </si>
  <si>
    <t>z_ar_tasmax_rcp85_rp50_2040_10p</t>
  </si>
  <si>
    <t>z_ar_tasmax_rcp85_rp50_2040_10p,tasmax_rcp85_rp50_2040_10p</t>
  </si>
  <si>
    <t>z_ar_tasmax_rcp85_rp50_2040_50p</t>
  </si>
  <si>
    <t>z_ar_tasmax_rcp85_rp50_2040_50p,tasmax_rcp85_rp50_2040_50p</t>
  </si>
  <si>
    <t>z_ar_tasmax_rcp85_rp50_2040_90p</t>
  </si>
  <si>
    <t>z_ar_tasmax_rcp85_rp50_2040_90p,tasmax_rcp85_rp50_2040_90p</t>
  </si>
  <si>
    <t xml:space="preserve"> heat exposure (2018) - New  &gt;&gt;&gt;  Summer extreme maximum temperature (Score)  &gt;&gt;&gt;  50 year return period  &gt;&gt;&gt;  Very high emissions  &gt;&gt;&gt;  2050</t>
  </si>
  <si>
    <t>z_ar_tasmax_rcp85_rp50_2050_10p</t>
  </si>
  <si>
    <t>z_ar_tasmax_rcp85_rp50_2050_10p,tasmax_rcp85_rp50_2050_10p</t>
  </si>
  <si>
    <t>z_ar_tasmax_rcp85_rp50_2050_50p</t>
  </si>
  <si>
    <t>z_ar_tasmax_rcp85_rp50_2050_50p,tasmax_rcp85_rp50_2050_50p</t>
  </si>
  <si>
    <t>z_ar_tasmax_rcp85_rp50_2050_90p</t>
  </si>
  <si>
    <t>z_ar_tasmax_rcp85_rp50_2050_90p,tasmax_rcp85_rp50_2050_90p</t>
  </si>
  <si>
    <t xml:space="preserve"> heat exposure (2018) - New  &gt;&gt;&gt;  Summer extreme maximum temperature (Score)  &gt;&gt;&gt;  50 year return period  &gt;&gt;&gt;  Very high emissions  &gt;&gt;&gt;  2060</t>
  </si>
  <si>
    <t>z_ar_tasmax_rcp85_rp50_2060_10p</t>
  </si>
  <si>
    <t>z_ar_tasmax_rcp85_rp50_2060_10p,tasmax_rcp85_rp50_2060_10p</t>
  </si>
  <si>
    <t>z_ar_tasmax_rcp85_rp50_2060_50p</t>
  </si>
  <si>
    <t>z_ar_tasmax_rcp85_rp50_2060_50p,tasmax_rcp85_rp50_2060_50p</t>
  </si>
  <si>
    <t>z_ar_tasmax_rcp85_rp50_2060_90p</t>
  </si>
  <si>
    <t>z_ar_tasmax_rcp85_rp50_2060_90p,tasmax_rcp85_rp50_2060_90p</t>
  </si>
  <si>
    <t xml:space="preserve"> heat exposure (2018) - New  &gt;&gt;&gt;  Summer extreme maximum temperature (Score)  &gt;&gt;&gt;  50 year return period  &gt;&gt;&gt;  Very high emissions  &gt;&gt;&gt;  2070</t>
  </si>
  <si>
    <t>z_ar_tasmax_rcp85_rp50_2070_10p</t>
  </si>
  <si>
    <t>z_ar_tasmax_rcp85_rp50_2070_10p,tasmax_rcp85_rp50_2070_10p</t>
  </si>
  <si>
    <t>z_ar_tasmax_rcp85_rp50_2070_50p</t>
  </si>
  <si>
    <t>z_ar_tasmax_rcp85_rp50_2070_50p,tasmax_rcp85_rp50_2070_50p</t>
  </si>
  <si>
    <t>z_ar_tasmax_rcp85_rp50_2070_90p</t>
  </si>
  <si>
    <t>z_ar_tasmax_rcp85_rp50_2070_90p,tasmax_rcp85_rp50_2070_90p</t>
  </si>
  <si>
    <t xml:space="preserve"> heat exposure (2018) - New  &gt;&gt;&gt;  Summer extreme maximum temperature (Score)  &gt;&gt;&gt;  50 year return period  &gt;&gt;&gt;  Very high emissions  &gt;&gt;&gt;  2080</t>
  </si>
  <si>
    <t>z_ar_tasmax_rcp85_rp50_2080_10p</t>
  </si>
  <si>
    <t>z_ar_tasmax_rcp85_rp50_2080_10p,tasmax_rcp85_rp50_2080_10p</t>
  </si>
  <si>
    <t>z_ar_tasmax_rcp85_rp50_2080_50p</t>
  </si>
  <si>
    <t>z_ar_tasmax_rcp85_rp50_2080_50p,tasmax_rcp85_rp50_2080_50p</t>
  </si>
  <si>
    <t>z_ar_tasmax_rcp85_rp50_2080_90p</t>
  </si>
  <si>
    <t>z_ar_tasmax_rcp85_rp50_2080_90p,tasmax_rcp85_rp50_2080_90p</t>
  </si>
  <si>
    <t xml:space="preserve"> heat exposure (2018) - New  &gt;&gt;&gt;  Summer extreme maximum temperature (Score)  &gt;&gt;&gt;  50 year return period  &gt;&gt;&gt;  Very high emissions  &gt;&gt;&gt;  2090</t>
  </si>
  <si>
    <t>z_ar_tasmax_rcp85_rp50_2090_10p</t>
  </si>
  <si>
    <t>z_ar_tasmax_rcp85_rp50_2090_10p,tasmax_rcp85_rp50_2090_10p</t>
  </si>
  <si>
    <t>z_ar_tasmax_rcp85_rp50_2090_50p</t>
  </si>
  <si>
    <t>z_ar_tasmax_rcp85_rp50_2090_50p,tasmax_rcp85_rp50_2090_50p</t>
  </si>
  <si>
    <t>z_ar_tasmax_rcp85_rp50_2090_90p</t>
  </si>
  <si>
    <t>z_ar_tasmax_rcp85_rp50_2090_90p,tasmax_rcp85_rp50_2090_90p</t>
  </si>
  <si>
    <t xml:space="preserve"> heat exposure (2018) - New  &gt;&gt;&gt;  Summer extreme maximum temperature (Score)  &gt;&gt;&gt;  100 year return period  &gt;&gt;&gt;  Very high emissions  &gt;&gt;&gt;  2020</t>
  </si>
  <si>
    <t>z_ar_tasmax_rcp85_rp100_2020_10p</t>
  </si>
  <si>
    <t>z_ar_tasmax_rcp85_rp100_2020_10p,tasmax_rcp85_rp100_2020_10p</t>
  </si>
  <si>
    <t>z_ar_tasmax_rcp85_rp100_2020_50p</t>
  </si>
  <si>
    <t>z_ar_tasmax_rcp85_rp100_2020_50p,tasmax_rcp85_rp100_2020_50p</t>
  </si>
  <si>
    <t>z_ar_tasmax_rcp85_rp100_2020_90p</t>
  </si>
  <si>
    <t>z_ar_tasmax_rcp85_rp100_2020_90p,tasmax_rcp85_rp100_2020_90p</t>
  </si>
  <si>
    <t xml:space="preserve"> heat exposure (2018) - New  &gt;&gt;&gt;  Summer extreme maximum temperature (Score)  &gt;&gt;&gt;  100 year return period  &gt;&gt;&gt;  Very high emissions  &gt;&gt;&gt;  2030</t>
  </si>
  <si>
    <t>z_ar_tasmax_rcp85_rp100_2030_10p</t>
  </si>
  <si>
    <t>z_ar_tasmax_rcp85_rp100_2030_10p,tasmax_rcp85_rp100_2030_10p</t>
  </si>
  <si>
    <t>z_ar_tasmax_rcp85_rp100_2030_50p</t>
  </si>
  <si>
    <t>z_ar_tasmax_rcp85_rp100_2030_50p,tasmax_rcp85_rp100_2030_50p</t>
  </si>
  <si>
    <t>z_ar_tasmax_rcp85_rp100_2030_90p</t>
  </si>
  <si>
    <t>z_ar_tasmax_rcp85_rp100_2030_90p,tasmax_rcp85_rp100_2030_90p</t>
  </si>
  <si>
    <t xml:space="preserve"> heat exposure (2018) - New  &gt;&gt;&gt;  Summer extreme maximum temperature (Score)  &gt;&gt;&gt;  100 year return period  &gt;&gt;&gt;  Very high emissions  &gt;&gt;&gt;  2040</t>
  </si>
  <si>
    <t>z_ar_tasmax_rcp85_rp100_2040_10p</t>
  </si>
  <si>
    <t>z_ar_tasmax_rcp85_rp100_2040_10p,tasmax_rcp85_rp100_2040_10p</t>
  </si>
  <si>
    <t>z_ar_tasmax_rcp85_rp100_2040_50p</t>
  </si>
  <si>
    <t>z_ar_tasmax_rcp85_rp100_2040_50p,tasmax_rcp85_rp100_2040_50p</t>
  </si>
  <si>
    <t>z_ar_tasmax_rcp85_rp100_2040_90p</t>
  </si>
  <si>
    <t>z_ar_tasmax_rcp85_rp100_2040_90p,tasmax_rcp85_rp100_2040_90p</t>
  </si>
  <si>
    <t xml:space="preserve"> heat exposure (2018) - New  &gt;&gt;&gt;  Summer extreme maximum temperature (Score)  &gt;&gt;&gt;  100 year return period  &gt;&gt;&gt;  Very high emissions  &gt;&gt;&gt;  2050</t>
  </si>
  <si>
    <t>z_ar_tasmax_rcp85_rp100_2050_10p</t>
  </si>
  <si>
    <t>z_ar_tasmax_rcp85_rp100_2050_10p,tasmax_rcp85_rp100_2050_10p</t>
  </si>
  <si>
    <t>z_ar_tasmax_rcp85_rp100_2050_50p</t>
  </si>
  <si>
    <t>z_ar_tasmax_rcp85_rp100_2050_50p,tasmax_rcp85_rp100_2050_50p</t>
  </si>
  <si>
    <t>z_ar_tasmax_rcp85_rp100_2050_90p</t>
  </si>
  <si>
    <t>z_ar_tasmax_rcp85_rp100_2050_90p,tasmax_rcp85_rp100_2050_90p</t>
  </si>
  <si>
    <t xml:space="preserve"> heat exposure (2018) - New  &gt;&gt;&gt;  Summer extreme maximum temperature (Score)  &gt;&gt;&gt;  100 year return period  &gt;&gt;&gt;  Very high emissions  &gt;&gt;&gt;  2060</t>
  </si>
  <si>
    <t>z_ar_tasmax_rcp85_rp100_2060_10p</t>
  </si>
  <si>
    <t>z_ar_tasmax_rcp85_rp100_2060_10p,tasmax_rcp85_rp100_2060_10p</t>
  </si>
  <si>
    <t>z_ar_tasmax_rcp85_rp100_2060_50p</t>
  </si>
  <si>
    <t>z_ar_tasmax_rcp85_rp100_2060_50p,tasmax_rcp85_rp100_2060_50p</t>
  </si>
  <si>
    <t>z_ar_tasmax_rcp85_rp100_2060_90p</t>
  </si>
  <si>
    <t>z_ar_tasmax_rcp85_rp100_2060_90p,tasmax_rcp85_rp100_2060_90p</t>
  </si>
  <si>
    <t xml:space="preserve"> heat exposure (2018) - New  &gt;&gt;&gt;  Summer extreme maximum temperature (Score)  &gt;&gt;&gt;  100 year return period  &gt;&gt;&gt;  Very high emissions  &gt;&gt;&gt;  2070</t>
  </si>
  <si>
    <t>z_ar_tasmax_rcp85_rp100_2070_10p</t>
  </si>
  <si>
    <t>z_ar_tasmax_rcp85_rp100_2070_10p,tasmax_rcp85_rp100_2070_10p</t>
  </si>
  <si>
    <t>z_ar_tasmax_rcp85_rp100_2070_50p</t>
  </si>
  <si>
    <t>z_ar_tasmax_rcp85_rp100_2070_50p,tasmax_rcp85_rp100_2070_50p</t>
  </si>
  <si>
    <t>z_ar_tasmax_rcp85_rp100_2070_90p</t>
  </si>
  <si>
    <t>z_ar_tasmax_rcp85_rp100_2070_90p,tasmax_rcp85_rp100_2070_90p</t>
  </si>
  <si>
    <t xml:space="preserve"> heat exposure (2018) - New  &gt;&gt;&gt;  Summer extreme maximum temperature (Score)  &gt;&gt;&gt;  100 year return period  &gt;&gt;&gt;  Very high emissions  &gt;&gt;&gt;  2080</t>
  </si>
  <si>
    <t>z_ar_tasmax_rcp85_rp100_2080_10p</t>
  </si>
  <si>
    <t>z_ar_tasmax_rcp85_rp100_2080_10p,tasmax_rcp85_rp100_2080_10p</t>
  </si>
  <si>
    <t>z_ar_tasmax_rcp85_rp100_2080_50p</t>
  </si>
  <si>
    <t>z_ar_tasmax_rcp85_rp100_2080_50p,tasmax_rcp85_rp100_2080_50p</t>
  </si>
  <si>
    <t>z_ar_tasmax_rcp85_rp100_2080_90p</t>
  </si>
  <si>
    <t>z_ar_tasmax_rcp85_rp100_2080_90p,tasmax_rcp85_rp100_2080_90p</t>
  </si>
  <si>
    <t xml:space="preserve"> heat exposure (2018) - New  &gt;&gt;&gt;  Summer extreme maximum temperature (Score)  &gt;&gt;&gt;  100 year return period  &gt;&gt;&gt;  Very high emissions  &gt;&gt;&gt;  2090</t>
  </si>
  <si>
    <t>z_ar_tasmax_rcp85_rp100_2090_10p</t>
  </si>
  <si>
    <t>z_ar_tasmax_rcp85_rp100_2090_10p,tasmax_rcp85_rp100_2090_10p</t>
  </si>
  <si>
    <t>z_ar_tasmax_rcp85_rp100_2090_50p</t>
  </si>
  <si>
    <t>z_ar_tasmax_rcp85_rp100_2090_50p,tasmax_rcp85_rp100_2090_50p</t>
  </si>
  <si>
    <t>z_ar_tasmax_rcp85_rp100_2090_90p</t>
  </si>
  <si>
    <t>z_ar_tasmax_rcp85_rp100_2090_90p,tasmax_rcp85_rp100_2090_90p</t>
  </si>
  <si>
    <t>Heat disadvantage (2011)  &gt;&gt;&gt;  Population weighted vulnerability  &gt;&gt;&gt;  Population weighted vulnerability and mean summer maximum temperature 2050s  &gt;&gt;&gt;  Medium emissions scenario</t>
  </si>
  <si>
    <t>19,20,-1,-1</t>
  </si>
  <si>
    <t>EN_Grid_Heat_CJ_R02</t>
  </si>
  <si>
    <t>RWHZZ_CV7</t>
  </si>
  <si>
    <t>rwhzz_cv7</t>
  </si>
  <si>
    <t>Central estimate (50th percentile) RECOMMENDED</t>
  </si>
  <si>
    <t>RWHZZ_CV8</t>
  </si>
  <si>
    <t>rwhzz_cv8</t>
  </si>
  <si>
    <t>RWHZZ_CV9</t>
  </si>
  <si>
    <t>rwhzz_cv9</t>
  </si>
  <si>
    <t>Heat disadvantage (2011)  &gt;&gt;&gt;  Population weighted vulnerability  &gt;&gt;&gt;  Population weighted vulnerability and mean summer maximum temperature 2050s  &gt;&gt;&gt;  Low emissions scenario</t>
  </si>
  <si>
    <t>RWHZZ_CV4</t>
  </si>
  <si>
    <t>rwhzz_cv4</t>
  </si>
  <si>
    <t>Central estimate (50th percentile)</t>
  </si>
  <si>
    <t>RWHZZ_CV5</t>
  </si>
  <si>
    <t>rwhzz_cv5</t>
  </si>
  <si>
    <t>RWHZZ_CV6</t>
  </si>
  <si>
    <t>rwhzz_cv6</t>
  </si>
  <si>
    <t>Heat disadvantage (2011)  &gt;&gt;&gt;  Population weighted vulnerability  &gt;&gt;&gt;  Population weighted vulnerability and mean summer maximum temperature 2050s  &gt;&gt;&gt;  High emissions scenario</t>
  </si>
  <si>
    <t>RWHZZ_CV1</t>
  </si>
  <si>
    <t>rwhzz_cv1</t>
  </si>
  <si>
    <t>RWHZZ_CV2</t>
  </si>
  <si>
    <t>rwhzz_cv2</t>
  </si>
  <si>
    <t>RWHZZ_CV3</t>
  </si>
  <si>
    <t>rwhzz_cv3</t>
  </si>
  <si>
    <t>Heat disadvantage (2011)  &gt;&gt;&gt;  Population weighted vulnerability  &gt;&gt;&gt;  Population weighted vulnerability and change in mean summer maximum temperature baseline to 2050s  &gt;&gt;&gt;  Medium emissions scenario</t>
  </si>
  <si>
    <t>RWHZZ_CV16</t>
  </si>
  <si>
    <t>rwhzz_cv16</t>
  </si>
  <si>
    <t>RWHZZ_CV17</t>
  </si>
  <si>
    <t>rwhzz_cv17</t>
  </si>
  <si>
    <t>RWHZZ_CV18</t>
  </si>
  <si>
    <t>rwhzz_cv18</t>
  </si>
  <si>
    <t>Heat disadvantage (2011)  &gt;&gt;&gt;  Population weighted vulnerability  &gt;&gt;&gt;  Population weighted vulnerability and change in mean summer maximum temperature baseline to 2050s  &gt;&gt;&gt;  Low emissions scenario</t>
  </si>
  <si>
    <t>RWHZZ_CV13</t>
  </si>
  <si>
    <t>rwhzz_cv13</t>
  </si>
  <si>
    <t>RWHZZ_CV14</t>
  </si>
  <si>
    <t>rwhzz_cv14</t>
  </si>
  <si>
    <t>RWHZZ_CV15</t>
  </si>
  <si>
    <t>rwhzz_cv15</t>
  </si>
  <si>
    <t>Heat disadvantage (2011)  &gt;&gt;&gt;  Population weighted vulnerability  &gt;&gt;&gt;  Population weighted vulnerability and change in mean summer maximum temperature baseline to 2050s  &gt;&gt;&gt;  High emissions scenario</t>
  </si>
  <si>
    <t>RWHZZ_CV10</t>
  </si>
  <si>
    <t>rwhzz_cv10</t>
  </si>
  <si>
    <t>RWHZZ_CV11</t>
  </si>
  <si>
    <t>rwhzz_cv11</t>
  </si>
  <si>
    <t>RWHZZ_CV12</t>
  </si>
  <si>
    <t>rwhzz_cv12</t>
  </si>
  <si>
    <t>Heat disadvantage (2011)  &gt;&gt;&gt;  Population weighted vulnerability  &gt;&gt;&gt;  Population weighted vulnerability and change in the temperature of the warmest day baseline to 2050s  &gt;&gt;&gt;  Medium emissions scenario</t>
  </si>
  <si>
    <t>RWHZZ_CV25</t>
  </si>
  <si>
    <t>rwhzz_cv25</t>
  </si>
  <si>
    <t>RWHZZ_CV26</t>
  </si>
  <si>
    <t>rwhzz_cv26</t>
  </si>
  <si>
    <t>RWHZZ_CV27</t>
  </si>
  <si>
    <t>rwhzz_cv27</t>
  </si>
  <si>
    <t>Heat disadvantage (2011)  &gt;&gt;&gt;  Population weighted vulnerability  &gt;&gt;&gt;  Population weighted vulnerability and change in the temperature of the warmest day baseline to 2050s  &gt;&gt;&gt;  Low emissions scenario</t>
  </si>
  <si>
    <t>RWHZZ_CV22</t>
  </si>
  <si>
    <t>rwhzz_cv22</t>
  </si>
  <si>
    <t>ZRWHZZ_CV2</t>
  </si>
  <si>
    <t>RWHZZ_CV24</t>
  </si>
  <si>
    <t>rwhzz_cv24</t>
  </si>
  <si>
    <t>Heat disadvantage (2011)  &gt;&gt;&gt;  Population weighted vulnerability  &gt;&gt;&gt;  Population weighted vulnerability and change in the temperature of the warmest day baseline to 2050s  &gt;&gt;&gt;  High emissions scenario</t>
  </si>
  <si>
    <t>RWHZZ_CV19</t>
  </si>
  <si>
    <t>rwhzz_cv19</t>
  </si>
  <si>
    <t>RWHZZ_CV20</t>
  </si>
  <si>
    <t>rwhzz_cv20</t>
  </si>
  <si>
    <t>RWHZZ_CV21</t>
  </si>
  <si>
    <t>rwhzz_cv21</t>
  </si>
  <si>
    <t>Heat disadvantage (2011)  &gt;&gt;&gt;  Population weighted vulnerability  &gt;&gt;&gt;  Population weighted vulnerability and change in the temperature of the warmest night baseline to 2050s  &gt;&gt;&gt;  Medium emissions scenario</t>
  </si>
  <si>
    <t>RWHZZ_CV34</t>
  </si>
  <si>
    <t>rwhzz_cv34</t>
  </si>
  <si>
    <t>RWHZZ_CV35</t>
  </si>
  <si>
    <t>rwhzz_cv35</t>
  </si>
  <si>
    <t>RWHZZ_CV36</t>
  </si>
  <si>
    <t>rwhzz_cv36</t>
  </si>
  <si>
    <t>Heat disadvantage (2011)  &gt;&gt;&gt;  Population weighted vulnerability  &gt;&gt;&gt;  Population weighted vulnerability and change in the temperature of the warmest night baseline to 2050s  &gt;&gt;&gt;  Low emissions scenario</t>
  </si>
  <si>
    <t>RWHZZ_CV31</t>
  </si>
  <si>
    <t>rwhzz_cv31</t>
  </si>
  <si>
    <t>RWHZZ_CV32</t>
  </si>
  <si>
    <t>rwhzz_cv32</t>
  </si>
  <si>
    <t>RWHZZ_CV33</t>
  </si>
  <si>
    <t>rwhzz_cv33</t>
  </si>
  <si>
    <t>Heat disadvantage (2011)  &gt;&gt;&gt;  Population weighted vulnerability  &gt;&gt;&gt;  Population weighted vulnerability and change in the temperature of the warmest night baseline to 2050s  &gt;&gt;&gt;  High emissions scenario</t>
  </si>
  <si>
    <t>RWHZZ_CV28</t>
  </si>
  <si>
    <t>rwhzz_cv28</t>
  </si>
  <si>
    <t>RWHZZ_CV29</t>
  </si>
  <si>
    <t>rwhzz_cv29</t>
  </si>
  <si>
    <t>RWHZZ_CV30</t>
  </si>
  <si>
    <t>rwhzz_cv30</t>
  </si>
  <si>
    <t>Heat disadvantage (2011)  &gt;&gt;&gt;  Average vulnerability  &gt;&gt;&gt;  Average vulnerability and mean summer maximum temperature 2050s  &gt;&gt;&gt;   Medium emissions scenario</t>
  </si>
  <si>
    <t>R_HZZ_CV7</t>
  </si>
  <si>
    <t>r_hzz_cv7</t>
  </si>
  <si>
    <t>R_HZZ_CV8</t>
  </si>
  <si>
    <t>r_hzz_cv8</t>
  </si>
  <si>
    <t>R_HZZ_CV9</t>
  </si>
  <si>
    <t>r_hzz_cv9</t>
  </si>
  <si>
    <t>Heat disadvantage (2011)  &gt;&gt;&gt;  Average vulnerability  &gt;&gt;&gt;  Average vulnerability and mean summer maximum temperature 2050s  &gt;&gt;&gt;  Low emissions scenario</t>
  </si>
  <si>
    <t>R_HZZ_CV4</t>
  </si>
  <si>
    <t>r_hzz_cv4</t>
  </si>
  <si>
    <t>R_HZZ_CV5</t>
  </si>
  <si>
    <t>r_hzz_cv5</t>
  </si>
  <si>
    <t>R_HZZ_CV6</t>
  </si>
  <si>
    <t>r_hzz_cv6</t>
  </si>
  <si>
    <t>Heat disadvantage (2011)  &gt;&gt;&gt;  Average vulnerability  &gt;&gt;&gt;  Average vulnerability and mean summer maximum temperature 2050s  &gt;&gt;&gt;  High emissions scenario</t>
  </si>
  <si>
    <t>R_HZZ_CV1</t>
  </si>
  <si>
    <t>R_HZZ_CV1, r_hzz_cv1</t>
  </si>
  <si>
    <t>R_HZZ_CV2</t>
  </si>
  <si>
    <t>r_hzz_cv2</t>
  </si>
  <si>
    <t>R_HZZ_CV3</t>
  </si>
  <si>
    <t>r_hzz_cv3</t>
  </si>
  <si>
    <t>Heat disadvantage (2011)  &gt;&gt;&gt;  Average vulnerability  &gt;&gt;&gt;  Average vulnerability and change in mean summer maximum temperature baseline to 2050s  &gt;&gt;&gt;  Medium emissions scenario</t>
  </si>
  <si>
    <t>R_HZZ_CV16</t>
  </si>
  <si>
    <t>r_hzz_cv16</t>
  </si>
  <si>
    <t>R_HZZ_CV17</t>
  </si>
  <si>
    <t>r_hzz_cv17</t>
  </si>
  <si>
    <t>R_HZZ_CV18</t>
  </si>
  <si>
    <t>r_hzz_cv18</t>
  </si>
  <si>
    <t>Heat disadvantage (2011)  &gt;&gt;&gt;  Average vulnerability  &gt;&gt;&gt;  Average vulnerability and change in mean summer maximum temperature baseline to 2050s  &gt;&gt;&gt;  Low emissions scenario</t>
  </si>
  <si>
    <t>R_HZZ_CV13</t>
  </si>
  <si>
    <t>r_hzz_cv13</t>
  </si>
  <si>
    <t>R_HZZ_CV14</t>
  </si>
  <si>
    <t>r_hzz_cv14</t>
  </si>
  <si>
    <t>R_HZZ_CV15</t>
  </si>
  <si>
    <t>r_hzz_cv15</t>
  </si>
  <si>
    <t>Heat disadvantage (2011)  &gt;&gt;&gt;  Average vulnerability  &gt;&gt;&gt;  Average vulnerability and change in mean summer maximum temperature baseline to 2050s  &gt;&gt;&gt;  High emissions scenario</t>
  </si>
  <si>
    <t>R_HZZ_CV10</t>
  </si>
  <si>
    <t>r_hzz_cv10</t>
  </si>
  <si>
    <t>R_HZZ_CV11</t>
  </si>
  <si>
    <t>r_hzz_cv11</t>
  </si>
  <si>
    <t>R_HZZ_CV12</t>
  </si>
  <si>
    <t>r_hzz_cv12</t>
  </si>
  <si>
    <t>Heat disadvantage (2011)  &gt;&gt;&gt;  Average vulnerability  &gt;&gt;&gt;  Average vulnerability and change in the temperature of the warmest day baseline to 2050s  &gt;&gt;&gt;  Medium emissions scenario</t>
  </si>
  <si>
    <t>R_HZZ_CV25</t>
  </si>
  <si>
    <t>r_hzz_cv25</t>
  </si>
  <si>
    <t>R_HZZ_CV26</t>
  </si>
  <si>
    <t>r_hzz_cv26</t>
  </si>
  <si>
    <t>R_HZZ_CV27</t>
  </si>
  <si>
    <t>r_hzz_cv27</t>
  </si>
  <si>
    <t>Heat disadvantage (2011)  &gt;&gt;&gt;  Average vulnerability  &gt;&gt;&gt;  Average vulnerability and change in the temperature of the warmest day baseline to 2050s  &gt;&gt;&gt;  Low emissions scenario</t>
  </si>
  <si>
    <t>R_HZZ_CV22</t>
  </si>
  <si>
    <t>r_hzz_cv22</t>
  </si>
  <si>
    <t>R_HZZ_CV23</t>
  </si>
  <si>
    <t>r_hzz_cv23</t>
  </si>
  <si>
    <t>R_HZZ_CV24</t>
  </si>
  <si>
    <t>r_hzz_cv24</t>
  </si>
  <si>
    <t>Heat disadvantage (2011)  &gt;&gt;&gt;  Average vulnerability  &gt;&gt;&gt;  Average vulnerability and change in the temperature of the warmest day baseline to 2050s  &gt;&gt;&gt;  High emissions scenario</t>
  </si>
  <si>
    <t>R_HZZ_CV19</t>
  </si>
  <si>
    <t>r_hzz_cv19</t>
  </si>
  <si>
    <t>R_HZZ_CV20</t>
  </si>
  <si>
    <t>r_hzz_cv20</t>
  </si>
  <si>
    <t>R_HZZ_CV21</t>
  </si>
  <si>
    <t>r_hzz_cv21</t>
  </si>
  <si>
    <t>Heat disadvantage (2011)  &gt;&gt;&gt;  Average vulnerability  &gt;&gt;&gt;  Average vulnerability and change in the temperature of the warmest night baseline to 2050s  &gt;&gt;&gt;  Medium emissions scenario</t>
  </si>
  <si>
    <t>R_HZZ_CV34</t>
  </si>
  <si>
    <t>r_hzz_cv34</t>
  </si>
  <si>
    <t>R_HZZ_CV35</t>
  </si>
  <si>
    <t>r_hzz_cv35</t>
  </si>
  <si>
    <t>R_HZZ_CV36</t>
  </si>
  <si>
    <t>r_hzz_cv36</t>
  </si>
  <si>
    <t>Heat disadvantage (2011)  &gt;&gt;&gt;  Average vulnerability  &gt;&gt;&gt;  Average vulnerability and change in the temperature of the warmest night baseline to 2050s  &gt;&gt;&gt;  Low emissions scenario</t>
  </si>
  <si>
    <t>R_HZZ_CV31</t>
  </si>
  <si>
    <t>r_hzz_cv31</t>
  </si>
  <si>
    <t>R_HZZ_CV32</t>
  </si>
  <si>
    <t>r_hzz_cv32</t>
  </si>
  <si>
    <t>R_HZZ_CV33</t>
  </si>
  <si>
    <t>r_hzz_cv33</t>
  </si>
  <si>
    <t>Heat disadvantage (2011)  &gt;&gt;&gt;  Average vulnerability  &gt;&gt;&gt;  Average vulnerability and change in the temperature of the warmest night baseline to 2050s  &gt;&gt;&gt;  High emissions scenario</t>
  </si>
  <si>
    <t>R_HZZ_CV28</t>
  </si>
  <si>
    <t>r_hzz_cv28</t>
  </si>
  <si>
    <t>R_HZZ_CV29</t>
  </si>
  <si>
    <t>r_hzz_cv29</t>
  </si>
  <si>
    <t>R_HZZ_CV30</t>
  </si>
  <si>
    <t>r_hzz_cv30</t>
  </si>
  <si>
    <t>Heat exposure (2011)  &gt;&gt;&gt;  Mean summer maximum temperature 2050s  &gt;&gt;&gt;  Medium emissions scenario</t>
  </si>
  <si>
    <t>21,-1,-1</t>
  </si>
  <si>
    <t>ZABSM10DAY</t>
  </si>
  <si>
    <t>ZABSM50DAY</t>
  </si>
  <si>
    <t>ZABSM90DAY</t>
  </si>
  <si>
    <t>Heat exposure (2011)  &gt;&gt;&gt;  Mean summer maximum temperature 2050s  &gt;&gt;&gt;  Low emissions scenario</t>
  </si>
  <si>
    <t>ZABSL10DAY</t>
  </si>
  <si>
    <t>ZABSL50DAY</t>
  </si>
  <si>
    <t>ZABSL90DAY</t>
  </si>
  <si>
    <t>Heat exposure (2011)  &gt;&gt;&gt;  Mean summer maximum temperature 2050s  &gt;&gt;&gt;  High emissions scenario</t>
  </si>
  <si>
    <t>ZABSH10DAY</t>
  </si>
  <si>
    <t>ZABSH50DAY</t>
  </si>
  <si>
    <t>ZABSH90DAY</t>
  </si>
  <si>
    <t>Heat exposure (2011)  &gt;&gt;&gt;  Change in mean summer maximum temperature baseline to 2050s  &gt;&gt;&gt;  Medium emissions scenario</t>
  </si>
  <si>
    <t>ZCHM10DAY</t>
  </si>
  <si>
    <t>ZCHM50DAY</t>
  </si>
  <si>
    <t>ZCHM90DAY</t>
  </si>
  <si>
    <t>Heat exposure (2011)  &gt;&gt;&gt;  Change in mean summer maximum temperature baseline to 2050s  &gt;&gt;&gt;  Low emissions scenario</t>
  </si>
  <si>
    <t>ZCHL10DAY</t>
  </si>
  <si>
    <t>ZCHL50DAY</t>
  </si>
  <si>
    <t>ZCHL90DAY</t>
  </si>
  <si>
    <t>Heat exposure (2011)  &gt;&gt;&gt;  Change in mean summer maximum temperature baseline to 2050s  &gt;&gt;&gt;  High emissions scenario</t>
  </si>
  <si>
    <t>ZCHH10DAY</t>
  </si>
  <si>
    <t>ZCHH50DAY</t>
  </si>
  <si>
    <t>ZCHH90DAY</t>
  </si>
  <si>
    <t>Heat exposure (2011)  &gt;&gt;&gt;  Change in the temperature of the warmest day baseline to 2050s  &gt;&gt;&gt;  Medium emissions scenario</t>
  </si>
  <si>
    <t>ZCHM10WD</t>
  </si>
  <si>
    <t>ZCHM50WD</t>
  </si>
  <si>
    <t>ZCHM90WD</t>
  </si>
  <si>
    <t>Heat exposure (2011)  &gt;&gt;&gt;  Change in the temperature of the warmest day baseline to 2050s  &gt;&gt;&gt;  Low emissions scenario</t>
  </si>
  <si>
    <t>ZCHL10WD</t>
  </si>
  <si>
    <t>ZCHL50WD</t>
  </si>
  <si>
    <t>ZCHL90WD</t>
  </si>
  <si>
    <t>Heat exposure (2011)  &gt;&gt;&gt;  Change in the temperature of the warmest day baseline to 2050s  &gt;&gt;&gt;  High emissions scenario</t>
  </si>
  <si>
    <t>ZCHH10WD</t>
  </si>
  <si>
    <t>ZCHH50WD</t>
  </si>
  <si>
    <t>ZCHH90WD</t>
  </si>
  <si>
    <t>Heat exposure (2011)  &gt;&gt;&gt;  Change in temperature of the warmest night baseline to 2050s  &gt;&gt;&gt;  Medium emissions scenario</t>
  </si>
  <si>
    <t>ZCHM10WN</t>
  </si>
  <si>
    <t>ZCHM50WN</t>
  </si>
  <si>
    <t>ZCHM90WN</t>
  </si>
  <si>
    <t>Heat exposure (2011)  &gt;&gt;&gt;  Change in temperature of the warmest night baseline to 2050s  &gt;&gt;&gt;  Low emissions scenario</t>
  </si>
  <si>
    <t>ZCHL10WN</t>
  </si>
  <si>
    <t>ZCHL50WN</t>
  </si>
  <si>
    <t>ZCHL90WN</t>
  </si>
  <si>
    <t>Heat exposure (2011)  &gt;&gt;&gt;  Change in temperature of the warmest night baseline to 2050s  &gt;&gt;&gt;  High emissions scenario</t>
  </si>
  <si>
    <t>ZCHH10WN</t>
  </si>
  <si>
    <t>ZCHH50WN</t>
  </si>
  <si>
    <t>ZCHH90WN</t>
  </si>
  <si>
    <t>Heat socio-spatial vulnerability (2011)</t>
  </si>
  <si>
    <t>Social Heat Vulnerability Index</t>
  </si>
  <si>
    <t>EN_MSOA_2011_SHVI_CJ_R02</t>
  </si>
  <si>
    <t>SocialHeatVulnerabilityIndex</t>
  </si>
  <si>
    <t>Heat socio-spatial vulnerability (2011)  &gt;&gt;&gt;  Sensitivity</t>
  </si>
  <si>
    <t>Sensitivity index</t>
  </si>
  <si>
    <t>-1,23</t>
  </si>
  <si>
    <t>SensitivityIndex</t>
  </si>
  <si>
    <t>SENS_IND</t>
  </si>
  <si>
    <t>Heat socio-spatial vulnerability (2011)  &gt;&gt;&gt;  Sensitivity  &gt;&gt;&gt;  Age</t>
  </si>
  <si>
    <t>Heat socio-spatial vulnerability (2011)  &gt;&gt;&gt;  Sensitivity  &gt;&gt;&gt;  Health</t>
  </si>
  <si>
    <t>People in ill-health (% people whose day-to-day activities are limited)</t>
  </si>
  <si>
    <t>Households containing at least one person in ill-health (%)</t>
  </si>
  <si>
    <t>Heat socio-spatial vulnerability (2011)  &gt;&gt;&gt;  Enhanced Exposure</t>
  </si>
  <si>
    <t>Enhanced exposure to heat index</t>
  </si>
  <si>
    <t>-1,26</t>
  </si>
  <si>
    <t>EnhancedExposureToHeatIndex</t>
  </si>
  <si>
    <t>ZH_EXP_IND</t>
  </si>
  <si>
    <t>Heat socio-spatial vulnerability (2011)  &gt;&gt;&gt;  Enhanced Exposure  &gt;&gt;&gt;  Physical Environment</t>
  </si>
  <si>
    <t>Built up area (% not greenspace)</t>
  </si>
  <si>
    <t>BuiltUpArea_NotGreenSpace</t>
  </si>
  <si>
    <t>E_1_- New</t>
  </si>
  <si>
    <t>Lack of domestic gardens (area of building/domestic gardens)</t>
  </si>
  <si>
    <t>LackOfDomesticGardens</t>
  </si>
  <si>
    <t>E_2_- New</t>
  </si>
  <si>
    <t>Heat socio-spatial vulnerability (2011)  &gt;&gt;&gt;  Enhanced Exposure  &gt;&gt;&gt;  Physical Geography</t>
  </si>
  <si>
    <t>Built up area (% area not blue space)</t>
  </si>
  <si>
    <t>BuiltUpArea_NotBlueSpace</t>
  </si>
  <si>
    <t>E_3_- New</t>
  </si>
  <si>
    <t>Distance to coast (km)</t>
  </si>
  <si>
    <t>DistanceToCoast</t>
  </si>
  <si>
    <t>E_4_- New</t>
  </si>
  <si>
    <t>Elevation (m)</t>
  </si>
  <si>
    <t>Elevation</t>
  </si>
  <si>
    <t>E_6</t>
  </si>
  <si>
    <t>Heat socio-spatial vulnerability (2011)  &gt;&gt;&gt;  Enhanced Exposure  &gt;&gt;&gt;  Housing Characteristics</t>
  </si>
  <si>
    <t>High rise homes (% households with lowest floor 5th floor or above)</t>
  </si>
  <si>
    <t>HighRiseHomes</t>
  </si>
  <si>
    <t>E_11</t>
  </si>
  <si>
    <t>Heat socio-spatial vulnerability (2011)  &gt;&gt;&gt;  Inability to Prepare</t>
  </si>
  <si>
    <t>Inability to Prepare index</t>
  </si>
  <si>
    <t>-1,27</t>
  </si>
  <si>
    <t>InabilityToPrepareIndex</t>
  </si>
  <si>
    <t>ZH_PREP_IN</t>
  </si>
  <si>
    <t>Heat socio-spatial vulnerability (2011)  &gt;&gt;&gt;  Inability to Prepare  &gt;&gt;&gt;  Income</t>
  </si>
  <si>
    <t>Unemployment (% working population unemployed)</t>
  </si>
  <si>
    <t>i1</t>
  </si>
  <si>
    <t>Low income occupations (% in routine or semi-routine occupations)</t>
  </si>
  <si>
    <t>i3</t>
  </si>
  <si>
    <t>i2, LTunemp</t>
  </si>
  <si>
    <t>i4,depChild</t>
  </si>
  <si>
    <t>Weekly household income estimate (£)</t>
  </si>
  <si>
    <t>WeeklyIncome_HH</t>
  </si>
  <si>
    <t>AT0_9</t>
  </si>
  <si>
    <t>All pensioner households (%)</t>
  </si>
  <si>
    <t>AllPensioner_HH</t>
  </si>
  <si>
    <t>n1</t>
  </si>
  <si>
    <t>Heat socio-spatial vulnerability (2011)  &gt;&gt;&gt;  Inability to Prepare  &gt;&gt;&gt;  Tenure</t>
  </si>
  <si>
    <t>t2</t>
  </si>
  <si>
    <t>Heat socio-spatial vulnerability (2011)  &gt;&gt;&gt;  Inability to Prepare  &gt;&gt;&gt;  Information Use (Language)</t>
  </si>
  <si>
    <t>Born outside UK/Ireland (%)</t>
  </si>
  <si>
    <t>BornOutsideUKIreland</t>
  </si>
  <si>
    <t>AT0_17</t>
  </si>
  <si>
    <t>Recent arrivals to UK (% arrived in UK less than a year ago)</t>
  </si>
  <si>
    <t>f1</t>
  </si>
  <si>
    <t>Heat socio-spatial vulnerability (2011)  &gt;&gt;&gt;  Inability to Respond</t>
  </si>
  <si>
    <t>Inability to Respond index</t>
  </si>
  <si>
    <t>-1,28</t>
  </si>
  <si>
    <t>InabilityToRespondIndex</t>
  </si>
  <si>
    <t>ZF_RESP_IN</t>
  </si>
  <si>
    <t>Heat socio-spatial vulnerability (2011)  &gt;&gt;&gt;  Inability to Respond  &gt;&gt;&gt;  Income</t>
  </si>
  <si>
    <t>Heat socio-spatial vulnerability (2011)  &gt;&gt;&gt;  Inability to Respond  &gt;&gt;&gt;  Information Use (Language)</t>
  </si>
  <si>
    <t>Heat socio-spatial vulnerability (2011)  &gt;&gt;&gt;  Inability to Respond  &gt;&gt;&gt;  Social Networks</t>
  </si>
  <si>
    <t>Single pensioner households (%)</t>
  </si>
  <si>
    <t>AT1_23</t>
  </si>
  <si>
    <t>Lone parents with dependent children (% households)</t>
  </si>
  <si>
    <t>Lack of carers (% people not providing unpaid care)</t>
  </si>
  <si>
    <t>LackOfCarers</t>
  </si>
  <si>
    <t>AT1_28</t>
  </si>
  <si>
    <t>Heat socio-spatial vulnerability (2011)  &gt;&gt;&gt;  Inability to Respond  &gt;&gt;&gt;  Mobility</t>
  </si>
  <si>
    <t>Disability (% people whose day-to-day activities are limited a lot)</t>
  </si>
  <si>
    <t>m3</t>
  </si>
  <si>
    <t>Heat socio-spatial vulnerability (2011)  &gt;&gt;&gt;  Inability to Respond  &gt;&gt;&gt;  Crime</t>
  </si>
  <si>
    <t>Index of Multiple Deprivation crime score</t>
  </si>
  <si>
    <t>Heat socio-spatial vulnerability (2011)  &gt;&gt;&gt;  Inability to Respond  &gt;&gt;&gt;  General Accessibility</t>
  </si>
  <si>
    <t>Low road density (% area not road)</t>
  </si>
  <si>
    <t>LowRoadDensity</t>
  </si>
  <si>
    <t>AT1_35_- New</t>
  </si>
  <si>
    <t>Heat socio-spatial vulnerability (2011)  &gt;&gt;&gt;  Inability to Respond  &gt;&gt;&gt;  General infrastructure</t>
  </si>
  <si>
    <t>Density of retail units (Number of enterprises divided by the area of MSOA)</t>
  </si>
  <si>
    <t>RetailUnitsDensity</t>
  </si>
  <si>
    <t>AT1_36</t>
  </si>
  <si>
    <t>% change in the number of enterprises</t>
  </si>
  <si>
    <t>ChangeInEnterprises</t>
  </si>
  <si>
    <t>AT1_37</t>
  </si>
  <si>
    <t>Heat socio-spatial vulnerability (2011)  &gt;&gt;&gt;  Inability to Recover</t>
  </si>
  <si>
    <t>Inability to Recover index</t>
  </si>
  <si>
    <t>-1,29</t>
  </si>
  <si>
    <t>InabilityToRecoverIndex</t>
  </si>
  <si>
    <t>ZF_REC_IND</t>
  </si>
  <si>
    <t>Heat socio-spatial vulnerability (2011)  &gt;&gt;&gt;  Inability to Recover  &gt;&gt;&gt;  Information Use (Language)</t>
  </si>
  <si>
    <t>Heat socio-spatial vulnerability (2011)  &gt;&gt;&gt;  Inability to Recover  &gt;&gt;&gt;  Social Networks</t>
  </si>
  <si>
    <t xml:space="preserve">LackOfCarers </t>
  </si>
  <si>
    <t>Heat socio-spatial vulnerability (2011)  &gt;&gt;&gt;  Inability to Recover  &gt;&gt;&gt;  Mobility</t>
  </si>
  <si>
    <t>Working away from home (% not working at home)</t>
  </si>
  <si>
    <t>PopulationWorkingAwayFromHome</t>
  </si>
  <si>
    <t>AT1_40</t>
  </si>
  <si>
    <t>Heat socio-spatial vulnerability (2011)  &gt;&gt;&gt;  Inability to Recover  &gt;&gt;&gt;  Service Areas</t>
  </si>
  <si>
    <t>Travel time to nearest GP by walk/public transport</t>
  </si>
  <si>
    <t>TravelTimeToGPByWalkOrTrans</t>
  </si>
  <si>
    <t>AT2_27</t>
  </si>
  <si>
    <t>% of at risk population (no car) outside of 15 minutes by walk/public transport to nearest GP</t>
  </si>
  <si>
    <t>PopulationToGPByWalkOrTrans_MT1</t>
  </si>
  <si>
    <t>AT2_30</t>
  </si>
  <si>
    <t>Number of GPs within 15 minutes by walk/public transport</t>
  </si>
  <si>
    <t>PopulationToGPByWalkOrTrans_LT1</t>
  </si>
  <si>
    <t>AT2_32</t>
  </si>
  <si>
    <t>Number of GPs within 15 minutes by car</t>
  </si>
  <si>
    <t>PopulationToGPByCar_LT15</t>
  </si>
  <si>
    <t>AT2_33</t>
  </si>
  <si>
    <t>Travel time to nearest hospital by walk/public transport</t>
  </si>
  <si>
    <t>TravelTimeToHospitalByWOrT</t>
  </si>
  <si>
    <t>AT2_36</t>
  </si>
  <si>
    <t>Travel time to nearest hospital by car</t>
  </si>
  <si>
    <t>TravelTimeToHospitalByCar</t>
  </si>
  <si>
    <t>AT2_38</t>
  </si>
  <si>
    <t>% of at risk population outside of 30 minutes by walk/PT to nearest hospital</t>
  </si>
  <si>
    <t>PopulationToHospitalByCar_MT30</t>
  </si>
  <si>
    <t>AT2_39</t>
  </si>
  <si>
    <t>Number of hospitals within 30 minutes by walk/public transport</t>
  </si>
  <si>
    <t>HospitalsByWalkTransport_LT30</t>
  </si>
  <si>
    <t>AT2_41</t>
  </si>
  <si>
    <t>Number of hospitals within 30 minutes by car</t>
  </si>
  <si>
    <t>HospitalsByCar_LT30</t>
  </si>
  <si>
    <t>AT2_42</t>
  </si>
  <si>
    <t>Flood England 2022 - New</t>
  </si>
  <si>
    <t>Socio-Spatial Flood Vulnerability Index</t>
  </si>
  <si>
    <t>EN_LSOA_2011_BFC_V3_2022_CJ_R02</t>
  </si>
  <si>
    <t>SSFVI</t>
  </si>
  <si>
    <t>Social Vulnerability to Flood</t>
  </si>
  <si>
    <t>Sensitivity</t>
  </si>
  <si>
    <t>Sensitivity Index</t>
  </si>
  <si>
    <t>SensitivitySSFVI</t>
  </si>
  <si>
    <t>Sensitivity  &gt;&gt;&gt;  Age</t>
  </si>
  <si>
    <t>AgeVulnerability</t>
  </si>
  <si>
    <t>Age</t>
  </si>
  <si>
    <t>A1</t>
  </si>
  <si>
    <t>A2</t>
  </si>
  <si>
    <t>Sensitivity  &gt;&gt;&gt;  Health</t>
  </si>
  <si>
    <t>HealthVulnerability</t>
  </si>
  <si>
    <t>Health</t>
  </si>
  <si>
    <t>Emergency hospital admissions</t>
  </si>
  <si>
    <t>EmergencyHospitalAdmiss</t>
  </si>
  <si>
    <t>H1</t>
  </si>
  <si>
    <t>Comparative illness and disability ratio</t>
  </si>
  <si>
    <t>DisabilityAndIllHealth</t>
  </si>
  <si>
    <t>H2</t>
  </si>
  <si>
    <t>Mood and Anxiety Disorder Indicator</t>
  </si>
  <si>
    <t>MoodAnxietyDisorders</t>
  </si>
  <si>
    <t>H3</t>
  </si>
  <si>
    <t>Medical and Care Residents (Score)</t>
  </si>
  <si>
    <t>MedicalCareResidents</t>
  </si>
  <si>
    <t>H4</t>
  </si>
  <si>
    <t>Years of Potential Life Lost (Score)</t>
  </si>
  <si>
    <t>YearsOfPotentialLifeLost</t>
  </si>
  <si>
    <t>EH5</t>
  </si>
  <si>
    <t>Homelessness rate (rate per 1000 households)</t>
  </si>
  <si>
    <t>Homelessness</t>
  </si>
  <si>
    <t>EH6</t>
  </si>
  <si>
    <t>Inability to Prepare</t>
  </si>
  <si>
    <t>Inability to Prepare Index</t>
  </si>
  <si>
    <t>InabilitytoPrepareSSFVI</t>
  </si>
  <si>
    <t>Ability to Prepare (Flood)</t>
  </si>
  <si>
    <t>Inability to Prepare  &gt;&gt;&gt;  Income</t>
  </si>
  <si>
    <t>IncomeVulnerability</t>
  </si>
  <si>
    <t>Income</t>
  </si>
  <si>
    <t>Employment deprived people in an area (% of working population)</t>
  </si>
  <si>
    <t>EmploymentDeprivation</t>
  </si>
  <si>
    <t>I1</t>
  </si>
  <si>
    <t>Income deprived people in an area (% of zone population)</t>
  </si>
  <si>
    <t>IncomeDeprivation</t>
  </si>
  <si>
    <t>I2</t>
  </si>
  <si>
    <t>Income deprived older people in an area (% of people 60 or over)</t>
  </si>
  <si>
    <t>OlderAdultIncomeDeprivation</t>
  </si>
  <si>
    <t>EI3</t>
  </si>
  <si>
    <t>Inability to Prepare  &gt;&gt;&gt;  Tenure</t>
  </si>
  <si>
    <t>PropertyTenureVulnerability</t>
  </si>
  <si>
    <t>Tenure</t>
  </si>
  <si>
    <t>SocialRentersHH</t>
  </si>
  <si>
    <t>T1</t>
  </si>
  <si>
    <t>PrivateRentersHH</t>
  </si>
  <si>
    <t>T2</t>
  </si>
  <si>
    <t>Inability to Prepare  &gt;&gt;&gt;  Language</t>
  </si>
  <si>
    <t>LanguageVulnerability</t>
  </si>
  <si>
    <t>Language</t>
  </si>
  <si>
    <t>Level of proficiency in English (% population)</t>
  </si>
  <si>
    <t>L1</t>
  </si>
  <si>
    <t>Inability to Prepare  &gt;&gt;&gt;  Internet</t>
  </si>
  <si>
    <t>Vulnerability due to lack of internet access</t>
  </si>
  <si>
    <t>InternetVulnerability</t>
  </si>
  <si>
    <t>Internet</t>
  </si>
  <si>
    <t>Sub-standard Broadband (% premises below the Universal Service Obligation)</t>
  </si>
  <si>
    <t xml:space="preserve">SubStandardBroadband </t>
  </si>
  <si>
    <t>N1</t>
  </si>
  <si>
    <t>Availability of superfast broadband (% Premises)</t>
  </si>
  <si>
    <t xml:space="preserve">LackSuperfastBroadband </t>
  </si>
  <si>
    <t>N2</t>
  </si>
  <si>
    <t>Inability to Prepare  &gt;&gt;&gt;  Local knowledge</t>
  </si>
  <si>
    <t>KnowledgeFloodVulnerability</t>
  </si>
  <si>
    <t>Local knowledge (Flood)</t>
  </si>
  <si>
    <t>Population Transience (Residential Mobility Index)</t>
  </si>
  <si>
    <t xml:space="preserve">PopulationTransience </t>
  </si>
  <si>
    <t>K1</t>
  </si>
  <si>
    <t>Past experience due to exposure of properties to historical flooding (score)</t>
  </si>
  <si>
    <t>DirectFloodExperience</t>
  </si>
  <si>
    <t>K2</t>
  </si>
  <si>
    <t>Flood alert and warning areas (% area not covered)</t>
  </si>
  <si>
    <t xml:space="preserve">FloodWarnings </t>
  </si>
  <si>
    <t>K3</t>
  </si>
  <si>
    <t>Inability to Respond</t>
  </si>
  <si>
    <t>Inability to Respond Index</t>
  </si>
  <si>
    <t>InabilitytoRespondSSFVI</t>
  </si>
  <si>
    <t>Ability to Respond (Flood)</t>
  </si>
  <si>
    <t>Inability to Respond  &gt;&gt;&gt;  Income</t>
  </si>
  <si>
    <t>Inability to Respond  &gt;&gt;&gt;  Language</t>
  </si>
  <si>
    <t>Inability to Respond  &gt;&gt;&gt;  Internet</t>
  </si>
  <si>
    <t>Inability to Respond  &gt;&gt;&gt;  Local knowledge</t>
  </si>
  <si>
    <t xml:space="preserve">Inability to Respond  &gt;&gt;&gt;  Social networks </t>
  </si>
  <si>
    <t>SocialNetworksVulnerability</t>
  </si>
  <si>
    <t xml:space="preserve">Social Networks </t>
  </si>
  <si>
    <t xml:space="preserve">SinglePensionerHouseholds </t>
  </si>
  <si>
    <t>S1</t>
  </si>
  <si>
    <t>Lack of school-related networks (% children not of primary school age)</t>
  </si>
  <si>
    <t>LackSchoolRelatedNetworks</t>
  </si>
  <si>
    <t>S2</t>
  </si>
  <si>
    <t>Inability to Respond  &gt;&gt;&gt;  Mobility</t>
  </si>
  <si>
    <t>MobilityVulnerability</t>
  </si>
  <si>
    <t xml:space="preserve">Mobility </t>
  </si>
  <si>
    <t>LackPrivateTransport</t>
  </si>
  <si>
    <t xml:space="preserve">M3 </t>
  </si>
  <si>
    <t>Workplace accessibility by walking or public transport (travel time, destination and origin indicators)</t>
  </si>
  <si>
    <t>WorkplaceAccessibilityWalkPT</t>
  </si>
  <si>
    <t>EM4</t>
  </si>
  <si>
    <t>Workplace accessibility by car (travel time, destination and origin indicators)</t>
  </si>
  <si>
    <t>WorkplaceAccessibilityCar</t>
  </si>
  <si>
    <t>EM5</t>
  </si>
  <si>
    <t>Inability to Respond  &gt;&gt;&gt;  Crime</t>
  </si>
  <si>
    <t>CrimeVulnerability</t>
  </si>
  <si>
    <t>Crime</t>
  </si>
  <si>
    <t xml:space="preserve">Crime </t>
  </si>
  <si>
    <t>C1</t>
  </si>
  <si>
    <t>Inability to Recover</t>
  </si>
  <si>
    <t>Inability to Recover Index</t>
  </si>
  <si>
    <t>InabilitytoRecoverSSFVI</t>
  </si>
  <si>
    <t>Ability to Recover (Flood)</t>
  </si>
  <si>
    <t>Inability to Recover  &gt;&gt;&gt;  Income</t>
  </si>
  <si>
    <t>Inability to Recover  &gt;&gt;&gt;  Language</t>
  </si>
  <si>
    <t>Inability to Recover  &gt;&gt;&gt;  Internet</t>
  </si>
  <si>
    <t>Inability to Recover  &gt;&gt;&gt;  Social networks</t>
  </si>
  <si>
    <t>Inability to Recover  &gt;&gt;&gt;  Mobility</t>
  </si>
  <si>
    <t>Inability to Recover  &gt;&gt;&gt;  Pharmacy Access</t>
  </si>
  <si>
    <t>Vulnerability due to lack of pharmacy access</t>
  </si>
  <si>
    <t>PharmacyAccessVulnerability</t>
  </si>
  <si>
    <t>Pharmacy Access</t>
  </si>
  <si>
    <t>Mean distance to a pharmacy (km)</t>
  </si>
  <si>
    <t>AccessibilityPharmacies</t>
  </si>
  <si>
    <t>V1</t>
  </si>
  <si>
    <t>Inability to Recover  &gt;&gt;&gt;  House Prices</t>
  </si>
  <si>
    <t>Vulnerability due to house prices</t>
  </si>
  <si>
    <t>HousePricesVulnerability</t>
  </si>
  <si>
    <t>House Prices</t>
  </si>
  <si>
    <t>Median price paid for residential properties (£)</t>
  </si>
  <si>
    <t>HousingTrap</t>
  </si>
  <si>
    <t>P1</t>
  </si>
  <si>
    <t>Enhanced Exposure</t>
  </si>
  <si>
    <t>Enhanced Exposure Index</t>
  </si>
  <si>
    <t>EnhancedExposureSSFVI</t>
  </si>
  <si>
    <t>Enhanced Exposure (Flood)</t>
  </si>
  <si>
    <t>Enhanced Exposure  &gt;&gt;&gt;  Physical Environment</t>
  </si>
  <si>
    <t>Vulnerability due to physical environment</t>
  </si>
  <si>
    <t>PhysEnvironmentVulnerability</t>
  </si>
  <si>
    <t>Physical Environment</t>
  </si>
  <si>
    <t>UrbanCover</t>
  </si>
  <si>
    <t>U1</t>
  </si>
  <si>
    <t>Lack of domestic gardens (% dwellings without gardens)</t>
  </si>
  <si>
    <t>LackPrivateGreenspaceFlood</t>
  </si>
  <si>
    <t>U2</t>
  </si>
  <si>
    <t>Median combined size of parks and public gardens and playing fields within 1,000 m radius (m²)</t>
  </si>
  <si>
    <t>AverageCommunityGreenspace</t>
  </si>
  <si>
    <t>U3</t>
  </si>
  <si>
    <t>Enhanced Exposure  &gt;&gt;&gt;  Housing Characteristics</t>
  </si>
  <si>
    <t>HousingFloodVulnerability</t>
  </si>
  <si>
    <t>Housing Characteristics</t>
  </si>
  <si>
    <t>caravan or other mobile or temporary structures (% of all households)</t>
  </si>
  <si>
    <t>CaravanOrTemporaryStructures</t>
  </si>
  <si>
    <t>EX4</t>
  </si>
  <si>
    <t>Population Exposure and Disadvantage</t>
  </si>
  <si>
    <t xml:space="preserve">Population </t>
  </si>
  <si>
    <t>Population</t>
  </si>
  <si>
    <t>Population Exposed (Count)</t>
  </si>
  <si>
    <t>PopulationExposed</t>
  </si>
  <si>
    <t>Exposed Population Defended (Count)</t>
  </si>
  <si>
    <t>ExposedPopDefended</t>
  </si>
  <si>
    <t>Exposed Population Undefended (Count)</t>
  </si>
  <si>
    <t>ExposedPopUndefended</t>
  </si>
  <si>
    <t>Exposed Population Undefended (see caveats) (Count)</t>
  </si>
  <si>
    <t>Population Exposed (Z-Score)</t>
  </si>
  <si>
    <t>ZPopulationExposed</t>
  </si>
  <si>
    <t>Flood Exposed</t>
  </si>
  <si>
    <t>Exposed Population Undefended (Z-Score)</t>
  </si>
  <si>
    <t>ZExposedPopUndefended</t>
  </si>
  <si>
    <t>Undefended</t>
  </si>
  <si>
    <t>Disadvantage (all potentially exposed, Z-Score)</t>
  </si>
  <si>
    <t>ZDisadvantageExposed</t>
  </si>
  <si>
    <t>Disadvantage (all potentially exposed)</t>
  </si>
  <si>
    <t>Disadvantage (all potentially undefended, Z-Score)</t>
  </si>
  <si>
    <t>ZDisadvantageUndefended</t>
  </si>
  <si>
    <t>Disadvantage (all potentially undefended)</t>
  </si>
  <si>
    <t>Flood Wales 2022 - New</t>
  </si>
  <si>
    <t>WA_LSOA_2011_BFC_V3_2022_CJ_R02</t>
  </si>
  <si>
    <t>Z_Age</t>
  </si>
  <si>
    <t xml:space="preserve">Young Children (% children &lt; 5 years) </t>
  </si>
  <si>
    <t>Older Adults (% people &gt; 75 years old)</t>
  </si>
  <si>
    <t>Z_Health</t>
  </si>
  <si>
    <t>Premature death (rate per 100,000)</t>
  </si>
  <si>
    <t>GP-recorded chronic condition (rate per 100)</t>
  </si>
  <si>
    <t>GP-recorded mental health condition (rate per 100)</t>
  </si>
  <si>
    <t>Medical and Care Residents</t>
  </si>
  <si>
    <t xml:space="preserve">Z_Income </t>
  </si>
  <si>
    <t>Employment Deprivation (Working-age people in employment deprivation (%))</t>
  </si>
  <si>
    <t>Income Deprivation (People in Income Deprivation (%))</t>
  </si>
  <si>
    <t>Older Adult Income deprivation (IDAOPI Score)</t>
  </si>
  <si>
    <t>Z_Tenure</t>
  </si>
  <si>
    <t>Social landlords (% households)</t>
  </si>
  <si>
    <t>Private landlords (% households)</t>
  </si>
  <si>
    <t>Z_Language</t>
  </si>
  <si>
    <t>English Proficiency (% Proportion of the working-age population who cannot speak English or cannot speak English ‘well’)</t>
  </si>
  <si>
    <t>Z_Internet</t>
  </si>
  <si>
    <t>Sub-standard Broadband (Mean % of premises below the USO)</t>
  </si>
  <si>
    <t>Lack of superfast broadband (% Premises)</t>
  </si>
  <si>
    <t xml:space="preserve">Lack of Superfast Broadband </t>
  </si>
  <si>
    <t>Z_Local_Knowledge_Flood</t>
  </si>
  <si>
    <t>Population Transience - CDRC Residential Mobility Index (average 2012-2020)</t>
  </si>
  <si>
    <t xml:space="preserve">Flood experience (based on % area associated with past events) </t>
  </si>
  <si>
    <t>Areas not covered by a flood alerts/warnings zone (%)</t>
  </si>
  <si>
    <t xml:space="preserve">Z_Social networks </t>
  </si>
  <si>
    <t>Lack of School-related networks (children not of primary schoool age (%))</t>
  </si>
  <si>
    <t xml:space="preserve">Z_Mobility </t>
  </si>
  <si>
    <t>Lack of private Transport ownership (% households with no car or van)</t>
  </si>
  <si>
    <t>Z_Crime</t>
  </si>
  <si>
    <t>Index of Multiple Deprivation crime</t>
  </si>
  <si>
    <t>Crime (Community Safety Domain WIMD)</t>
  </si>
  <si>
    <t>Z_Pharmacy Access</t>
  </si>
  <si>
    <t>Average return travel time to a Pharmacy by public transport (minutes)</t>
  </si>
  <si>
    <t>ReturnTimePharmacyPublic</t>
  </si>
  <si>
    <t>Time to nearest Pharmacy - Average return travel time to a Pharmacy by public transport (minutes)</t>
  </si>
  <si>
    <t>Average return travel time to a Pharmacy by private transport (minutes)</t>
  </si>
  <si>
    <t>ReturnTimePharmacyPrivate</t>
  </si>
  <si>
    <t>Time to nearest Pharmacy - Average return travel time to a Pharmacy by private transport (minutes)</t>
  </si>
  <si>
    <t>Z_House Prices</t>
  </si>
  <si>
    <t>Housing Trap - Change in median house price 1995-2020</t>
  </si>
  <si>
    <t>Z_Physical Environment</t>
  </si>
  <si>
    <t>Urban Cover (%)</t>
  </si>
  <si>
    <t>Lack of private greenspace</t>
  </si>
  <si>
    <t>Average Community Greenspace size</t>
  </si>
  <si>
    <t>Housing Characteristics_Flood</t>
  </si>
  <si>
    <t>Caravan or temporary structures</t>
  </si>
  <si>
    <t>Disadvantage (all exposed)</t>
  </si>
  <si>
    <t>Disadvantage (all undefended)</t>
  </si>
  <si>
    <t>Heat England 2022 - New</t>
  </si>
  <si>
    <t>Socio Spatial Heat Vulnerability Index</t>
  </si>
  <si>
    <t>SSHVI</t>
  </si>
  <si>
    <t>SensitivitySSHVI</t>
  </si>
  <si>
    <t>SSHVI_SEN</t>
  </si>
  <si>
    <t>Emergency hospital admissions (score)</t>
  </si>
  <si>
    <t>InabilitytoPrepareSSHVI</t>
  </si>
  <si>
    <t>SSHVI_PRP</t>
  </si>
  <si>
    <t>KnowledgeHeatVulnerability</t>
  </si>
  <si>
    <t>Local knowledge</t>
  </si>
  <si>
    <t>InabilitytoRespondSSHVI</t>
  </si>
  <si>
    <t xml:space="preserve">SSHVI_RES </t>
  </si>
  <si>
    <t>Inability to Respond  &gt;&gt;&gt;  General infrastructure</t>
  </si>
  <si>
    <t>Vulnerability due to infrastructural condition</t>
  </si>
  <si>
    <t>InfrastructuralVulnerability</t>
  </si>
  <si>
    <t>General infrastructure</t>
  </si>
  <si>
    <t>EF1</t>
  </si>
  <si>
    <t>Change in the number of enterprises (%)</t>
  </si>
  <si>
    <t>EF2</t>
  </si>
  <si>
    <t>LackPrivateGreenspaceHeat</t>
  </si>
  <si>
    <t>EF3</t>
  </si>
  <si>
    <t>Lack of local greenspace access (%)</t>
  </si>
  <si>
    <t>LackLocalGreenspace</t>
  </si>
  <si>
    <t>EF4</t>
  </si>
  <si>
    <t>InabilitytoRecoverSSHVI</t>
  </si>
  <si>
    <t xml:space="preserve">SSHVI_REC </t>
  </si>
  <si>
    <t>Inability to Recover  &gt;&gt;&gt;  GP Access</t>
  </si>
  <si>
    <t>Vulnerability due to lack of access to general practitioner (GP)</t>
  </si>
  <si>
    <t>GPAccessVulnerability</t>
  </si>
  <si>
    <t>GP Access</t>
  </si>
  <si>
    <t>Travel time to nearest GP by walk/public transport (minutes)</t>
  </si>
  <si>
    <t>TravelTimeToGPWalkPT</t>
  </si>
  <si>
    <t>G1</t>
  </si>
  <si>
    <t>People lacking easy GP access (%)</t>
  </si>
  <si>
    <t>PeopleLackGPAccess</t>
  </si>
  <si>
    <t>G2</t>
  </si>
  <si>
    <t>GPs15minWalkPT</t>
  </si>
  <si>
    <t>G3</t>
  </si>
  <si>
    <t>GPs15minCar</t>
  </si>
  <si>
    <t>G4</t>
  </si>
  <si>
    <t>Inability to Recover  &gt;&gt;&gt;  Hospital Access</t>
  </si>
  <si>
    <t>Vulnerability due to lack of access to local hospital</t>
  </si>
  <si>
    <t>HospitalAccessVulnerability</t>
  </si>
  <si>
    <t>Hospital Access</t>
  </si>
  <si>
    <t>Travel time to nearest hospital by walk/public transport (minutes)</t>
  </si>
  <si>
    <t>TravelTimeToHospitalWalkPT</t>
  </si>
  <si>
    <t>O1</t>
  </si>
  <si>
    <t>Travel time to nearest hospital by car (minutes)</t>
  </si>
  <si>
    <t>TravelTimeToHospitalCar</t>
  </si>
  <si>
    <t>O2</t>
  </si>
  <si>
    <t>People lacking easy hospital access (%)</t>
  </si>
  <si>
    <t>PeopleLackHospitalAccess</t>
  </si>
  <si>
    <t>O3</t>
  </si>
  <si>
    <t>Hospitals30minWalkPT</t>
  </si>
  <si>
    <t>O4</t>
  </si>
  <si>
    <t>Hospitals30minCar</t>
  </si>
  <si>
    <t>O5</t>
  </si>
  <si>
    <t>EnhancedExposureSSHVI</t>
  </si>
  <si>
    <t xml:space="preserve">SSHVI_EXP </t>
  </si>
  <si>
    <t>HousingHeatVulnerability</t>
  </si>
  <si>
    <t xml:space="preserve">Housing Characteristics </t>
  </si>
  <si>
    <t>Household overcrowding indicator</t>
  </si>
  <si>
    <t>Overcrowding</t>
  </si>
  <si>
    <t>X1</t>
  </si>
  <si>
    <t>Number of flats without gardens (Proxy for high-rise flats)</t>
  </si>
  <si>
    <t>X2</t>
  </si>
  <si>
    <t>Heat disadvantage (2022)  &gt;&gt;&gt;  Average temperature of top 5% hottest days</t>
  </si>
  <si>
    <t>Recent past 30 year mean 1990 - 2019 (℃)</t>
  </si>
  <si>
    <t>TmaxP95RecentPast</t>
  </si>
  <si>
    <t>Tmax_P95_Recent past</t>
  </si>
  <si>
    <t>1.5℃ warmer world (℃)</t>
  </si>
  <si>
    <t>TmaxP95Future15</t>
  </si>
  <si>
    <t>Tmax_P95_15</t>
  </si>
  <si>
    <t>2℃ warmer world (℃)</t>
  </si>
  <si>
    <t>TmaxP95Future20</t>
  </si>
  <si>
    <t>Tmax_P95_20</t>
  </si>
  <si>
    <t>3℃ warmer world (℃)</t>
  </si>
  <si>
    <t>TmaxP95Future30</t>
  </si>
  <si>
    <t>Tmax_P95_30</t>
  </si>
  <si>
    <t>Heat disadvantage (2022)  &gt;&gt;&gt;  Heat disadvantage</t>
  </si>
  <si>
    <t>Heat Disadvantage, recent past 30 year mean 1990 - 2019</t>
  </si>
  <si>
    <t>ZHeatDisadvantageRecentPast</t>
  </si>
  <si>
    <t xml:space="preserve">Z_Heat Disadvantage (Baseline) </t>
  </si>
  <si>
    <t>Heat Disadvantage, 1.5℃ warmer world</t>
  </si>
  <si>
    <t>ZHeatDisadvantageFuture15</t>
  </si>
  <si>
    <t>Z_Heat Disasdvantage (1.5 deg)</t>
  </si>
  <si>
    <t>Heat Disadvantage, 2℃ warmer world</t>
  </si>
  <si>
    <t>ZHeatDisadvantageFuture20</t>
  </si>
  <si>
    <t xml:space="preserve">Z_Heat Disadvantage (2 deg) </t>
  </si>
  <si>
    <t>Heat Disadvantage, 3℃ warmer world</t>
  </si>
  <si>
    <t>ZHeatDisadvantageFuture30</t>
  </si>
  <si>
    <t xml:space="preserve">Z_Heat Disadvantage (3 deg) </t>
  </si>
  <si>
    <t>Recent past 30 year mean 1990 - 2019 (All-relative Z-Score)</t>
  </si>
  <si>
    <t>ZarTmaxP95RecentPast</t>
  </si>
  <si>
    <t>Z_AR_Tmax_P95_Recent past</t>
  </si>
  <si>
    <t>1.5℃ warmer world (All-relative Z-Score)</t>
  </si>
  <si>
    <t>ZarTmaxP95Future15</t>
  </si>
  <si>
    <t>Z_AR_Tmax_P95_15</t>
  </si>
  <si>
    <t>2℃ warmer world (All-relative Z-Score)</t>
  </si>
  <si>
    <t>ZarTmaxP95Future20</t>
  </si>
  <si>
    <t>Z_AR_Tmax_P95_20</t>
  </si>
  <si>
    <t>3℃ warmer world (All-relative Z-Score)</t>
  </si>
  <si>
    <t>ZarTmaxP95Future30</t>
  </si>
  <si>
    <t>Z_AR_Tmax_P95_30</t>
  </si>
  <si>
    <t>Relative heat Disadvantage, recent past 30 year mean 1990 - 2019</t>
  </si>
  <si>
    <t>ZarHeatDisadvantageRecentPast</t>
  </si>
  <si>
    <t xml:space="preserve">Z_AR_Heat Disadvantage (Baseline) </t>
  </si>
  <si>
    <t>Relative heat Disadvantage, 1.5℃ warmer world</t>
  </si>
  <si>
    <t>ZarHeatDisadvantageFuture15</t>
  </si>
  <si>
    <t>Z_AR_Heat Disasdvantage (1.5 deg)</t>
  </si>
  <si>
    <t>Relative heat Disadvantage, 2℃ warmer world</t>
  </si>
  <si>
    <t>ZarHeatDisadvantageFuture20</t>
  </si>
  <si>
    <t xml:space="preserve">Z_AR_Heat Disadvantage (2 deg) </t>
  </si>
  <si>
    <t>Relative heat Disadvantage, 3℃ warmer world</t>
  </si>
  <si>
    <t>ZarHeatDisadvantageFuture30</t>
  </si>
  <si>
    <t xml:space="preserve">Z_AR_Heat Disadvantage (3 deg) </t>
  </si>
  <si>
    <t>Heat Wales 2022 - New</t>
  </si>
  <si>
    <t>Socio-Spatial Heat Vulnerability Index</t>
  </si>
  <si>
    <t>Heat Vulnerability</t>
  </si>
  <si>
    <t>Ability to Prepare (Heat)</t>
  </si>
  <si>
    <t>Z_Local_Knowledge_Heat</t>
  </si>
  <si>
    <t>Ability to Respond (Heat)</t>
  </si>
  <si>
    <t>PopulationTransience</t>
  </si>
  <si>
    <t>Z_General infrastructure_heat</t>
  </si>
  <si>
    <t>Lack of private greenspace (% dwellings without gardens)</t>
  </si>
  <si>
    <t>Lack of local greenspace access (% households)</t>
  </si>
  <si>
    <t>Lack of local greenspace access (Proximity to accessible natural green space score)</t>
  </si>
  <si>
    <t>Ability to Recover (Heat)</t>
  </si>
  <si>
    <t>Vulnerability due to lack of GP access</t>
  </si>
  <si>
    <t>Z_GP Access</t>
  </si>
  <si>
    <t>Average return travel time to a GP by public transport (minutes)</t>
  </si>
  <si>
    <t>ReturnTimeGPPublic</t>
  </si>
  <si>
    <t>Time to nearest GP - Average return travel time to a GP surgery by public transport (minutes)</t>
  </si>
  <si>
    <t>Average return travel time to a GP by private transport (minutes)</t>
  </si>
  <si>
    <t>ReturnTimeGPPrivate</t>
  </si>
  <si>
    <t>Time to nearest GP - Average return travel time to a GP surgery by private transport (minutes)</t>
  </si>
  <si>
    <t>Z_Hospital Access</t>
  </si>
  <si>
    <t>Mean distance to nearest A&amp;E Hospital (km)</t>
  </si>
  <si>
    <t>AccessibilityHospital</t>
  </si>
  <si>
    <t xml:space="preserve">Mean distance to nearest A&amp;E hospital </t>
  </si>
  <si>
    <t>Enhanced Exposure (Heat)</t>
  </si>
  <si>
    <t>Z_Housing Characteristics_Heat</t>
  </si>
  <si>
    <t>People in overcrowded households (%)</t>
  </si>
  <si>
    <t>High Rise Flat proxy</t>
  </si>
  <si>
    <t>Average temperature of top 5% hottest days, recent past 30 year mean 1990 - 2019 (℃)</t>
  </si>
  <si>
    <t>TMax95RC</t>
  </si>
  <si>
    <t>Average temperature of top 5% hottest days, 1.5℃ warmer world (℃)</t>
  </si>
  <si>
    <t>TMax951_5D</t>
  </si>
  <si>
    <t>Average temperature of top 5% hottest days, 2℃ warmer world (℃)</t>
  </si>
  <si>
    <t>TMax952D</t>
  </si>
  <si>
    <t>Average temperature of top 5% hottest days, 3℃ warmer world (℃)</t>
  </si>
  <si>
    <t>TMax953D</t>
  </si>
  <si>
    <t>Average temperature of top 5% hottest days, recent past 30 year mean 1990 - 2019 (Score)</t>
  </si>
  <si>
    <t>ZTmaxP95RecentPast</t>
  </si>
  <si>
    <t>TMx95RCZ</t>
  </si>
  <si>
    <t>Average temperature of top 5% hottest days, 1.5℃ warmer world (Score)</t>
  </si>
  <si>
    <t>ZTmaxP95Future15</t>
  </si>
  <si>
    <t>TMx951_5DZ</t>
  </si>
  <si>
    <t>Average temperature of top 5% hottest days, 2℃ warmer world (Score)</t>
  </si>
  <si>
    <t>ZTmaxP95Future20</t>
  </si>
  <si>
    <t>TMx952DZ</t>
  </si>
  <si>
    <t>Average temperature of top 5% hottest days, 3℃ warmer world (score)</t>
  </si>
  <si>
    <t>ZTmaxP95Future30</t>
  </si>
  <si>
    <t>TMx953DZ</t>
  </si>
  <si>
    <t>HDisRCZ</t>
  </si>
  <si>
    <t>HDis1_5DZ</t>
  </si>
  <si>
    <t>HDis2DZ</t>
  </si>
  <si>
    <t>HDis3DZ</t>
  </si>
  <si>
    <t>Average temperature of top 5% hottest days, recent past 30 year mean 1990 - 2019 (All-relative Z-Score)</t>
  </si>
  <si>
    <t>TMx95RCZAR</t>
  </si>
  <si>
    <t>Average temperature of top 5% hottest days, 1.5℃ warmer world (All-relative Z-Score)</t>
  </si>
  <si>
    <t>TMx951_5DZAR</t>
  </si>
  <si>
    <t>Average temperature of top 5% hottest days, 2℃ warmer world (All-relative Z-Score)</t>
  </si>
  <si>
    <t>TMx952DZAR</t>
  </si>
  <si>
    <t>Average temperature of top 5% hottest days, 3℃ warmer world (All-relative Z-Score)</t>
  </si>
  <si>
    <t>TMx953DZAR</t>
  </si>
  <si>
    <t>HDisRCZAR</t>
  </si>
  <si>
    <t>HDis1_5DZAR</t>
  </si>
  <si>
    <t>HDis2DZAR</t>
  </si>
  <si>
    <t>HDis3DZAR</t>
  </si>
  <si>
    <t>Government Agency Maps</t>
  </si>
  <si>
    <t>Environment Agency</t>
  </si>
  <si>
    <t>Flood alert areas</t>
  </si>
  <si>
    <t>-1,24</t>
  </si>
  <si>
    <t>Flood risk areas</t>
  </si>
  <si>
    <t>Reduction in Risk of Flooding from Rivers and Sea due to Defences</t>
  </si>
  <si>
    <t>Flood Zone 2 (Min Scale: 1:200,000)</t>
  </si>
  <si>
    <t>Flood Zone 3 (Min Scale: 1:200,000)</t>
  </si>
  <si>
    <t>Recorded Flood Outlines</t>
  </si>
  <si>
    <t>Risk of Flooding from Rivers and Sea (Min Scale: 1:200,000)</t>
  </si>
  <si>
    <t>Saltmarsh Extents</t>
  </si>
  <si>
    <t>Natural Resources Wales</t>
  </si>
  <si>
    <t>-1,25</t>
  </si>
  <si>
    <t>Flood defences</t>
  </si>
  <si>
    <t>Areas Benefiting from Flood Defences</t>
  </si>
  <si>
    <t>Flood Zones (Rivers and Seas)</t>
  </si>
  <si>
    <t>Recorded Flood Extents</t>
  </si>
  <si>
    <t>Recorded Risk Assessment</t>
  </si>
  <si>
    <t>SEPA does not provide map layers</t>
  </si>
  <si>
    <t>Administrative Areas</t>
  </si>
  <si>
    <t>UK Wards (2022)</t>
  </si>
  <si>
    <t>UK_Wards_BFC_2022</t>
  </si>
  <si>
    <t>UK Districts &amp; Unitary Authorities (2019)</t>
  </si>
  <si>
    <t>UK_LADs_UAs_2019</t>
  </si>
  <si>
    <t>Built Up Areas (England &amp; Wales) (2011)</t>
  </si>
  <si>
    <t>EW_Built_Up_Areas_2011</t>
  </si>
  <si>
    <t>Built Up Areas (Scotland) (2016)</t>
  </si>
  <si>
    <t>SC_Built_Up_Areas_2016</t>
  </si>
  <si>
    <t>Built Up Areas (Great Britain) (2022)</t>
  </si>
  <si>
    <t>UK Parliamentary Constituencies</t>
  </si>
  <si>
    <t>UK_Parliamentary_Constituencies</t>
  </si>
  <si>
    <t>ServiceId</t>
  </si>
  <si>
    <t>IsActiveService</t>
  </si>
  <si>
    <t>FallbackService</t>
  </si>
  <si>
    <t>ServiceType</t>
  </si>
  <si>
    <t>ServiceUrlId</t>
  </si>
  <si>
    <t>LayerIndex</t>
  </si>
  <si>
    <t>LayerName</t>
  </si>
  <si>
    <t>MinLOD</t>
  </si>
  <si>
    <t>MaxLOD</t>
  </si>
  <si>
    <t>FeatureService</t>
  </si>
  <si>
    <t>Dummy</t>
  </si>
  <si>
    <t>MapService</t>
  </si>
  <si>
    <t>WMS</t>
  </si>
  <si>
    <t>Flood_Alert_Areas</t>
  </si>
  <si>
    <t>WFS</t>
  </si>
  <si>
    <t>Flood_Risk_Areas</t>
  </si>
  <si>
    <t>Reduction_In_Risk_Of_Flooding_From_Rivers_And_Sea</t>
  </si>
  <si>
    <t>Flood_Map_for_Planning_Rivers_and_Sea_Flood_Zone_2</t>
  </si>
  <si>
    <t>dataset-86ec354f-d465-11e4-b09e-f0def148f590:Flood_Map_for_Planning_Rivers_and_Sea_Flood_Zone_2</t>
  </si>
  <si>
    <t>Flood_Map_for_Planning_Rivers_and_Sea_Flood_Zone_3</t>
  </si>
  <si>
    <t>Recorded_Flood_Outlines</t>
  </si>
  <si>
    <t>dataset-8c75e700-d465-11e4-8b5b-f0def148f590:Recorded_Flood_Outlines</t>
  </si>
  <si>
    <t>Risk_of_Flooding_from_Rivers_and_Sea</t>
  </si>
  <si>
    <t>Saltmarsh_Extents_and_Zonation</t>
  </si>
  <si>
    <t>dataset-6da82900-d465-11e4-8cc3-f0def148f590:Saltmarsh_Extents_and_Zonation</t>
  </si>
  <si>
    <t>NRW_FLOOD_WATCH_AREAS</t>
  </si>
  <si>
    <t>NRW_FLOOD_RISK_AREAS</t>
  </si>
  <si>
    <t>geonode:nrw_flood_defence_locations</t>
  </si>
  <si>
    <t>inspire-nrw:NRW_AREA_BENEFITING_FROM_FLOOD_DEFENCE</t>
  </si>
  <si>
    <t>NRW_AREA_BENEFITING_FROM_FLOOD_DEFENCE</t>
  </si>
  <si>
    <t>inspire-nrw:NRW_FLOODZONE_RIVERS_SEAS_MERGED</t>
  </si>
  <si>
    <t>inspire-nrw:NRW_HISTORIC_FLOODMAP</t>
  </si>
  <si>
    <t>inspire-nrw:NRW_FLOOD_RISK_FROM_RIVERS</t>
  </si>
  <si>
    <t>FloodRiskAssessmentWales</t>
  </si>
  <si>
    <t>ServiceUrl</t>
  </si>
  <si>
    <t>https://services1.arcgis.com/SfF67lOzKAmtSACX/ArcGIS/rest/services/ClimateJust_FS_WFL3/FeatureServer</t>
  </si>
  <si>
    <t>https://datamap.gov.wales/geoserver/inspire-nrw/wfs</t>
  </si>
  <si>
    <t>https://environment.data.gov.uk/arcgis/rest/services/EA/FloodAlertAreas/FeatureServer</t>
  </si>
  <si>
    <t>https://environment.data.gov.uk/arcgis/rest/services/EA/FloodAlertAreas/MapServer</t>
  </si>
  <si>
    <t>https://environment.data.gov.uk/arcgis/rest/services/EA/FloodMapForPlanningRiversAndSeaFloodZone2/FeatureServer</t>
  </si>
  <si>
    <t>https://environment.data.gov.uk/arcgis/rest/services/EA/FloodMapForPlanningRiversAndSeaFloodZone2/MapServer</t>
  </si>
  <si>
    <t>https://environment.data.gov.uk/arcgis/rest/services/EA/FloodMapForPlanningRiversAndSeaFloodZone3/FeatureServer</t>
  </si>
  <si>
    <t>https://environment.data.gov.uk/arcgis/rest/services/EA/FloodMapForPlanningRiversAndSeaFloodZone3/MapServer</t>
  </si>
  <si>
    <t>https://environment.data.gov.uk/arcgis/rest/services/EA/FloodRiskAreas/FeatureServer</t>
  </si>
  <si>
    <t>https://environment.data.gov.uk/arcgis/rest/services/EA/FloodRiskAreas/MapServer</t>
  </si>
  <si>
    <t>https://environment.data.gov.uk/arcgis/rest/services/EA/RecordedFloodOutlines/FeatureServer</t>
  </si>
  <si>
    <t>https://environment.data.gov.uk/arcgis/rest/services/EA/RecordedFloodOutlines/MapServer</t>
  </si>
  <si>
    <t>https://environment.data.gov.uk/arcgis/rest/services/EA/RiskOfFloodingFromRiversAndSea/MapServer</t>
  </si>
  <si>
    <t>https://environment.data.gov.uk/arcgis/rest/services/EA/SaltmarshExtentsAndZonation/FeatureServer</t>
  </si>
  <si>
    <t>https://environment.data.gov.uk/arcgis/rest/services/EA/SaltmarshExtentsAndZonation/MapServer</t>
  </si>
  <si>
    <t>https://environment.data.gov.uk/arcgis/services/EA/RiskOfFloodingFromRiversAndSea/MapServer/WMSServer</t>
  </si>
  <si>
    <t>https://environment.data.gov.uk/spatialdata/flood-alert-areas/wfs</t>
  </si>
  <si>
    <t>https://environment.data.gov.uk/spatialdata/flood-alert-areas/wms</t>
  </si>
  <si>
    <t>https://environment.data.gov.uk/spatialdata/reduction-in-risk-of-flooding-from-rivers-and-sea/wms</t>
  </si>
  <si>
    <t>https://environment.data.gov.uk/spatialdata/flood-map-for-planning-rivers-and-sea-flood-zone-2/wfs</t>
  </si>
  <si>
    <t>https://environment.data.gov.uk/spatialdata/flood-map-for-planning-rivers-and-sea-flood-zone-2/wms</t>
  </si>
  <si>
    <t>https://environment.data.gov.uk/spatialdata/flood-map-for-planning-rivers-and-sea-flood-zone-3/wfs</t>
  </si>
  <si>
    <t>https://environment.data.gov.uk/spatialdata/flood-map-for-planning-rivers-and-sea-flood-zone-3/wms</t>
  </si>
  <si>
    <t>https://environment.data.gov.uk/spatialdata/flood-risk-areas/wfs</t>
  </si>
  <si>
    <t>https://environment.data.gov.uk/spatialdata/flood-risk-areas/wms</t>
  </si>
  <si>
    <t>https://environment.data.gov.uk/spatialdata/recorded-flood-outlines/wfs</t>
  </si>
  <si>
    <t>https://environment.data.gov.uk/spatialdata/recorded-flood-outlines/wms</t>
  </si>
  <si>
    <t>https://environment.data.gov.uk/spatialdata/risk-of-flooding-from-rivers-and-sea/wms</t>
  </si>
  <si>
    <t>https://environment.data.gov.uk/spatialdata/saltmarsh-extents-and-zonation/wfs</t>
  </si>
  <si>
    <t>https://environment.data.gov.uk/spatialdata/saltmarsh-extents-and-zonation/wms</t>
  </si>
  <si>
    <t>https://services1.arcgis.com/ESMARspQHYMw9BZ9/ArcGIS/rest/services/BUA_2022_GB/FeatureServer</t>
  </si>
  <si>
    <t>https://datamap.gov.wales/capabilities/layer/346/?ows_service=wfs</t>
  </si>
  <si>
    <t>https://datamap.gov.wales/capabilities/layer/346/?ows_service=wms</t>
  </si>
  <si>
    <t>https://datamap.gov.wales/capabilities/layergroup/889/?ows_service=wms</t>
  </si>
  <si>
    <t>https://datamap.gov.wales/capabilities/layergroup/889/?ows_service=wfs</t>
  </si>
  <si>
    <t>https://datamap.gov.wales/capabilities/layergroup/4126/?ows_service=wfs</t>
  </si>
  <si>
    <t>https://datamap.gov.wales/capabilities/layergroup/4126/?ows_service=wms</t>
  </si>
  <si>
    <t>https://datamap.gov.wales/capabilities/layergroup/2070/?ows_service=wfs</t>
  </si>
  <si>
    <t>https://datamap.gov.wales/capabilities/layergroup/2070/?ows_service=wms</t>
  </si>
  <si>
    <t>https://services1.arcgis.com/SfF67lOzKAmtSACX/arcgis/rest/services/ClimateJust_FS_WFL3/FeatureServer</t>
  </si>
  <si>
    <t>https://services1.arcgis.com/ESMARspQHYMw9BZ9/arcgis/rest/services/Westminster_Parliamentary_Constituencies_July_2024_Boundaries_UK_BFC/FeatureServer/</t>
  </si>
  <si>
    <t>RendererTypeId</t>
  </si>
  <si>
    <t>Name</t>
  </si>
  <si>
    <t>Type</t>
  </si>
  <si>
    <t>ScaleSymbols</t>
  </si>
  <si>
    <t>Transparency</t>
  </si>
  <si>
    <t>ClassificationMethod</t>
  </si>
  <si>
    <t>Classes</t>
  </si>
  <si>
    <t>SymbolType</t>
  </si>
  <si>
    <t>SymbolStyle</t>
  </si>
  <si>
    <t>OutlineType</t>
  </si>
  <si>
    <t>OutlineStyle</t>
  </si>
  <si>
    <t>DefaultValueSymbolColor</t>
  </si>
  <si>
    <t>DefaultValueOutlineWidth</t>
  </si>
  <si>
    <t>DefaultValueOutlineColor</t>
  </si>
  <si>
    <t>SymbolColor1</t>
  </si>
  <si>
    <t>OutlineWidth1</t>
  </si>
  <si>
    <t>OutlineColor1</t>
  </si>
  <si>
    <t>SymbolColor2</t>
  </si>
  <si>
    <t>OutlineWidth2</t>
  </si>
  <si>
    <t>OutlineColor2</t>
  </si>
  <si>
    <t>SymbolColor3</t>
  </si>
  <si>
    <t>OutlineWidth3</t>
  </si>
  <si>
    <t>OutlineColor3</t>
  </si>
  <si>
    <t>SymbolColor4</t>
  </si>
  <si>
    <t>OutlineWidth4</t>
  </si>
  <si>
    <t>OutlineColor4</t>
  </si>
  <si>
    <t>SymbolColor5</t>
  </si>
  <si>
    <t>OutlineWidth5</t>
  </si>
  <si>
    <t>OutlineColor5</t>
  </si>
  <si>
    <t>SymbolColor6</t>
  </si>
  <si>
    <t>OutlineWidth6</t>
  </si>
  <si>
    <t>OutlineColor6</t>
  </si>
  <si>
    <t>SymbolColor7</t>
  </si>
  <si>
    <t>OutlineWidth7</t>
  </si>
  <si>
    <t>OutlineColor7</t>
  </si>
  <si>
    <t>SymbolColor8</t>
  </si>
  <si>
    <t>OutlineWidth8</t>
  </si>
  <si>
    <t>OutlineColor8</t>
  </si>
  <si>
    <t>SymbolColor9</t>
  </si>
  <si>
    <t>OutlineWidth9</t>
  </si>
  <si>
    <t>OutlineColor9</t>
  </si>
  <si>
    <t>SymbolColor10</t>
  </si>
  <si>
    <t>OutlineWidth10</t>
  </si>
  <si>
    <t>OutlineColor10</t>
  </si>
  <si>
    <t>classBreaks</t>
  </si>
  <si>
    <t>esriClassifyManual</t>
  </si>
  <si>
    <t>esriSFS</t>
  </si>
  <si>
    <t>esriSFSSolid</t>
  </si>
  <si>
    <t>esriSLS</t>
  </si>
  <si>
    <t>esriSLSSolid</t>
  </si>
  <si>
    <t>#FFFFFF</t>
  </si>
  <si>
    <t>Heat, 25km grid - White - Salmon - Brown - (7 classes)</t>
  </si>
  <si>
    <t>#9A1C1C</t>
  </si>
  <si>
    <t>#FED6C4</t>
  </si>
  <si>
    <t>#67000D</t>
  </si>
  <si>
    <t>#FCA487</t>
  </si>
  <si>
    <t>#FC7050</t>
  </si>
  <si>
    <t>#EB362A</t>
  </si>
  <si>
    <t>#BA1419</t>
  </si>
  <si>
    <t>Heat, MSOA - Blue - Yellow - Brown (7 classes)</t>
  </si>
  <si>
    <t>#004EA8</t>
  </si>
  <si>
    <t>#446589</t>
  </si>
  <si>
    <t>#9EAAD7</t>
  </si>
  <si>
    <t>#CCCCCC</t>
  </si>
  <si>
    <t>#FFFFBE</t>
  </si>
  <si>
    <t>#F5A27A</t>
  </si>
  <si>
    <t>#CD6666</t>
  </si>
  <si>
    <t>#A80000</t>
  </si>
  <si>
    <t>Heat - Yellow - Brown (5 classes)</t>
  </si>
  <si>
    <t>#FFFFFF00</t>
  </si>
  <si>
    <t>#BCBCBC</t>
  </si>
  <si>
    <t>#FFFF80</t>
  </si>
  <si>
    <t>#6B0000</t>
  </si>
  <si>
    <t>#FAD155</t>
  </si>
  <si>
    <t>#F2A72E</t>
  </si>
  <si>
    <t>#AD5313</t>
  </si>
  <si>
    <t>Flood - Orange - Yellow - Purple (5 classes)</t>
  </si>
  <si>
    <t>#FAAA00</t>
  </si>
  <si>
    <t>#704489</t>
  </si>
  <si>
    <t>#FFEBAF</t>
  </si>
  <si>
    <t>#FCFDBF</t>
  </si>
  <si>
    <t>#C29ED7</t>
  </si>
  <si>
    <t>#AA66CD</t>
  </si>
  <si>
    <t>Flood - Red - Yellow - Purple -  (5 classes)</t>
  </si>
  <si>
    <t>#FF5500</t>
  </si>
  <si>
    <t>Flood - Purple - Yellow - Red (7 classes)</t>
  </si>
  <si>
    <t>#3A2448</t>
  </si>
  <si>
    <t>#E60000</t>
  </si>
  <si>
    <t>Flood - Yellow - Brown + MinMax Colours (8 classes)</t>
  </si>
  <si>
    <t>#5E5E5E</t>
  </si>
  <si>
    <t>#BDC8DA</t>
  </si>
  <si>
    <t>#FFFF00</t>
  </si>
  <si>
    <t>#5F0000</t>
  </si>
  <si>
    <t>#FFAA00</t>
  </si>
  <si>
    <t>Heat, 25km grid - Blue - Yellow - Brown (7 classes)</t>
  </si>
  <si>
    <t>White - Salmon - Brown - (6 classes) - Grey Outlines</t>
  </si>
  <si>
    <t>#FEEEE6</t>
  </si>
  <si>
    <t>#6E6E6E</t>
  </si>
  <si>
    <t>#FECCB8</t>
  </si>
  <si>
    <t>#FC8F71</t>
  </si>
  <si>
    <t>#F24D39</t>
  </si>
  <si>
    <t>#C41B1C</t>
  </si>
  <si>
    <t>simple</t>
  </si>
  <si>
    <t>#F3FCD4</t>
  </si>
  <si>
    <t>#734C00</t>
  </si>
  <si>
    <t>#D6DAFC</t>
  </si>
  <si>
    <t>#00A884</t>
  </si>
  <si>
    <t>Flood - Yellow - Brown + MinMax Colours - Dark Outline (8 classes)</t>
  </si>
  <si>
    <t>#380000</t>
  </si>
  <si>
    <t>#940000</t>
  </si>
  <si>
    <t>Flood - Purple - Yellow - Red - Dark Outline (7 classes)</t>
  </si>
  <si>
    <t>Flood Alert Areas</t>
  </si>
  <si>
    <t>#888888</t>
  </si>
  <si>
    <t>#800080</t>
  </si>
  <si>
    <t>Built Up Areas (Great Britain)</t>
  </si>
  <si>
    <t>#D9F7C1B4</t>
  </si>
  <si>
    <t>Heat, LSOA - White - Salmon - Brown - (7 classes)</t>
  </si>
  <si>
    <t>#300006</t>
  </si>
  <si>
    <t>#004DA8</t>
  </si>
  <si>
    <t>#4E4E4E</t>
  </si>
  <si>
    <t>#96007D</t>
  </si>
  <si>
    <t>Built Up Areas (Great Britain) (2)</t>
  </si>
  <si>
    <t>#00A88433</t>
  </si>
  <si>
    <t>UK Wards (2022) (2)</t>
  </si>
  <si>
    <t>LOD</t>
  </si>
  <si>
    <t>Size</t>
  </si>
  <si>
    <t>DefaultValue</t>
  </si>
  <si>
    <t>DefaultValueLabel</t>
  </si>
  <si>
    <t>MinValue</t>
  </si>
  <si>
    <t>ClassMinValue1</t>
  </si>
  <si>
    <t>ClassMaxValue1</t>
  </si>
  <si>
    <t>Label1</t>
  </si>
  <si>
    <t>Description1</t>
  </si>
  <si>
    <t>ClassMinValue2</t>
  </si>
  <si>
    <t>ClassMaxValue2</t>
  </si>
  <si>
    <t>Label2</t>
  </si>
  <si>
    <t>Description2</t>
  </si>
  <si>
    <t>ClassMinValue3</t>
  </si>
  <si>
    <t>ClassMaxValue3</t>
  </si>
  <si>
    <t>Label3</t>
  </si>
  <si>
    <t>Description3</t>
  </si>
  <si>
    <t>ClassMinValue4</t>
  </si>
  <si>
    <t>ClassMaxValue4</t>
  </si>
  <si>
    <t>Label4</t>
  </si>
  <si>
    <t>Description4</t>
  </si>
  <si>
    <t>ClassMinValue5</t>
  </si>
  <si>
    <t>ClassMaxValue5</t>
  </si>
  <si>
    <t>Label5</t>
  </si>
  <si>
    <t>Description5</t>
  </si>
  <si>
    <t>ClassMinValue6</t>
  </si>
  <si>
    <t>ClassMaxValue6</t>
  </si>
  <si>
    <t>Label6</t>
  </si>
  <si>
    <t>Description6</t>
  </si>
  <si>
    <t>ClassMinValue7</t>
  </si>
  <si>
    <t>ClassMaxValue7</t>
  </si>
  <si>
    <t>Label7</t>
  </si>
  <si>
    <t>Description7</t>
  </si>
  <si>
    <t>ClassMinValue8</t>
  </si>
  <si>
    <t>ClassMaxValue8</t>
  </si>
  <si>
    <t>Label8</t>
  </si>
  <si>
    <t>Description8</t>
  </si>
  <si>
    <t>ClassMinValue9</t>
  </si>
  <si>
    <t>ClassMaxValue9</t>
  </si>
  <si>
    <t>Label9</t>
  </si>
  <si>
    <t>Description9</t>
  </si>
  <si>
    <t>ClassMinValue10</t>
  </si>
  <si>
    <t>ClassMaxValue10</t>
  </si>
  <si>
    <t>Label10</t>
  </si>
  <si>
    <t>Description10</t>
  </si>
  <si>
    <t>Dummy Value</t>
  </si>
  <si>
    <t>Dummy label</t>
  </si>
  <si>
    <t>Dummy Label</t>
  </si>
  <si>
    <t>Slight</t>
  </si>
  <si>
    <t>Extremely low</t>
  </si>
  <si>
    <t>Relatively low</t>
  </si>
  <si>
    <t>Average</t>
  </si>
  <si>
    <t>Relatively high</t>
  </si>
  <si>
    <t>Extremely high</t>
  </si>
  <si>
    <t>Acute</t>
  </si>
  <si>
    <t>&gt; 0 – 7.8%</t>
  </si>
  <si>
    <t>&gt; 7.8 – 16.9%</t>
  </si>
  <si>
    <t>&gt; 16.9 – 29.2%</t>
  </si>
  <si>
    <t>&gt; 29.2 – 43.0%</t>
  </si>
  <si>
    <t>&gt; 43 – 68.1%</t>
  </si>
  <si>
    <t>7.5 – 44.5%</t>
  </si>
  <si>
    <t>&gt; 44.5 – 72%</t>
  </si>
  <si>
    <t>&gt; 72 – 89</t>
  </si>
  <si>
    <t>&gt; 72 – 89%</t>
  </si>
  <si>
    <t>&gt; 89 – 97%</t>
  </si>
  <si>
    <t>&gt; 97 – 100%</t>
  </si>
  <si>
    <t>≤ 20%</t>
  </si>
  <si>
    <t>&gt; 20 – 40%</t>
  </si>
  <si>
    <t>&gt; 40 – 60</t>
  </si>
  <si>
    <t>&gt; 40 – 60%</t>
  </si>
  <si>
    <t>&gt; 60 – 80%</t>
  </si>
  <si>
    <t>&gt; 80 – 100%</t>
  </si>
  <si>
    <t>–64.24 – –14.67%</t>
  </si>
  <si>
    <t>–14.66 – –6.81%</t>
  </si>
  <si>
    <t>–6.82 – –0.83%</t>
  </si>
  <si>
    <t>–0.84 – 8.23%</t>
  </si>
  <si>
    <t>8.24 – 143.04%</t>
  </si>
  <si>
    <t>0 – 11.275km</t>
  </si>
  <si>
    <t>&gt; 11.275 – 27.335km</t>
  </si>
  <si>
    <t>&gt; 27.335 – 45.057km</t>
  </si>
  <si>
    <t>&gt; 45.057 – 67.674km</t>
  </si>
  <si>
    <t>&gt; 67.674 – 102.554km</t>
  </si>
  <si>
    <t>0 – 36m</t>
  </si>
  <si>
    <t>&gt; 36 – 73m</t>
  </si>
  <si>
    <t>&gt; 73 – 115m</t>
  </si>
  <si>
    <t>&gt; 115 – 171m</t>
  </si>
  <si>
    <t>&gt; 171 – 364m</t>
  </si>
  <si>
    <t>≤ 1.1%</t>
  </si>
  <si>
    <t>&gt; 1.1 – 3.7%</t>
  </si>
  <si>
    <t>&gt; 3.7 – 7.7</t>
  </si>
  <si>
    <t>&gt; 3.7 – 7.7%</t>
  </si>
  <si>
    <t>&gt; 7.7 – 13.5%</t>
  </si>
  <si>
    <t>&gt; 13.5 – 31.6%</t>
  </si>
  <si>
    <t>0 – 1</t>
  </si>
  <si>
    <t>≥ 5</t>
  </si>
  <si>
    <t>&gt; 83.71 – 87.59%</t>
  </si>
  <si>
    <t>&gt; 87.60 – 89.07%</t>
  </si>
  <si>
    <t>&gt; 89.08 – 90.59%</t>
  </si>
  <si>
    <t>&gt; 90.60 – 92.48%</t>
  </si>
  <si>
    <t>&gt; 92.48 – 97.5%</t>
  </si>
  <si>
    <t>≤ 0.5%</t>
  </si>
  <si>
    <t>&gt; 0.5 – 1.5%</t>
  </si>
  <si>
    <t>&gt; 1.5 – 3.5</t>
  </si>
  <si>
    <t>&gt; 1.5 – 3.5%</t>
  </si>
  <si>
    <t>&gt; 3.5 – 10%</t>
  </si>
  <si>
    <t>&gt; 10 – 63.5%</t>
  </si>
  <si>
    <t>61.12 – 79.56%</t>
  </si>
  <si>
    <t>&gt;79.56 – 85.47%</t>
  </si>
  <si>
    <t>&gt;85.47 – 90.24%</t>
  </si>
  <si>
    <t>&gt;90.24 – 95.23%</t>
  </si>
  <si>
    <t>&gt;95.24 – 99.7%</t>
  </si>
  <si>
    <t>0 – 6.57%</t>
  </si>
  <si>
    <t>&gt; 6.58 – 20.6%</t>
  </si>
  <si>
    <t>&gt; 20.61 – 37.99%</t>
  </si>
  <si>
    <t>&gt; 38 – 59.69%</t>
  </si>
  <si>
    <t>&gt; 59.7 – 100</t>
  </si>
  <si>
    <t>&gt; 59.7 – 100%</t>
  </si>
  <si>
    <t>0 – 10.75%</t>
  </si>
  <si>
    <t>&gt; 10.75 – 33.2%</t>
  </si>
  <si>
    <t>&gt; 33.2 – 58.96%</t>
  </si>
  <si>
    <t>&gt; 58.96 – 84.62%</t>
  </si>
  <si>
    <t>&gt; 84.62 – 100</t>
  </si>
  <si>
    <t>&gt; 84.62 – 100%</t>
  </si>
  <si>
    <t>&gt;84.79 – 91.46%</t>
  </si>
  <si>
    <t>&gt; 84.79 – 91.46%</t>
  </si>
  <si>
    <t>&gt; 91.46 – 94.1%</t>
  </si>
  <si>
    <t>&gt; 94.10 – 96.06%</t>
  </si>
  <si>
    <t>&gt; 96.06 – 97.67%</t>
  </si>
  <si>
    <t>&gt; 97.67 – 99.69%</t>
  </si>
  <si>
    <t>0 – 17.2</t>
  </si>
  <si>
    <t>&gt; 17.21 – 52.69</t>
  </si>
  <si>
    <t>&gt; 52.69 – 121.34</t>
  </si>
  <si>
    <t>&gt; 121.35 – 326.11</t>
  </si>
  <si>
    <t>&gt; 326.11 – 924.62</t>
  </si>
  <si>
    <t>&gt; 0 – 7.4%</t>
  </si>
  <si>
    <t>&gt; 7.4 – 11.5%</t>
  </si>
  <si>
    <t>&gt; 11.5 – 15.6%</t>
  </si>
  <si>
    <t>&gt; 15.6 – 21.2%</t>
  </si>
  <si>
    <t>&gt; 21.2 – 54.4%</t>
  </si>
  <si>
    <t>0 – 10 mins</t>
  </si>
  <si>
    <t>&gt; 10 – 20 mins</t>
  </si>
  <si>
    <t>&gt; 20 – 30 mins</t>
  </si>
  <si>
    <t>&gt; 30 – 60 mins</t>
  </si>
  <si>
    <t>&gt; 60 – 112 mins</t>
  </si>
  <si>
    <t>0 – 5 mins</t>
  </si>
  <si>
    <t>&gt; 5 – 10 mins</t>
  </si>
  <si>
    <t>&gt; 10 – 15 mins</t>
  </si>
  <si>
    <t>&gt; 15 – 20 mins</t>
  </si>
  <si>
    <t>&gt; 60 – 120 mins</t>
  </si>
  <si>
    <t>≤ £340</t>
  </si>
  <si>
    <t>&gt; £340 – £410</t>
  </si>
  <si>
    <t>&gt; £410 – £490</t>
  </si>
  <si>
    <t>&gt; £490 – £640</t>
  </si>
  <si>
    <t>&gt; £640 – £1200</t>
  </si>
  <si>
    <t>&gt; 0 – 1.1%</t>
  </si>
  <si>
    <t>&gt; 1.1 – 3.2%</t>
  </si>
  <si>
    <t>&gt; 3.2 – 6.8%</t>
  </si>
  <si>
    <t>&gt; 6.8 – 14.1%</t>
  </si>
  <si>
    <t>&gt; 14.1 – 36.5%</t>
  </si>
  <si>
    <t>&gt; 0 – 2.1%</t>
  </si>
  <si>
    <t>&gt; 2.1 – 7.5%</t>
  </si>
  <si>
    <t>&gt; 7.5 – 17.2%</t>
  </si>
  <si>
    <t>&gt; 17.2 – 35.3%</t>
  </si>
  <si>
    <t>&gt; 35.3 – 80.7%</t>
  </si>
  <si>
    <t>&gt; 0 – 0.8%</t>
  </si>
  <si>
    <t>&gt; 0.8 – 1.9%</t>
  </si>
  <si>
    <t>&gt; 1.9 – 3.9%</t>
  </si>
  <si>
    <t>&gt; 3.9 – 8%</t>
  </si>
  <si>
    <t>&gt; 8 – 20%</t>
  </si>
  <si>
    <t>&gt; 0 – 5.6%</t>
  </si>
  <si>
    <t>&gt; 5.6 – 8%</t>
  </si>
  <si>
    <t>&gt; 8 – 10.1%</t>
  </si>
  <si>
    <t>&gt; 10.1 – 12.8%</t>
  </si>
  <si>
    <t>&gt; 12.8 – 24.1%</t>
  </si>
  <si>
    <t>&gt; 0– 2.6%</t>
  </si>
  <si>
    <t>&gt; 0 – 2.6%</t>
  </si>
  <si>
    <t>&gt; 2.6 – 5.3%</t>
  </si>
  <si>
    <t>&gt; 5.3 – 8.7%</t>
  </si>
  <si>
    <t>&gt; 8.7 – 13.4%</t>
  </si>
  <si>
    <t>&gt; 13.4 – 42%</t>
  </si>
  <si>
    <t>&gt; 0 – 2.7%</t>
  </si>
  <si>
    <t>&gt; 2.7 – 8.5%</t>
  </si>
  <si>
    <t>&gt; 8.5 – 18.3%</t>
  </si>
  <si>
    <t>&gt;  8.5 – 18.3%</t>
  </si>
  <si>
    <t>&gt; 18.3 – 40%</t>
  </si>
  <si>
    <t>&gt; 40 – 100%</t>
  </si>
  <si>
    <t>&gt; 0 – 1.2%</t>
  </si>
  <si>
    <t>&gt; 1.2 – 3.4%</t>
  </si>
  <si>
    <t>&gt; 3.4 – 6.9%</t>
  </si>
  <si>
    <t>&gt; 6.9 – 12.3%</t>
  </si>
  <si>
    <t>&gt; 12.3 – 35%</t>
  </si>
  <si>
    <t>&gt; 0 – 1.8%</t>
  </si>
  <si>
    <t>&gt; 1.8 – 4.5%</t>
  </si>
  <si>
    <t>&gt; 4.5 – 9.1%</t>
  </si>
  <si>
    <t>&gt; 9.1 – 17%</t>
  </si>
  <si>
    <t>&gt; 17 – 65%</t>
  </si>
  <si>
    <t>&gt; 0 – 14.3%</t>
  </si>
  <si>
    <t>&gt; 14.3 – 25.8%</t>
  </si>
  <si>
    <t>&gt; 25.8 – 38.8%</t>
  </si>
  <si>
    <t>&gt; 38.8 – 54.4%</t>
  </si>
  <si>
    <t>&gt; 54.4 – 94.5%</t>
  </si>
  <si>
    <t>&gt; 0 – 4.6%</t>
  </si>
  <si>
    <t>&gt; 4.6 – 7.6%</t>
  </si>
  <si>
    <t>&gt; 7.6 – 11.2%</t>
  </si>
  <si>
    <t>&gt; 11.2 – 16.3%</t>
  </si>
  <si>
    <t>&gt; 16.3 – 39.9%</t>
  </si>
  <si>
    <t>&gt; 3 – 19.6%</t>
  </si>
  <si>
    <t>&gt; 19.6 – 25.7%</t>
  </si>
  <si>
    <t>&gt; 25.7 – 31.8%</t>
  </si>
  <si>
    <t>&gt; 31.8 – 40%</t>
  </si>
  <si>
    <t>&gt; 40 – 67.4%</t>
  </si>
  <si>
    <t>&gt; 0 – 3.8%</t>
  </si>
  <si>
    <t>&gt; 3.8 – 7.2%</t>
  </si>
  <si>
    <t>&gt; 7.2 – 11.8%</t>
  </si>
  <si>
    <t>&gt; 11.8 – 18.7%</t>
  </si>
  <si>
    <t>&gt; 18.7 – 54.4%</t>
  </si>
  <si>
    <t>&gt; 0.88– 15.4%</t>
  </si>
  <si>
    <t>&gt; 15.4 – 23%</t>
  </si>
  <si>
    <t>&gt; 23 – 30.8%</t>
  </si>
  <si>
    <t>&gt; 30.8 – 39.1%</t>
  </si>
  <si>
    <t>&gt; 39.1 – 59.9%</t>
  </si>
  <si>
    <t>&gt; 0.4 – 3.7%</t>
  </si>
  <si>
    <t>&gt; 3.7 – 6.4%</t>
  </si>
  <si>
    <t>&gt; 6.4 – 10.6%</t>
  </si>
  <si>
    <t>&gt; 10.6 – 19.1%</t>
  </si>
  <si>
    <t>&gt; 19.1 – 39.6%</t>
  </si>
  <si>
    <t>&gt; 0 – 0.9%</t>
  </si>
  <si>
    <t>&gt; 0.9 – 2.7%</t>
  </si>
  <si>
    <t>&gt; 2.7 – 5.2%</t>
  </si>
  <si>
    <t>&gt; 5.2 – 10.1%</t>
  </si>
  <si>
    <t>&gt; 10.1 – 27.6%</t>
  </si>
  <si>
    <t>&gt; 0 – 4.7%</t>
  </si>
  <si>
    <t>&gt; 4.7 – 8%</t>
  </si>
  <si>
    <t>&gt; 8 – 11.5%</t>
  </si>
  <si>
    <t>&gt; 11.5 – 16.8%</t>
  </si>
  <si>
    <t>&gt; 16.8 – 41.8%</t>
  </si>
  <si>
    <t>&gt; 2.2 – 12.3%</t>
  </si>
  <si>
    <t>&gt; 12.3 – 16.9%</t>
  </si>
  <si>
    <t>&gt; 16.9 – 21.5%</t>
  </si>
  <si>
    <t>&gt; 21.5 – 27.2%</t>
  </si>
  <si>
    <t>&gt; 27.2 – 56.9%</t>
  </si>
  <si>
    <t>&gt; 0.35 – 5.7%</t>
  </si>
  <si>
    <t>&gt; 5.7 – 8.5%</t>
  </si>
  <si>
    <t>&gt; 8.5 – 11.6%</t>
  </si>
  <si>
    <t>&gt; 11.6 – 15.8%</t>
  </si>
  <si>
    <t>&gt; 15.8 – 34.1%</t>
  </si>
  <si>
    <t>&gt; 0 – 10.3%</t>
  </si>
  <si>
    <t>&gt; 10.3 – 18.5%</t>
  </si>
  <si>
    <t>&gt; 18.5 – 29.9%</t>
  </si>
  <si>
    <t>&gt; 29.9 – 46.2%</t>
  </si>
  <si>
    <t>&gt; 46.2 – 90.3%</t>
  </si>
  <si>
    <t>&gt; 0 – 2%</t>
  </si>
  <si>
    <t>&gt; 2 – 4%</t>
  </si>
  <si>
    <t>&gt; 4 – 8.4</t>
  </si>
  <si>
    <t>&gt; 4 – 8.4%</t>
  </si>
  <si>
    <t>&gt; 8.4 – 17.1%</t>
  </si>
  <si>
    <t>&gt; 17.1 – 30.8%</t>
  </si>
  <si>
    <t>&gt; 0 – 9.2%</t>
  </si>
  <si>
    <t>&gt; 9.2 – 21.5%</t>
  </si>
  <si>
    <t>&gt; 21.5 – 36.6%</t>
  </si>
  <si>
    <t>&gt; 36.6 – 55%</t>
  </si>
  <si>
    <t>&gt; 55 – 98.4%</t>
  </si>
  <si>
    <t>&gt; 0.2 – 3%</t>
  </si>
  <si>
    <t>&gt; 3 – 4.8%</t>
  </si>
  <si>
    <t>&gt; 4.8 – 7%</t>
  </si>
  <si>
    <t>&gt; 7 – 9.9%</t>
  </si>
  <si>
    <t>&gt; 9.9 – 20.5%</t>
  </si>
  <si>
    <t>&gt; 0.1 – 4.2%</t>
  </si>
  <si>
    <t>&gt; 4.2 – 5.8%</t>
  </si>
  <si>
    <t>&gt; 5.8 – 7.5%</t>
  </si>
  <si>
    <t>&gt; 7.5 – 9.9%</t>
  </si>
  <si>
    <t>&gt; 9.9 – 24.6%</t>
  </si>
  <si>
    <t>Very High</t>
  </si>
  <si>
    <t>High</t>
  </si>
  <si>
    <t>Medium</t>
  </si>
  <si>
    <t>Low</t>
  </si>
  <si>
    <t>Very Low</t>
  </si>
  <si>
    <t>Very high</t>
  </si>
  <si>
    <t>UK Average</t>
  </si>
  <si>
    <t>Very low</t>
  </si>
  <si>
    <t>Exceptionally low</t>
  </si>
  <si>
    <t>Exceptionally high</t>
  </si>
  <si>
    <t>Exposed; SFRI below the UK mean</t>
  </si>
  <si>
    <t>SFRI &lt; UK mean</t>
  </si>
  <si>
    <t>No exposed population</t>
  </si>
  <si>
    <t>Moderate</t>
  </si>
  <si>
    <t>Extreme</t>
  </si>
  <si>
    <t>≤ 11 ℃</t>
  </si>
  <si>
    <t>11 – 13 ℃</t>
  </si>
  <si>
    <t>13 – 15 ℃</t>
  </si>
  <si>
    <t>15 – 17 ℃</t>
  </si>
  <si>
    <t>17 – 19 ℃</t>
  </si>
  <si>
    <t>19 – 21 ℃</t>
  </si>
  <si>
    <t>&gt; 21 ℃</t>
  </si>
  <si>
    <t>≤ 15 ℃</t>
  </si>
  <si>
    <t>15 – 18 ℃</t>
  </si>
  <si>
    <t>18 – 21 ℃</t>
  </si>
  <si>
    <t>21 – 24 ℃</t>
  </si>
  <si>
    <t>24 – 27 ℃</t>
  </si>
  <si>
    <t>27 – 30 ℃</t>
  </si>
  <si>
    <t>&gt; 30 ℃</t>
  </si>
  <si>
    <t>≤ 25 ℃</t>
  </si>
  <si>
    <t>25 – 27 ℃</t>
  </si>
  <si>
    <t>30 – 33 ℃</t>
  </si>
  <si>
    <t>33 – 36 ℃</t>
  </si>
  <si>
    <t>36 – 40 ℃</t>
  </si>
  <si>
    <t>&gt; 40 ℃</t>
  </si>
  <si>
    <t>≤ 21 ℃</t>
  </si>
  <si>
    <t>21 – 23 ℃</t>
  </si>
  <si>
    <t>23 – 25 ℃</t>
  </si>
  <si>
    <t>27 – 29 ℃</t>
  </si>
  <si>
    <t>29 – 31 ℃</t>
  </si>
  <si>
    <t>983 – 1400</t>
  </si>
  <si>
    <t>0 – 1400</t>
  </si>
  <si>
    <t>&gt; 1400 – 1650</t>
  </si>
  <si>
    <t>&gt; 1650 – 1950</t>
  </si>
  <si>
    <t>&gt; 1950 – 2450</t>
  </si>
  <si>
    <t>&gt; 2450 – 8300</t>
  </si>
  <si>
    <t>NoData</t>
  </si>
  <si>
    <t>Not Exposed</t>
  </si>
  <si>
    <t>2 – 180</t>
  </si>
  <si>
    <t>&gt; 180 – 400</t>
  </si>
  <si>
    <t>&gt; 400 – 800</t>
  </si>
  <si>
    <t>&gt; 800 – 1350</t>
  </si>
  <si>
    <t>&gt; 1350 – 3393</t>
  </si>
  <si>
    <t>2 – 250</t>
  </si>
  <si>
    <t>&gt; 250 – 700</t>
  </si>
  <si>
    <t>&gt; 700 – 1200</t>
  </si>
  <si>
    <t>&gt; 1200 – 1700</t>
  </si>
  <si>
    <t>&gt; 1700 – 2756</t>
  </si>
  <si>
    <t>0 – 150</t>
  </si>
  <si>
    <t>&gt; 150 – 310</t>
  </si>
  <si>
    <t>&gt; 310 – 540</t>
  </si>
  <si>
    <t>&gt; 540 – 930</t>
  </si>
  <si>
    <t>&gt; 930 – 2170</t>
  </si>
  <si>
    <t>1007 – 1350</t>
  </si>
  <si>
    <t>0 – 1350</t>
  </si>
  <si>
    <t>&gt; 1350 – 1650</t>
  </si>
  <si>
    <t>&gt; 2450 – 4128</t>
  </si>
  <si>
    <t>0 – 180</t>
  </si>
  <si>
    <t>&gt; 180 –500</t>
  </si>
  <si>
    <t>&gt; 500 – 1000</t>
  </si>
  <si>
    <t>&gt; 1000 – 1550</t>
  </si>
  <si>
    <t>&gt; 1550 – 2648</t>
  </si>
  <si>
    <t>0 – 170</t>
  </si>
  <si>
    <t>&gt; 170 – 550</t>
  </si>
  <si>
    <t>&gt; 550 – 1050</t>
  </si>
  <si>
    <t>&gt; 1050 – 1600</t>
  </si>
  <si>
    <t>&gt; 1600 – 2648</t>
  </si>
  <si>
    <t>2 – 125</t>
  </si>
  <si>
    <t>&gt; 125 – 350</t>
  </si>
  <si>
    <t>&gt; 350 – 675</t>
  </si>
  <si>
    <t>&gt; 675 – 1250</t>
  </si>
  <si>
    <t>&gt; 1250 – 2471</t>
  </si>
  <si>
    <t>&gt; 0.3 – 4.7%</t>
  </si>
  <si>
    <t>&gt; 4.7 – 6.4%</t>
  </si>
  <si>
    <t>&gt; 6.4 – 8.2%</t>
  </si>
  <si>
    <t>&gt; 8.2 – 10.5%</t>
  </si>
  <si>
    <t>&gt; 10.5 – 31.9%</t>
  </si>
  <si>
    <t>&gt; 0.1 – 5.5%</t>
  </si>
  <si>
    <t>&gt; 5.5 – 9.0%</t>
  </si>
  <si>
    <t>&gt; 9.0 – 12.7%</t>
  </si>
  <si>
    <t>&gt; 12.7 – 17.8%</t>
  </si>
  <si>
    <t>&gt; 17.8 – 40.72%</t>
  </si>
  <si>
    <t>&gt; 44 – 100</t>
  </si>
  <si>
    <t>&gt; 100 – 120</t>
  </si>
  <si>
    <t>&gt; 120 – 140</t>
  </si>
  <si>
    <t>&gt; 140 – 170</t>
  </si>
  <si>
    <t>&gt; 170 – 307</t>
  </si>
  <si>
    <t>&gt; 31 – 90</t>
  </si>
  <si>
    <t>&gt; 90 – 120</t>
  </si>
  <si>
    <t>&gt; 120 – 160</t>
  </si>
  <si>
    <t>&gt; 160 – 220</t>
  </si>
  <si>
    <t>&gt; 220 – 406</t>
  </si>
  <si>
    <t>&gt; 0.0 – 1.2</t>
  </si>
  <si>
    <t>&gt; 1.2 – 2.5</t>
  </si>
  <si>
    <t>&gt; 2.5 – 4.2</t>
  </si>
  <si>
    <t>&gt; 4.2 – 6.2</t>
  </si>
  <si>
    <t>&gt; 6.2 – 11.1</t>
  </si>
  <si>
    <t>&gt; 0.00 – 0.08%</t>
  </si>
  <si>
    <t>&gt; 0.08 – 0.14%</t>
  </si>
  <si>
    <t>&gt; 0.14 – 0.22%</t>
  </si>
  <si>
    <t>&gt; 0.22 – 0.31%</t>
  </si>
  <si>
    <t>&gt; 0.31 – 0.61%</t>
  </si>
  <si>
    <t>&gt; 0.00 – 0.06%</t>
  </si>
  <si>
    <t>&gt; 0.06 – 0.11%</t>
  </si>
  <si>
    <t>&gt; 0.11 – 0.17%</t>
  </si>
  <si>
    <t>&gt; 0.17 – 0.25%</t>
  </si>
  <si>
    <t>&gt; 0.25 – 0.54%</t>
  </si>
  <si>
    <t>&gt; 0.00 – 0.10%</t>
  </si>
  <si>
    <t>&gt; 0.10 – 0.19%</t>
  </si>
  <si>
    <t>&gt; 0.19 – 0.30%</t>
  </si>
  <si>
    <t>&gt; 0.30 – 0.45%</t>
  </si>
  <si>
    <t>&gt; 0.45 – 0.99%</t>
  </si>
  <si>
    <t>&gt; 1.3 – 11%</t>
  </si>
  <si>
    <t>&gt; 11 – 19%</t>
  </si>
  <si>
    <t>&gt; 19 – 31%</t>
  </si>
  <si>
    <t>&gt; 31 – 47%</t>
  </si>
  <si>
    <t>&gt; 47 – 90.3%</t>
  </si>
  <si>
    <t>&gt; 0 – 9%</t>
  </si>
  <si>
    <t>&gt; 9 – 20%</t>
  </si>
  <si>
    <t>&gt; 20 – 35%</t>
  </si>
  <si>
    <t>&gt; 35 – 53%</t>
  </si>
  <si>
    <t>&gt; 53 – 93%</t>
  </si>
  <si>
    <t>&gt; 2 – 6%</t>
  </si>
  <si>
    <t>&gt; 6 – 11%</t>
  </si>
  <si>
    <t>&gt; 11 – 20%</t>
  </si>
  <si>
    <t>&gt; 20 – 51%</t>
  </si>
  <si>
    <t>&gt; 0 – 4%</t>
  </si>
  <si>
    <t>&gt; 4 – 14%</t>
  </si>
  <si>
    <t>&gt; 14 – 28%</t>
  </si>
  <si>
    <t>&gt; 28 – 52%</t>
  </si>
  <si>
    <t>&gt; 52 – 100%</t>
  </si>
  <si>
    <t>&gt; 0 – 14%</t>
  </si>
  <si>
    <t>&gt; 14 – 37%</t>
  </si>
  <si>
    <t>&gt; 37 – 63%</t>
  </si>
  <si>
    <t>&gt; 63 – 86%</t>
  </si>
  <si>
    <t>&gt; 86 – 100%</t>
  </si>
  <si>
    <t>&gt; 0.02 – 0.08</t>
  </si>
  <si>
    <t>&gt; 0.08 – 0.11</t>
  </si>
  <si>
    <t>&gt; 0.11 – 0.15</t>
  </si>
  <si>
    <t>&gt; 0.15 – 0.21</t>
  </si>
  <si>
    <t>&gt; 0.21 – 0.55</t>
  </si>
  <si>
    <t>&gt; 0 – 20%</t>
  </si>
  <si>
    <t>&gt; 20 – 50%</t>
  </si>
  <si>
    <t>&gt; 50 – 75%</t>
  </si>
  <si>
    <t>&gt; 75 – 90%</t>
  </si>
  <si>
    <t>&gt; 90 – 100%</t>
  </si>
  <si>
    <t>&gt; 0 – 7%</t>
  </si>
  <si>
    <t>&gt; 7 – 11%</t>
  </si>
  <si>
    <t>&gt; 11 – 15%</t>
  </si>
  <si>
    <t>&gt; 15 – 21%</t>
  </si>
  <si>
    <t>&gt; 21 – 48%</t>
  </si>
  <si>
    <t>&gt; 77 – 87%</t>
  </si>
  <si>
    <t>&gt; 87 – 90%</t>
  </si>
  <si>
    <t>&gt; 90 – 92%</t>
  </si>
  <si>
    <t>&gt; 92 – 94%</t>
  </si>
  <si>
    <t>&gt; 94 – 100%</t>
  </si>
  <si>
    <t>&gt; 0.4 – 15%</t>
  </si>
  <si>
    <t>&gt; 15 – 25%</t>
  </si>
  <si>
    <t>&gt; 25 – 40%</t>
  </si>
  <si>
    <t>&gt; 40 – 55%</t>
  </si>
  <si>
    <t>&gt; 55 – 87%</t>
  </si>
  <si>
    <t>&gt; 3.09 – 15</t>
  </si>
  <si>
    <t>&gt; 15 – 20</t>
  </si>
  <si>
    <t>&gt; 20 – 30</t>
  </si>
  <si>
    <t>&gt; 30 – 50</t>
  </si>
  <si>
    <t>&gt; 50 – 110</t>
  </si>
  <si>
    <t>&gt; 6 – 10</t>
  </si>
  <si>
    <t>&gt; 10 – 12</t>
  </si>
  <si>
    <t>&gt; 12 – 16</t>
  </si>
  <si>
    <t>&gt; 16 – 21</t>
  </si>
  <si>
    <t>&gt; 21 – 88</t>
  </si>
  <si>
    <t>&gt; £2.5k – £200k</t>
  </si>
  <si>
    <t>&gt; £200k – £400k</t>
  </si>
  <si>
    <t>&gt; £400k – £800k</t>
  </si>
  <si>
    <t>&gt; £800k – £1.8M</t>
  </si>
  <si>
    <t>&gt; £1.8M – £5.6M</t>
  </si>
  <si>
    <t>&gt; -11.1 – -0.5</t>
  </si>
  <si>
    <t>&gt; -0.5 – 0.2</t>
  </si>
  <si>
    <t>&gt; 0.2 – 1.2</t>
  </si>
  <si>
    <t>&gt; 1.2 – 2.9</t>
  </si>
  <si>
    <t>&gt; 2.9 – 9.8</t>
  </si>
  <si>
    <t>&gt; 2.9 – 9.8s</t>
  </si>
  <si>
    <t>&gt; 0.05 – 20%</t>
  </si>
  <si>
    <t>&gt; 20 – 45%</t>
  </si>
  <si>
    <t>&gt; 45 – 70%</t>
  </si>
  <si>
    <t>&gt; 70 – 90%</t>
  </si>
  <si>
    <t>&gt; 7 – 15%</t>
  </si>
  <si>
    <t>&gt; 15 – 28%</t>
  </si>
  <si>
    <t>&gt; 50 – 98%</t>
  </si>
  <si>
    <t>&gt; 261 – 500,000 m²</t>
  </si>
  <si>
    <t>&gt; 500,000 – 1,750,000 m²</t>
  </si>
  <si>
    <t>&gt; 1,750,000 – 5,650,000 m²</t>
  </si>
  <si>
    <t>&gt; 1,750,000 – 17,000,000 m²</t>
  </si>
  <si>
    <t>&gt; 17,000,000 – 29,250,000 m²</t>
  </si>
  <si>
    <t>&gt; 2 – 8%</t>
  </si>
  <si>
    <t>&gt; 8 – 18%</t>
  </si>
  <si>
    <t>&gt; 18 – 34%</t>
  </si>
  <si>
    <t>&gt; 34 – 63%</t>
  </si>
  <si>
    <t>&gt; 122 – 300</t>
  </si>
  <si>
    <t>&gt; 300 – 400</t>
  </si>
  <si>
    <t>&gt; 400 – 540</t>
  </si>
  <si>
    <t>&gt; 540 – 740</t>
  </si>
  <si>
    <t>&gt; 740 – 1160</t>
  </si>
  <si>
    <t>&gt; -3.00 – -1.00</t>
  </si>
  <si>
    <t>&gt; -1.00 – -0.30</t>
  </si>
  <si>
    <t>&gt; -0.30 – 0.30</t>
  </si>
  <si>
    <t>&gt; 0.30 – 1.00</t>
  </si>
  <si>
    <t>&gt; 1.00 – 3.10</t>
  </si>
  <si>
    <t>&gt; 0.0 – 1.0</t>
  </si>
  <si>
    <t>&gt; 1.0 – 2.5</t>
  </si>
  <si>
    <t>&gt; 2.5 – 5.0</t>
  </si>
  <si>
    <t>&gt; 5.0 – 9.0</t>
  </si>
  <si>
    <t>&gt; 9.0 – 27.6</t>
  </si>
  <si>
    <t>&gt; 18 – 50</t>
  </si>
  <si>
    <t>&gt; 50 – 60</t>
  </si>
  <si>
    <t>&gt; 60 – 70</t>
  </si>
  <si>
    <t>&gt; 70 – 90</t>
  </si>
  <si>
    <t>&gt; 90 – 185</t>
  </si>
  <si>
    <t>15 – 30 mins</t>
  </si>
  <si>
    <t>31 – 50 mins</t>
  </si>
  <si>
    <t>51 – 90 mins</t>
  </si>
  <si>
    <t>91 – 130 mins</t>
  </si>
  <si>
    <t>131 – 180 mins</t>
  </si>
  <si>
    <t>1 – 5 mins</t>
  </si>
  <si>
    <t>6 – 10 mins</t>
  </si>
  <si>
    <t>11 – 15 mins</t>
  </si>
  <si>
    <t>16 – 25 mins</t>
  </si>
  <si>
    <t>26 – 44 mins</t>
  </si>
  <si>
    <t>&gt; 0 – 11%</t>
  </si>
  <si>
    <t>&gt; 11 – 37%</t>
  </si>
  <si>
    <t>&gt; 37 – 64%</t>
  </si>
  <si>
    <t>&gt; 64 – 89%</t>
  </si>
  <si>
    <t>&gt; 89 – 100%</t>
  </si>
  <si>
    <t>2 – 3</t>
  </si>
  <si>
    <t>4 – 5</t>
  </si>
  <si>
    <t>6 – 7</t>
  </si>
  <si>
    <t>8 – 10</t>
  </si>
  <si>
    <t>8 - 10</t>
  </si>
  <si>
    <t>6 – 8</t>
  </si>
  <si>
    <t>9 – 10</t>
  </si>
  <si>
    <t>&gt; 0 – 250</t>
  </si>
  <si>
    <t>&gt; 250 – 800</t>
  </si>
  <si>
    <t>&gt; 800 – 2750</t>
  </si>
  <si>
    <t>&gt; 2750 – 6150</t>
  </si>
  <si>
    <t>&gt; 6150 – 14050</t>
  </si>
  <si>
    <t>&gt; 2 – 10 mins</t>
  </si>
  <si>
    <t>&gt; 10 – 17 mins</t>
  </si>
  <si>
    <t>&gt; 17 – 29 mins</t>
  </si>
  <si>
    <t>&gt; 29 – 55 mins</t>
  </si>
  <si>
    <t>&gt; 55 – 116 mins</t>
  </si>
  <si>
    <t>&gt; 3 – 27 mins</t>
  </si>
  <si>
    <t>28 – 41 mins</t>
  </si>
  <si>
    <t>42 – 58 mins</t>
  </si>
  <si>
    <t>59 – 84 mins</t>
  </si>
  <si>
    <t>85 – 120 mins</t>
  </si>
  <si>
    <t>6 – 14 mins</t>
  </si>
  <si>
    <t>15 – 20 mins</t>
  </si>
  <si>
    <t>21 – 28 mins</t>
  </si>
  <si>
    <t>29 – 41 mins</t>
  </si>
  <si>
    <t>42 – 120 mins</t>
  </si>
  <si>
    <t>0 – 11%</t>
  </si>
  <si>
    <t>12 – 36%</t>
  </si>
  <si>
    <t>37 – 64%</t>
  </si>
  <si>
    <t>65 – 89%</t>
  </si>
  <si>
    <t>90 – 100%</t>
  </si>
  <si>
    <t>0</t>
  </si>
  <si>
    <t>1</t>
  </si>
  <si>
    <t>2</t>
  </si>
  <si>
    <t>3 – 4</t>
  </si>
  <si>
    <t>5 – 8</t>
  </si>
  <si>
    <t>&gt; 0.01 – 0.06</t>
  </si>
  <si>
    <t>&gt; 0.06 – 0.12</t>
  </si>
  <si>
    <t>&gt; 0.12 – 0.20</t>
  </si>
  <si>
    <t>&gt; 0.20 – 0.32</t>
  </si>
  <si>
    <t>&gt; 0.32 – 0.71</t>
  </si>
  <si>
    <t>≤ 10%</t>
  </si>
  <si>
    <t>&gt; 10 – 26%</t>
  </si>
  <si>
    <t>&gt; 26 – 45%</t>
  </si>
  <si>
    <t>&gt; 45 – 68%</t>
  </si>
  <si>
    <t>&gt; 68 – 100%</t>
  </si>
  <si>
    <t>14 – 30 mins</t>
  </si>
  <si>
    <t>31 – 60 mins</t>
  </si>
  <si>
    <t>61 – 90 mins</t>
  </si>
  <si>
    <t>130 – 177 mins</t>
  </si>
  <si>
    <t>1 – 4 mins</t>
  </si>
  <si>
    <t>4 – 7 mins</t>
  </si>
  <si>
    <t>7 – 12 mins</t>
  </si>
  <si>
    <t>12 – 20 mins</t>
  </si>
  <si>
    <t>20 – 34 mins</t>
  </si>
  <si>
    <t>&gt; 0.77 –10 km</t>
  </si>
  <si>
    <t>&gt; 0.77 – 10 km</t>
  </si>
  <si>
    <t>&gt; 10 – 15 km</t>
  </si>
  <si>
    <t>&gt; 15 – 25 km</t>
  </si>
  <si>
    <t>&gt; 25 – 40 km</t>
  </si>
  <si>
    <t>&gt; 40 – 70 km</t>
  </si>
  <si>
    <t>&gt; 2 – 150</t>
  </si>
  <si>
    <t>&gt; 150 – 350</t>
  </si>
  <si>
    <t>&gt; 300 – 700</t>
  </si>
  <si>
    <t>&gt; 700 – 1250</t>
  </si>
  <si>
    <t>&gt; 1250 – 3360</t>
  </si>
  <si>
    <t>&gt; -34 – -20</t>
  </si>
  <si>
    <t>&gt; -20 – -10</t>
  </si>
  <si>
    <t>&gt; -10 – -4</t>
  </si>
  <si>
    <t>&gt; -4 – -1</t>
  </si>
  <si>
    <t>&gt; -1 – 0.12</t>
  </si>
  <si>
    <t>&gt; 0.1 – 1.5 km</t>
  </si>
  <si>
    <t>&gt; 1.5 – 3.5 km</t>
  </si>
  <si>
    <t>&gt; 3.5 – 7.5 km</t>
  </si>
  <si>
    <t>&gt; 7.5 – 32.0 km</t>
  </si>
  <si>
    <t>&gt; 32.0 – 66.8 km</t>
  </si>
  <si>
    <t>&gt; 28 – 50%</t>
  </si>
  <si>
    <t>&gt; 18 – 22 °C</t>
  </si>
  <si>
    <t>&gt; 22 – 23 °C</t>
  </si>
  <si>
    <t>&gt; 23 – 24 °C</t>
  </si>
  <si>
    <t>&gt; 24 – 26 °C</t>
  </si>
  <si>
    <t>&gt; 26 – 28 °C</t>
  </si>
  <si>
    <t>&gt; 19 – 23 °C</t>
  </si>
  <si>
    <t>&gt; 26 – 27 °C</t>
  </si>
  <si>
    <t>&gt; 27 – 29 °C</t>
  </si>
  <si>
    <t>&gt; 23 – 25 °C</t>
  </si>
  <si>
    <t>&gt; 25 – 26 °C</t>
  </si>
  <si>
    <t>&gt; 28 – 30 °C</t>
  </si>
  <si>
    <t>&gt; 21 – 25 °C</t>
  </si>
  <si>
    <t>&gt; 25 – 27 °C</t>
  </si>
  <si>
    <t>&gt; 27 – 28 °C</t>
  </si>
  <si>
    <t>&gt; 30 – 32 °C</t>
  </si>
  <si>
    <t>≤ -53%</t>
  </si>
  <si>
    <t>&gt; -53 – 1.3%</t>
  </si>
  <si>
    <t>&gt; 1.3 – 9.2%</t>
  </si>
  <si>
    <t>&gt; 9.2 – 26.5%</t>
  </si>
  <si>
    <t>&gt; 26.5 – 54.4</t>
  </si>
  <si>
    <t>&gt; 20 – 44%</t>
  </si>
  <si>
    <t>&gt; 44 – 66%</t>
  </si>
  <si>
    <t>&gt; 66 – 87%</t>
  </si>
  <si>
    <t>&gt; 87 – 100%</t>
  </si>
  <si>
    <t>&gt; 0 – 75</t>
  </si>
  <si>
    <t>&gt; 75 – 220</t>
  </si>
  <si>
    <t>&gt; 220 – 510</t>
  </si>
  <si>
    <t>&gt; 510 – 1110</t>
  </si>
  <si>
    <t>&gt; 1110 – 3918</t>
  </si>
  <si>
    <t>&gt; 0.15 – 4%</t>
  </si>
  <si>
    <t>&gt; 4 – 6%</t>
  </si>
  <si>
    <t>&gt; 6 – 7%</t>
  </si>
  <si>
    <t>&gt; 7 – 9%</t>
  </si>
  <si>
    <t>&gt; 9 – 15%</t>
  </si>
  <si>
    <t>&gt; 0.5 – 6%</t>
  </si>
  <si>
    <t>&gt; 6 – 9%</t>
  </si>
  <si>
    <t>&gt; 9 – 13%</t>
  </si>
  <si>
    <t>&gt; 13 – 18%</t>
  </si>
  <si>
    <t>&gt; 18 – 27%</t>
  </si>
  <si>
    <t>&gt; 4.7 – 12.0</t>
  </si>
  <si>
    <t>&gt; 12.0 – 14.0</t>
  </si>
  <si>
    <t>&gt; 14.0 – 17.0</t>
  </si>
  <si>
    <t>&gt; 17.0 – 20.0</t>
  </si>
  <si>
    <t>&gt; 20.0 – 26.4</t>
  </si>
  <si>
    <t>&gt; 5.4 – 18.0</t>
  </si>
  <si>
    <t>&gt; 5.1 – 18.0</t>
  </si>
  <si>
    <t>&gt; 18.0 – 22.0</t>
  </si>
  <si>
    <t>&gt; 22.0 – 27.0</t>
  </si>
  <si>
    <t>&gt; 27.0 – 32.0</t>
  </si>
  <si>
    <t>&gt; 32.0 – 46.4</t>
  </si>
  <si>
    <t>&gt; 0 – 0.8</t>
  </si>
  <si>
    <t>&gt; 0.8 – 2.2</t>
  </si>
  <si>
    <t>&gt; 2.2 – 4.0</t>
  </si>
  <si>
    <t>&gt; 4.0 – 7.0</t>
  </si>
  <si>
    <t>&gt; 7.0 – 17.3</t>
  </si>
  <si>
    <t>&gt; 1 – 6%</t>
  </si>
  <si>
    <t>&gt; 6 – 10%</t>
  </si>
  <si>
    <t>&gt; 10 – 15%</t>
  </si>
  <si>
    <t>&gt; 21 – 43%</t>
  </si>
  <si>
    <t>&gt; 1 – 9%</t>
  </si>
  <si>
    <t>&gt; 15 – 22%</t>
  </si>
  <si>
    <t>&gt; 22 – 32%</t>
  </si>
  <si>
    <t>&gt; 32 – 61%</t>
  </si>
  <si>
    <t>&gt; 0.02 – 0.12%</t>
  </si>
  <si>
    <t>&gt; 0.12 – 0.20%</t>
  </si>
  <si>
    <t>&gt; 0.20 – 0.30%</t>
  </si>
  <si>
    <t>&gt; 0.30 – 0.40%</t>
  </si>
  <si>
    <t>&gt; 0.40 – 0.74%</t>
  </si>
  <si>
    <t>&gt; 0.9 – 11%</t>
  </si>
  <si>
    <t>&gt; 20 – 33%</t>
  </si>
  <si>
    <t>&gt; 33 – 53%</t>
  </si>
  <si>
    <t>&gt; 53 – 83%</t>
  </si>
  <si>
    <t>&gt; 0 – 8%</t>
  </si>
  <si>
    <t>&gt; 8 – 19%</t>
  </si>
  <si>
    <t>&gt; 19 – 32%</t>
  </si>
  <si>
    <t>&gt; 32 – 48%</t>
  </si>
  <si>
    <t>&gt; 48 – 96%</t>
  </si>
  <si>
    <t>&gt; 0 – 0.6%</t>
  </si>
  <si>
    <t>&gt; 0.6 – 1.9%</t>
  </si>
  <si>
    <t>&gt; 3.9 – 7.1%</t>
  </si>
  <si>
    <t>&gt; 7.1 – 13.7%</t>
  </si>
  <si>
    <t>&gt; 4 – 13%</t>
  </si>
  <si>
    <t>&gt; 13 – 27%</t>
  </si>
  <si>
    <t>&gt; 27 – 45%</t>
  </si>
  <si>
    <t>&gt; 45 – 76%</t>
  </si>
  <si>
    <t>&gt; 11 – 30%</t>
  </si>
  <si>
    <t>&gt; 30 – 55%</t>
  </si>
  <si>
    <t>&gt; 55 – 82%</t>
  </si>
  <si>
    <t>&gt; 82 – 100%</t>
  </si>
  <si>
    <t>&gt; 0.03 – 0.07</t>
  </si>
  <si>
    <t>&gt; 0.07 – 0.10</t>
  </si>
  <si>
    <t>&gt; 0.1 – 0.14</t>
  </si>
  <si>
    <t>&gt; 0.14 – 0.24</t>
  </si>
  <si>
    <t>&gt; 0.24 – 0.43</t>
  </si>
  <si>
    <t>&gt; -17.3 – -10.8</t>
  </si>
  <si>
    <t>&gt; -10.8 – -5.2</t>
  </si>
  <si>
    <t>&gt; 10.5 – -5.2</t>
  </si>
  <si>
    <t>&gt; -5.2 – -2.7</t>
  </si>
  <si>
    <t>&gt; 5.2 – -2.7</t>
  </si>
  <si>
    <t>&gt; -2.7 – -0.5</t>
  </si>
  <si>
    <t>&gt; -0.5 – 0.21</t>
  </si>
  <si>
    <t>&gt; 50 – 80%</t>
  </si>
  <si>
    <t>&gt; 80 – 90%</t>
  </si>
  <si>
    <t>&gt; 13 – 17%</t>
  </si>
  <si>
    <t>&gt; 17 – 21%</t>
  </si>
  <si>
    <t>&gt; 21 – 32%</t>
  </si>
  <si>
    <t>&gt; 83 – 89%</t>
  </si>
  <si>
    <t>&gt; 89 – 91%</t>
  </si>
  <si>
    <t>&gt; 91 – 92%</t>
  </si>
  <si>
    <t>&gt; 92 – 95%</t>
  </si>
  <si>
    <t>&gt; 95 – 100%</t>
  </si>
  <si>
    <t>&gt; 1.5 – 13.3%</t>
  </si>
  <si>
    <t>&gt; 13.3 – 22.5%</t>
  </si>
  <si>
    <t>&gt; 22.5 – 32.2%</t>
  </si>
  <si>
    <t>&gt;22.5 – 32.2%</t>
  </si>
  <si>
    <t>&gt; 32.2 – 43.4%</t>
  </si>
  <si>
    <t>&gt; 43.4 – 74.8%</t>
  </si>
  <si>
    <t>&gt; 0 – 11</t>
  </si>
  <si>
    <t>&gt; 11 – 25</t>
  </si>
  <si>
    <t>&gt; 25 – 42</t>
  </si>
  <si>
    <t>&gt; 42 – 65</t>
  </si>
  <si>
    <t>&gt; 65 – 100</t>
  </si>
  <si>
    <t>&gt; £4.5k – £92k</t>
  </si>
  <si>
    <t>&gt; £92k – £140k</t>
  </si>
  <si>
    <t>&gt; £140k – £198k</t>
  </si>
  <si>
    <t>&gt; £198k – £286k</t>
  </si>
  <si>
    <t>&gt; £286k – £481k</t>
  </si>
  <si>
    <t>&gt; 0.08 – 15%</t>
  </si>
  <si>
    <t>&gt; 15 – 35%</t>
  </si>
  <si>
    <t>&gt; 35 – 60%</t>
  </si>
  <si>
    <t>&gt; 60 – 85%</t>
  </si>
  <si>
    <t>&gt; 85 – 100%</t>
  </si>
  <si>
    <t>&gt; 0 – 6%</t>
  </si>
  <si>
    <t>&gt; 6 – 13%</t>
  </si>
  <si>
    <t>&gt; 13 – 24%</t>
  </si>
  <si>
    <t>&gt; 24 – 48%</t>
  </si>
  <si>
    <t>&gt; 48 – 82%</t>
  </si>
  <si>
    <t>&gt; 200 – 320,000 m²</t>
  </si>
  <si>
    <t>&gt; 320,000 – 870,000 m²</t>
  </si>
  <si>
    <t>&gt; 870,000 – 1,650,000 m²</t>
  </si>
  <si>
    <t>&gt; 1,650,000 – 3,230,000 m²</t>
  </si>
  <si>
    <t>&gt; 3,230,000 – 8,630,000 m²</t>
  </si>
  <si>
    <t>&gt; 0 – 1%</t>
  </si>
  <si>
    <t>&gt; 1 – 3%</t>
  </si>
  <si>
    <t>&gt; 3 – 8%</t>
  </si>
  <si>
    <t>&gt; 19 – 29%</t>
  </si>
  <si>
    <t>&gt; 18 – 20 °C</t>
  </si>
  <si>
    <t>&gt; 20 – 22 °C</t>
  </si>
  <si>
    <t>&gt; 19 – 21 °C</t>
  </si>
  <si>
    <t>&gt; 21 – 23 °C</t>
  </si>
  <si>
    <t>&gt; 22 – 24 °C</t>
  </si>
  <si>
    <t>&gt; 24 – 25 °C</t>
  </si>
  <si>
    <t>&gt; 21 – 24 °C</t>
  </si>
  <si>
    <t>&gt; -1.73 – -0.63</t>
  </si>
  <si>
    <t>&gt; -0.63 – 0.10</t>
  </si>
  <si>
    <t>&gt; 0.10 – 1.03</t>
  </si>
  <si>
    <t>&gt; 1.03 – 2.47</t>
  </si>
  <si>
    <t>&gt; 2.47 – 5.14</t>
  </si>
  <si>
    <t>&gt; -2.33 – -0.76</t>
  </si>
  <si>
    <t>&gt; -0.76 – -0.02</t>
  </si>
  <si>
    <t>&gt; -0.02 – 0.83</t>
  </si>
  <si>
    <t>&gt; 0.83 – 2.17</t>
  </si>
  <si>
    <t>&gt; 2.17 – 6.00</t>
  </si>
  <si>
    <t>&gt; -1.87 – -0.54</t>
  </si>
  <si>
    <t>&gt; -0.54 – 0.03</t>
  </si>
  <si>
    <t>&gt; 0.03 – 0.62</t>
  </si>
  <si>
    <t>&gt; 0.62 – 1.53</t>
  </si>
  <si>
    <t>&gt; 1.53 – 4.10</t>
  </si>
  <si>
    <t>≥ 0 – 4%</t>
  </si>
  <si>
    <t>&gt; 13 – 26%</t>
  </si>
  <si>
    <t>0 – 50</t>
  </si>
  <si>
    <t>51 – 130</t>
  </si>
  <si>
    <t>131 – 350</t>
  </si>
  <si>
    <t>351 – 800</t>
  </si>
  <si>
    <t>801 – 1260</t>
  </si>
  <si>
    <t>≥ -34.01 – -20</t>
  </si>
  <si>
    <t>&gt; -20 – -9.8</t>
  </si>
  <si>
    <t>&gt; -9.8 – -4</t>
  </si>
  <si>
    <t>&gt; -4 – -0.9</t>
  </si>
  <si>
    <t>&gt; -0.9 – 0.12</t>
  </si>
  <si>
    <t>≥ -34.01 – -20%</t>
  </si>
  <si>
    <t>&gt; -20 – -9.8%</t>
  </si>
  <si>
    <t>&gt; -9.8 – -4%</t>
  </si>
  <si>
    <t>&gt; -4 – -0.9%</t>
  </si>
  <si>
    <t>&gt; -0.9 – 0.12%</t>
  </si>
  <si>
    <t>≥ -3.045 – -1</t>
  </si>
  <si>
    <t>&gt; -1 – -0.3</t>
  </si>
  <si>
    <t>&gt; -0.3 – 0.3</t>
  </si>
  <si>
    <t>&gt; 0.3 – 1</t>
  </si>
  <si>
    <t>&gt; 1 – 3.1</t>
  </si>
  <si>
    <t>InfoId</t>
  </si>
  <si>
    <t>Title</t>
  </si>
  <si>
    <t>InfoContent</t>
  </si>
  <si>
    <t>Neighbourhood Flood Vulnerability Index (NFVI)</t>
  </si>
  <si>
    <t>&lt;div class="body-1"&gt;&lt;p&gt;The new Neighbourhood Flood Vulnerability Index (NFVI) provides insight into the social vulnerability of a neighbourhood should a flood occur. The NFVI combines five &lt;b&gt; &lt;i&gt;characteristics&lt;/i&gt; &lt;/b&gt; of vulnerability:&lt;/p&gt;&lt;ul&gt;&lt;li style="margin: 0.7rem 0rem;"&gt; &lt;b&gt;Susceptibility&lt;/b&gt; - describing the predisposition of an individual to experience a loss of well-being when exposed to a flood. It is widely evidenced that the dominant characteristics that influence susceptibility to harm relate to the age (the old and very young) and health of the individuals exposed.&lt;/li&gt;&lt;li style="margin: 0.7rem 0rem;"&gt; &lt;b&gt;Ability to prepare&lt;/b&gt; - reflecting the actions taken by an individual during normal conditions (i.e. in the absence of a forecast or actual flood) that are likely to reduce the harm they suffer when a future flood occurs. Although an area of continued research, an individual’s ability to prepare is influenced by their income, capacity to act, local knowledge and property tenure.&lt;/li&gt;&lt;li style="margin: 0.7rem 0rem;"&gt; &lt;b&gt;Ability to respond&lt;/b&gt; – reflecting the underlying reasons why some individuals act more effectively in the run up to and during a flood. Although this is an area of continued research, there is broad agreement that an individual’s ability to respond is influenced by their income, capacity to access and use formal and informal information, local knowledge and physical mobility.&lt;/li&gt;&lt;li style="margin: 0.7rem 0rem;"&gt; &lt;b&gt;Ability to recover&lt;/b&gt; – reflecting the degree to which an individual can aid their own recovery is influenced by several factors, particularly their income, capacity to use information, and physical mobility. Many flood events have highlighted the length of time it can take for individuals and communities to recover from a flood.&lt;/li&gt;&lt;li style="margin: 0.7rem 0rem;"&gt; &lt;b&gt;Community support&lt;/b&gt; – recognising how the availability and quality of services provided by health and emergency services as well as broader care and social services influence the severity of harm caused by a flood . A formal representation of community cohesion and its influence on flood vulnerability is not available. However, the following are considered to gauge the nature of this support: housing characteristics; the collective experience of past floods; the likely availability of community services in a flood (including emergency service provides, schools, GPs, care homes); and the social networks that exist.&lt;/li&gt;&lt;/ul&gt;&lt;p&gt;The map tool contains maps for each of the above characteristics. The characteristics layers are made up of indicators like Age and Health (which are mapped separately) and a series of supporting variables, each of which has its own information sheet.&lt;/p&gt;&lt;p&gt;Map categories are given according to scores in the index with Acute indicating areas where social vulnerability is highest in a UK context: Acute, Very High, Relatively High; Average (UK mean); Relatively Low, Very Low and Slight. See the technical guide for more information.&lt;/p&gt;&lt;p class="text-h6 font-weight-bold mt-4"&gt;References&lt;/p&gt;&lt;p&gt;&lt;a href="http://www.sayersandpartners.co.uk/uploads/6/2/0/9/6209349/sayers_2017_-_present_and_future_flood_vulnerability_risk_and_disadvantage_-_final_report_-_uploaded_05june2017_printed_-_high_quality.pdf" target="_blank"&gt;[1]&lt;/a&gt; Sayers, P.B., Horritt, M., Penning Rowsell, E., and Fieth, J. (2017). Present and future flood vulnerability, risk and disadvantage: A UK scale assessment. A report for the Joseph Rowntree Foundation published by Sayers and Partners LLP.&lt;/p&gt;&lt;/div&gt;&lt;/div&gt;</t>
  </si>
  <si>
    <t>&lt;div class="body-1"&gt;&lt;table class="infoBoxTable"&gt;&lt;tbody&gt;&lt;tr&gt;&lt;td class="infoBoxTableCell"&gt;&lt;p&gt;&lt;strong&gt;Item&lt;/strong&gt;&lt;/p&gt;&lt;/td&gt;&lt;td class="infoBoxTableCell"&gt;&lt;p&gt;&lt;strong&gt;Description&lt;/strong&gt;&lt;/p&gt;&lt;/td&gt;&lt;/tr&gt;&lt;tr&gt;&lt;td class="infoBoxTableCell"&gt;Reference&lt;/td&gt;&lt;td class="infoBoxTableCell"&gt;S1&lt;/td&gt;&lt;/tr&gt;&lt;tr&gt;&lt;td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class="infoBoxTableCell"&gt;&lt;p&gt;Sensitivity&lt;/p&gt;&lt;/td&gt;&lt;/tr&gt;&lt;tr&gt;&lt;td class="infoBoxTableCell"&gt;&lt;p&gt;Domain&lt;/p&gt;&lt;/td&gt;&lt;td class="infoBoxTableCell"&gt;&lt;p&gt;Age&lt;/p&gt;&lt;/td&gt;&lt;/tr&gt;&lt;tr&gt;&lt;td class="infoBoxTableCell"&gt;&lt;p&gt;Indicator&lt;/p&gt;&lt;/td&gt;&lt;td class="infoBoxTableCell"&gt;&lt;p&gt;&lt;b&gt;Young children (% people under 5 years)&lt;/b&gt;&lt;/p&gt;&lt;/td&gt;&lt;/tr&gt;&lt;tr&gt;&lt;td class="infoBoxTableCell"&gt;&lt;p&gt;Assumption&lt;/p&gt;&lt;/td&gt;&lt;td class="infoBoxTableCell"&gt;&lt;p&gt;Higher proportions of children under 5 in an area indicate a higher vulnerability.&lt;/p&gt;&lt;/td&gt;&lt;/tr&gt;&lt;tr&gt;&lt;td class="infoBoxTableCell"&gt;Confidence level&lt;/td&gt;&lt;td class="infoBoxTableCell"&gt;High&lt;/td&gt;&lt;/tr&gt;&lt;tr&gt;&lt;td class="infoBoxTableCell"&gt;&lt;p&gt;Guidance for the use of this indicator&lt;/p&gt;&lt;/td&gt;&lt;td class="infoBoxTableCell"&gt;&lt;p&gt;This indicator shows areas which have an above average proportion of young children in the population and therefore where the population is more sensitive to the impacts of both flood and heat-related hazards. Young children can be affected anywhere that floods and high temperatures occur. However, there is a case for particular targeting of areas: where there are more children exposed; where the characteristics of areas increase exposure; or where children have other characteristics affecting sensitivity or exposure, such as ill-health or disabilities. General advice and guidance can also be delivered through pre-schooling, nurseries and doctor’s surgeries to reach parents, carers and, using appropriate means, children themselves. Advice needs to recognise both that there is a higher chance of being affected and also that children are less able to adapt their own behaviour and so may not recognise the dangers of hot temperatures or flood waters. Additional, more refined, data on children, their relative sensitivities and other characteristics which tend to make them more or less vulnerable may be available at the local level. Also consider data available in the SHAPE and Public Health Outcomes Framework tools.&lt;/p&gt;&lt;/td&gt;&lt;/tr&gt;&lt;tr&gt;&lt;td class="infoBoxTableCell"&gt;&lt;p&gt;Data Source and Acknowledgements&lt;/p&gt;&lt;/td&gt;&lt;td class="infoBoxTableCell"&gt;&lt;p&gt;&lt;i&gt;Please note that mapped data are at LSOA level though data in the tool are MSOA level. A full explanation of the data at LSOA level is available for the flood layers for the Neighbourhood Flood Vulnerability Index (NFVI)&lt;/i&gt;&lt;/p&gt;&lt;p&gt;Census 2011, KS102, % 0-4 years.&lt;/p&gt;&lt;p&gt;Office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href="http://edina.ac.uk/census" target="_blank"&gt;http://edina.ac.uk/census&lt;/a&gt;.&lt;/p&gt;&lt;/td&gt;&lt;/tr&gt;&lt;/tbody&gt;&lt;/table&gt;&lt;/div&gt;</t>
  </si>
  <si>
    <t xml:space="preserve">Older people (% people over 75 years) </t>
  </si>
  <si>
    <t>&lt;div class="body-1"&gt;&lt;table class="infoBoxTable"&gt;&lt;tbody&gt;&lt;tr&gt;&lt;td class="infoBoxTableCell"&gt;&lt;p&gt;&lt;strong&gt;Item&lt;/strong&gt;&lt;/p&gt;&lt;/td&gt;&lt;td class="infoBoxTableCell"&gt;&lt;p&gt;&lt;strong&gt;Description&lt;/strong&gt;&lt;/p&gt;&lt;/td&gt;&lt;/tr&gt;&lt;tr&gt;&lt;td class="infoBoxTableCell"&gt;Reference&lt;/td&gt;&lt;td class="infoBoxTableCell"&gt;S3&lt;/td&gt;&lt;/tr&gt;&lt;tr&gt;&lt;td class="infoBoxTableCell"&gt;Theme&lt;/td&gt;&lt;td class="infoBoxTableCell"&gt;Vulnerability&lt;/td&gt;&lt;/tr&gt;&lt;tr&gt;&lt;td class="infoBoxTableCell"&gt;Hazard reference&lt;/td&gt;&lt;td class="infoBoxTableCell"&gt;Flood &amp; Heat&lt;/td&gt;&lt;/tr&gt;&lt;tr&gt;&lt;td class="infoBoxTableCell"&gt;Dimension&lt;/td&gt;&lt;td class="infoBoxTableCell"&gt;Sensitivity&lt;/td&gt;&lt;/tr&gt;&lt;tr&gt;&lt;td class="infoBoxTableCell"&gt;Domain&lt;/td&gt;&lt;td class="infoBoxTableCell"&gt;Age&lt;/td&gt;&lt;/tr&gt;&lt;tr&gt;&lt;td class="infoBoxTableCell"&gt;Indicator&lt;/td&gt;&lt;td class="infoBoxTableCell"&gt;&lt;strong&gt;Older people (% people over 75 years)&lt;/strong&gt;&lt;/td&gt;&lt;/tr&gt;&lt;tr&gt;&lt;td class="infoBoxTableCell"&gt;Assumption&lt;/td&gt;&lt;td class="infoBoxTableCell"&gt;Higher proportions of people over 75 in an area indicate a higher vulnerability.&lt;/td&gt;&lt;/tr&gt;&lt;tr&gt;&lt;td class="infoBoxTableCell"&gt;Confidence level&lt;/td&gt;&lt;td class="infoBoxTableCell"&gt;High&lt;/td&gt;&lt;/tr&gt;&lt;tr&gt;&lt;td class="infoBoxTableCell"&gt;Guidance for the use of this indicator&lt;/td&gt;&lt;td class="infoBoxTableCell"&gt;Adaptation needs to address the specific challenges associated with places with a high density of older people (as is measured by this indicator) and also places where there may be fewer older people but where they may be socially or physically isolated, perhaps within areas which otherwise have low social vulnerability. Responses in places with high concentrations of older people may differ from those in places with low concentrations, for example, if there are more community organisations, facilities and networks in such areas to support action. These may be used to disseminate good practice and promote appropriate self-help alongside responses delivered through social services. Government guidance is available to specifically target this group, e.g. as part of the heatwave and cold weather plans. Adaptation needs to take account of the growing trend towards further concentrations of older populations in the future. Additional, more refined, data on older people, their relative sensitivities and other characteristics which tend to make them more or less vulnerable may be available at the local level. Also consider data available in the SHAPE and Public Health Outcomes Framework tools. See the separate message on older people for more evidence and possible responses.&lt;/td&gt;&lt;/tr&gt;&lt;tr&gt;&lt;td class="infoBoxTableCell"&gt;Data Source&lt;/td&gt;&lt;td class="infoBoxTableCell"&gt;&lt;p&gt;&lt;i&gt;Please note that mapped data are at LSOA level though data in the tool are MSOA level. A full explanation of the data at LSOA level is available for the flood layers for the Neighbourhood Flood Vulnerability Index (NFVI)&lt;/i&gt;&lt;/p&gt;&lt;p&gt;Census, 2011, KS102, % 75 yrs and older&lt;/p&gt;&lt;p&gt;Office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target="_blank"&gt;http://www.nationalarchives.gov.uk/doc/open-government-licence/version/2 ]&lt;/a&gt;.&lt;/p&gt;&lt;p&gt;Office for National Statistics, 2011 Census: Digitised Boundary Data (England and Wales) [computer file]. UK Data Service Census Support. Downloaded from: &lt;a href="http://edina.ac.uk/census" target="_blank"&gt;http://edina.ac.uk/census&lt;/a&gt;.&lt;/p&gt;&lt;/td&gt;&lt;/tr&gt;&lt;/tbody&gt;&lt;/table&gt;&lt;/div&gt;</t>
  </si>
  <si>
    <t>&lt;div class="body-1"&gt;&lt;table class="infoBoxTable"&gt;&lt;tbody&gt;&lt;tr&gt;&lt;td class="infoBoxTableCell"&gt;&lt;p&gt;&lt;strong&gt;Item&lt;/strong&gt;&lt;/p&gt;&lt;/td&gt;&lt;td class="infoBoxTableCell"&gt;&lt;p&gt;&lt;strong&gt;Description&lt;/strong&gt;&lt;/p&gt;&lt;/td&gt;&lt;/tr&gt;&lt;tr&gt;&lt;td class="infoBoxTableCell"&gt;Reference&lt;/td&gt;&lt;td class="infoBoxTableCell"&gt;S4&lt;/td&gt;&lt;/tr&gt;&lt;tr&gt;&lt;td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class="infoBoxTableCell"&gt;Dimension&lt;/td&gt;&lt;td class="infoBoxTableCell"&gt;Sensitivity&lt;/td&gt;&lt;/tr&gt;&lt;tr&gt;&lt;td class="infoBoxTableCell"&gt;Domain&lt;/td&gt;&lt;td class="infoBoxTableCell"&gt;Health&lt;/td&gt;&lt;/tr&gt;&lt;tr&gt;&lt;td class="infoBoxTableCell"&gt;Indicator&lt;/td&gt;&lt;td class="infoBoxTableCell"&gt;&lt;b&gt;Disability / people in ill- health (% people whose day- to-day activities are limited)&lt;/b&gt;&lt;/td&gt;&lt;/tr&gt;&lt;tr&gt;&lt;td class="infoBoxTableCell"&gt;Assumption&lt;/td&gt;&lt;td class="infoBoxTableCell"&gt;Higher proportions of people in poor health in an area indicate a higher vulnerability. The long-term sick are more vulnerable to the impacts of a flood as the experience can make their pre-existing condition worse either as a one-off 'hit', or due to accelerating its adverse trajectory.&lt;/td&gt;&lt;/tr&gt;&lt;tr&gt;&lt;td class="infoBoxTableCell"&gt;Confidence level&lt;/td&gt;&lt;td class="infoBoxTableCell"&gt;High&lt;/td&gt;&lt;/tr&gt;&lt;tr&gt;&lt;td class="infoBoxTableCell"&gt;&lt;p&gt;Guidance for the use of this indicator&lt;/p&gt;&lt;/td&gt;&lt;td class="infoBoxTableCell"&gt;Adaptation needs to address the specific challenges associated with places with a high density of people in ill-health (as is measured by this indicator) and also places where there may be fewer people in ill-health but where they may be socially or physically isolated, perhaps within areas which otherwise have low social vulnerability. Responses may need to be targeted differently to take account of this, working with existing health and social care service providers and also voluntary and community sector organisations who may support these groups. More information about this indicator is available in the ill-health message in the main portal, including actions which can be taken to respond. Additional, more refined, health data may be available at the local level, as well as from tools such as SHAPE and the Public Health Outcomes Framework tools.&lt;/td&gt;&lt;/tr&gt;&lt;tr&gt;&lt;td class="infoBoxTableCell"&gt;Data Source&lt;/td&gt;&lt;td class="infoBoxTableCell"&gt;&lt;p&gt;&lt;i&gt;Please note that mapped data are at LSOA level though data in the tool are MSOA level. A full explanation of the data at LSOA level is available for the flood layers for the Neighbourhood Flood Vulnerability Index (NFVI).&lt;/i&gt;&lt;/p&gt;&lt;p&gt;Census, 2011, KS301, sum of two indicators: (% of people whose day to day activities are limited a lot) + (% of people day to day activities limited a little)&lt;/p&gt;&lt;p&gt;Office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target="_blank"&gt;http://www.nationalarchives.gov.uk/doc/open-government-licence/version/2 ]&lt;/a&gt;.&lt;/p&gt;&lt;p&gt;Office for National Statistics, 2011 Census: Digitised Boundary Data (England and Wales) [computer file]. UK Data Service Census Support. Downloaded from: &lt;a href="http://edina.ac.uk/census" target="_blank"&gt;http://edina.ac.uk/census&lt;/a&gt;.&lt;/p&gt;&lt;/td&gt;&lt;/tr&gt;&lt;/tbody&gt;&lt;/table&gt;&lt;/div&gt;</t>
  </si>
  <si>
    <t>&lt;div class="body-1"&gt;&lt;table class="infoBoxTable"&gt;&lt;tbody&gt;&lt;tr&gt;&lt;td class="infoBoxTableCell"&gt;&lt;p&gt;&lt;strong&gt;Item&lt;/strong&gt;&lt;/p&gt;&lt;/td&gt;&lt;td class="infoBoxTableCell"&gt;&lt;p&gt;&lt;strong&gt;Description&lt;/strong&gt;&lt;/p&gt;&lt;/td&gt;&lt;/tr&gt;&lt;tr&gt;&lt;td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class="infoBoxTableCell"&gt;&lt;p&gt;Susceptibility&lt;/p&gt;&lt;/td&gt;&lt;/tr&gt;&lt;tr&gt;&lt;td class="infoBoxTableCell"&gt;&lt;p&gt;Indicator&lt;/p&gt;&lt;/td&gt;&lt;td class="infoBoxTableCell"&gt;&lt;p&gt;Health&lt;/p&gt;&lt;/td&gt;&lt;/tr&gt;&lt;tr&gt;&lt;td class="infoBoxTableCell"&gt;&lt;p&gt;Supporting Variable&lt;/p&gt;&lt;/td&gt;&lt;td class="infoBoxTableCell"&gt;&lt;p&gt;% households with at least one person with long term limiting illness&lt;/p&gt;&lt;/td&gt;&lt;/tr&gt;&lt;tr&gt;&lt;td class="infoBoxTableCell"&gt;&lt;p&gt;Assumption&lt;/p&gt;&lt;/td&gt;&lt;td class="infoBoxTableCell"&gt;&lt;p&gt;Higher proportions of people in poor health in an area indicate a higher vulnerability. The long-term sick are more vulnerable to the impacts of a flood as the experience can make their pre-existing condition worse either as a one-off 'hit', or due to accelerating its adverse trajectory.&lt;/p&gt;&lt;/td&gt;&lt;/tr&gt;&lt;tr&gt;&lt;td class="infoBoxTableCell"&gt;&lt;p&gt;Evidence supporting the use of this supporting variable&lt;/p&gt;&lt;/td&gt;&lt;td class="infoBoxTableCell"&gt;&lt;p&gt;More information about people in poor health and social vulnerability, as well as what can be done to help, is available in the main site. &lt;a href="http://www.climatejust.org.uk/messages/people-poor-health" target="_blank"&gt;http://www.climatejust.org.uk/messages/people-poor-health&lt;/a&gt;&lt;/p&gt;&lt;p&gt;Some of the specific evidence for this indicator includes:&lt;/p&gt;&lt;ul&gt;&lt;li style="margin: 0.7rem 0rem;"&gt;Flooding may restrict an individual’s access to medicine, e.g. due to loss or damage or it being left behind in the context of an emergency (Age UK, 2016).&lt;/li&gt;&lt;li style="margin: 0.7rem 0rem;"&gt;Flooding may prevent the use of complex home-based health care systems, for example home dialysis, due to direct flood damage or to loss of power (Klinger et al., 2014).&lt;/li&gt;&lt;li style="margin: 0.7rem 0rem;"&gt;Being flooded is stressful and mental health impacts can be serious. Recorded psychological stresses caused by flooding in the UK and OECD (e.g. Tapsell et al., 2002) include: post-traumatic stress disorder, depression, anxiety and domestic violence (Pendlebury and Bates, 2015). A delayed increase in suicide rates has been observed following natural disasters, although the evidence of this after flood events is very limited (Kolves et al., 2013). Many of these psychological effects last much longer (2+ years) than any adverse physical health effects (Tapsell et al., 2002). While post-event stress is likely to affect everyone, those with existing mental health conditions are likely to suffer the most (Sims et al., 2008; Waite et al., 2017).&lt;/li&gt;&lt;li style="margin: 0.7rem 0rem;"&gt;Telephone connectivity and transport routes are often disrupted during flood events making it difficult for carers to contact and reach their patients that are receiving care at home (Age UK, 2016). This was a problem in Lancashire during the flooding in 2015 caused by Storm Desmond.&lt;/li&gt;&lt;/ul&gt;&lt;/td&gt;&lt;/tr&gt;&lt;tr&gt;&lt;td class="infoBoxTableCell"&gt;&lt;p&gt;Data Source&lt;/p&gt;&lt;/td&gt;&lt;td class="infoBoxTableCell"&gt;&lt;p&gt;&lt;/p&gt;&lt;p&gt;Office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target="_blank"&gt;here&lt;/a&gt;.&lt;/p&gt;&lt;/td&gt;&lt;/tr&gt;&lt;tr&gt;&lt;td class="infoBoxTableCell"&gt;&lt;p&gt;References&lt;/p&gt;&lt;/td&gt;&lt;td class="infoBoxTableCell"&gt;&lt;p&gt;&lt;a href="https://www.ageuk.org.uk/globalassets/age-uk/documents/reports-and-publications/reports-and-briefings/active-communities/rb_feb16_older_people_and_power_loss_floods_and_storms.pdf" target="_blank"&gt;[1]&lt;/a&gt; Age UK (2016) Older people and power loss, floods and storms. Age UK.&lt;/p&gt;&lt;p&gt;&lt;a href="https://pubmed.ncbi.nlm.nih.gov/24459613/" target="_blank"&gt;[2]&lt;/a&gt; Klinger, C., Landeg, O. and Murray, V. (2014) Power Outages, Extreme Events and Health: a Systematic Review of the Literature from 2011-2012. PLOS Currents Disasters.&lt;/p&gt;&lt;p&gt;&lt;a href="https://www.sciencedirect.com/science/article/pii/S016503271200568X?via%3Dihub" target="_blank"&gt;[3]&lt;/a&gt; Kolves, K., Kolves, K. E. and De Leo, D. (2013) Natural disasters and suicide behaviours: A systemic literature review. Journal of Affective Disorders, 146. 1-14.&lt;/p&gt;&lt;p&gt;[4] Pendlebury, M. and Bates, G. (2015) Reducing adverse health impacts from flooding and flood risk: A review of the literature and development of questions for further research. National Flood Forum.&lt;/p&gt;&lt;p&gt;&lt;a href="https://royalsocietypublishing.org/doi/10.1098/rsta.2002.1013" target="_blank"&gt;[5]&lt;/a&gt; Tapsell, S. M., Penning-Rowsell, E. C., Tunstall, S. M. and Wilson, T. L. (2002) Vulnerability to flooding: health and social dimensions, Flood risk in a changing climate. Papers of a Discussion Meeting organized and edited by D. Cox, J. Hunt, P. Mason, H. Wheater and P. Wolf. 15 July 2002, Vol 360, No. 1796, Philosophical Transactions of The Royal Society, Mathematical, Physical and Engineering Sciences pp. 1511-1525 - ISSN: 1364503X&lt;/p&gt;&lt;p&gt;&lt;a href="https://www.research.lancs.ac.uk/portal/en/publications/perspectives-on-resilience-from-households-in-hull--response-to-defra-consultation-on-policy-options-for-promoting-propertylevel-flood-protection-and-resilience(eabf2f9d-0955-4bdb-b9aa-eaec1e46b5ca).html" target="_blank"&gt;[6]&lt;/a&gt; Sims, R., Medd, W., Mort, M., Watson, N., Walker, G. and Twigger-Ross, C., (2008) Perspectives on resilience from households in Hull–response to Defra consultation on policy options for promoting property-level flood protection and resilience. Lancaster University.&lt;/p&gt;&lt;p&gt;&lt;a href="https://doi.org/10.1186/s12889-016-4000-2" target="_blank"&gt;[7]&lt;/a&gt; Waite, T. D., Chaintarli, K., Beck, C., Bone, A., Amlôt, R., Kovats, S., Reacher, M., Armstrong, B., Leonardi, G., Rubin, J., and Oliver, I. (2017). The English national cohort study of flooding and health: cross-sectional analysis of mental health outcomes at year one. DOI: 10.1186/s12889-016-4000-2&lt;/p&gt;&lt;/td&gt;&lt;/tr&gt;&lt;/tbody&gt;&lt;/table&gt;&lt;/div&gt;</t>
  </si>
  <si>
    <t>&lt;div class="body-1"&gt;&lt;p&gt;The new Neighbourhood Flood Vulnerability Index (NFVI) provides insight into the social vulnerability of a neighbourhood should a flood occur. The NFVI combines five &lt;b&gt; &lt;i&gt;characteristics&lt;/i&gt; &lt;/b&gt; of vulnerability:&lt;/p&gt;&lt;ul&gt;&lt;li style="margin: 0.7rem 0rem;"&gt; &lt;b&gt;Susceptibility&lt;/b&gt; - describing the predisposition of an individual to experience a loss of well-being when exposed to a flood. It is widely evidenced that the dominant characteristics that influence susceptibility to harm relate to the age (the old and very young) and health of the individuals exposed.&lt;/li&gt;&lt;li style="margin: 0.7rem 0rem;"&gt; &lt;b&gt;Ability to prepare&lt;/b&gt; - reflecting the actions taken by an individual during normal conditions (i.e. in the absence of a forecast or actual flood) that are likely to reduce the harm they suffer when a future flood occurs. Although an area of continued research, an individual’s ability to prepare is influenced by their income, capacity to act, local knowledge and property tenure.&lt;/li&gt;&lt;li style="margin: 0.7rem 0rem;"&gt; &lt;b&gt;Ability to respond&lt;/b&gt; – reflecting the underlying reasons why some individuals act more effectively in the run up to and during a flood. Although this is an area of continued research, there is broad agreement that an individual’s ability to respond is influenced by their income, capacity to access and use formal and informal information, local knowledge and physical mobility.&lt;/li&gt;&lt;li style="margin: 0.7rem 0rem;"&gt; &lt;b&gt;Ability to recover&lt;/b&gt; – reflecting the degree to which an individual can aid their own recovery is influenced by several factors, particularly their income, capacity to use information, and physical mobility. Many flood events have highlighted the length of time it can take for individuals and communities to recover from a flood.&lt;/li&gt;&lt;li style="margin: 0.7rem 0rem;"&gt; &lt;b&gt;Community support&lt;/b&gt; – recognising how the availability and quality of services provided by health and emergency services as well as broader care and social services influence the severity of harm caused by a flood . A formal representation of community cohesion and its influence on flood vulnerability is not available. However, the following are considered to gauge the nature of this support: housing characteristics; the collective experience of past floods; the likely availability of community services in a flood (including emergency service provides, schools, GPs, care homes); and the social networks that exist.&lt;/li&gt;&lt;/ul&gt;&lt;p&gt;The map tool contains maps for each of the above characteristics. The characteristics layers are made up of indicators like Age and Health (which are mapped separately) and a series of supporting variables, each of which has its own information sheet.&lt;/p&gt;&lt;p&gt;Map categories are given according to scores in the index with Acute indicating areas where social vulnerability is highest in a UK context: Acute, Very High, Relatively High; Average (UK mean); Relatively Low, Very Low and Slight. See the technical guide for more information.&lt;/p&gt;&lt;p class="text-h6 font-weight-bold mt-4"&gt;References&lt;/p&gt;&lt;p&gt;Sayers,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target="_blank"&gt;here&lt;/a&gt;.&lt;/p&gt;&lt;/div&gt;&lt;/div&gt;</t>
  </si>
  <si>
    <r>
      <rPr>
        <sz val="11"/>
        <color rgb="FF000000"/>
        <rFont val="Calibri"/>
        <family val="2"/>
      </rPr>
      <t>&lt;div class="body-1"&gt;&lt;table style="border-collapse:collapse;cellspacing:0;cellpadding:0;"&gt;&lt;tbody&gt;&lt;tr&gt;&lt;td style="border:1px solid #000;padding:.5rem;text-align:left;vertical-align:top"&gt;&lt;p&gt;&lt;strong&gt;Item&lt;/strong&gt;&lt;/p&gt;&lt;/td&gt;&lt;td style="border:1px solid #000;padding:.5rem;text-align:left;vertical-align:top"&gt;&lt;p&gt;&lt;strong&gt;Description&lt;/strong&gt;&lt;/p&gt;&lt;/td&gt;&lt;/tr&gt;&lt;tr style="display:none;"&gt;&lt;td&gt;Reference&lt;/td&gt;&lt;td&gt;I1: % Unemployed, I2: Long-term unemployed, I3: Low income occupations, I4: Households with dependent children and no adults in employment, I5: Income deprivation index&lt;/td&gt;&lt;/tr&gt;&lt;tr&gt;&lt;td style="border:1px solid #000;padding:.5rem;text-align:left;vertical-align:top"&gt;&lt;p&gt;Theme&lt;/p&gt;&lt;/td&gt;&lt;td style="border:1px solid #000;padding:.5rem;text-align:left;vertical-align:top"&gt;&lt;p&gt;Vulnerability&lt;/p&gt;&lt;/td&gt;&lt;/tr&gt;&lt;tr&gt;&lt;td style="border:1px solid #000;padding:.5rem;text-align:left;vertical-align:top"&gt;&lt;p&gt;Hazard reference&lt;/p&gt;&lt;/td&gt;&lt;td style="border:1px solid #000;padding:.5rem;text-align:left;vertical-align:top"&gt;&lt;p&gt;Flood (Revised Data, 2017)&lt;/p&gt;&lt;/td&gt;&lt;/tr&gt;&lt;tr&gt;&lt;td style="border:1px solid #000;padding:.5rem;text-align:left;vertical-align:top"&gt;&lt;p&gt;Characteristic&lt;/p&gt;&lt;/td&gt;&lt;td style="border:1px solid #000;padding:.5rem;text-align:left;vertical-align:top"&gt;&lt;p&gt;Inability to Prepare, Respond and Recover&lt;/p&gt;&lt;/td&gt;&lt;/tr&gt;&lt;tr&gt;&lt;td style="border:1px solid #000;padding:.5rem;text-align:left;vertical-align:top"&gt;&lt;p&gt;Indicator&lt;/p&gt;&lt;/td&gt;&lt;td style="border:1px solid #000;padding:.5rem;text-align:left;vertical-align:top"&gt;&lt;p&gt;Income&lt;/p&gt;&lt;/td&gt;&lt;/tr&gt;&lt;tr&gt;&lt;td style="border:1px solid #000;padding:.5rem;text-align:left;vertical-align:top"&gt;&lt;p&gt;Supporting Variable&lt;/p&gt;&lt;/td&gt;&lt;td style="border:1px solid #000;padding:.5rem;text-align:left;vertical-align:top"&gt;&lt;p&gt;See table below&lt;/p&gt;&lt;/td&gt;&lt;/tr&gt;&lt;tr&gt;&lt;td style="border:1px solid #000;padding:.5rem;text-align:left;vertical-align:top"&gt;&lt;p&gt;Assumption&lt;/p&gt;&lt;/td&gt;&lt;td style="border:1px solid #000;padding:.5rem;text-align:left;vertical-align:top"&gt;&lt;p&gt;Higher proportions of people on low incomes in an area indicate a higher vulnerability. Low income households are more vulnerable to flooding due to the effect of low income on people’s ability to adapt (to prepare for events, respond to them when they occur and recover from them afterwards).&lt;/p&gt;&lt;/td&gt;&lt;/tr&gt;&lt;tr&gt;&lt;td style="border:1px solid #000;padding:.5rem;text-align:left;vertical-align:top"&gt;&lt;p&gt;Evidence supporting the use of this supporting variable&lt;/p&gt;&lt;/td&gt;&lt;td style="border:1px solid #000;padding:.5rem;text-align:left;vertical-align:top"&gt;&lt;p&gt;More information about people on low incomes and social vulnerability, as well as what can be done to help, is available in the main site. &lt;a href=http://www.climatejust.org.uk/messages/people-low-incomes target=_blank&gt;http://www.climatejust.org.uk/messages/people-low-incomes&lt;/a&gt;&lt;/p&gt;&lt;p&gt;Some of the specific evidence for this indicator includes:&lt;/p&gt;&lt;ul&gt;&lt;li style="margin:.7rem 0"&gt;Low income households are less likely to have the capacity to fully prepare for future floods (through insurance and property level measures).&lt;/li&gt;&lt;li style="margin:.7rem 0"&gt;Low income households are less likely to own their own home. Housing tenure together with low income may restrict people’s ability to make modifications to the home they do not own (Fielding and Burningham, 2005).&lt;/li&gt;&lt;li style="margin:.7rem 0"&gt;A lack of savings restricts the ability of households to respond immediately to flood damage, e.g. through spending on repairs and replacements that would kick-start a recovery process. (Tapsell et al., 2002)&lt;/li&gt;&lt;li style="margin:.7rem 0"&gt;Disruption of transport systems by flood events is likely to particularly affect people who depend upon (rather than choose to use) public transport to get to their place of work or to access other services (for example, public transport is typically more used by low income households).&lt;/li&gt;&lt;/ul&gt;&lt;/td&gt;&lt;/tr&gt;&lt;/tbody&gt;&lt;/table&gt;&lt;p class="font-weight-bold mt-4 text-h6"&gt;Data Sources&lt;/p&gt;&lt;table style=border-collapse:collapse;cellspacing:0;cellpadding:0&gt;&lt;tbody&gt;&lt;tr&gt;&lt;th style="border:1px solid #000;padding:.5rem;text-align:left;vertical-align:top"&gt;Indicator description&lt;/th&gt;&lt;th style="border:1px solid #000;padding:.5rem;text-align:left;vertical-align:top"&gt;Source and provider&lt;/th&gt;&lt;th style="border:1px solid #000;padding:.5rem;text-align:left;vertical-align:top"&gt;Date&lt;/th&gt;&lt;th style="border:1px solid #000;padding:.5rem;text-align:left;vertical-align:top"&gt;Indicator processing details&lt;/th&gt;&lt;/tr&gt;&lt;tr&gt;&lt;td style="border:1px solid #000;padding:.5rem;text-align:left;vertical-align:top"&gt;Unemployed (% unemployed)&lt;/td&gt;&lt;td style="border:1px solid #000;padding:.5rem;text-align:left;vertical-align:top"&gt;Census, ONS&lt;/td&gt;&lt;td style="border:1px solid #000;padding:.5rem;text-align:left;vertical-align:top"&gt;2011&lt;/td&gt;&lt;td style="border:1px solid #000;padding:.5rem;text-align:left;vertical-align:top"&gt;KS501, % Unemployed in population aged 16 -74&lt;/td&gt;&lt;/tr&gt;&lt;tr&gt;&lt;td style="border:1px solid #000;padding:.5rem;text-align:left;vertical-align:top"&gt;Long-term unemployed (% who are LTU or who have never worked)&lt;/td&gt;&lt;td style="border:1px solid #000;padding:.5rem;text-align:left;vertical-align:top"&gt;Census, ONS&lt;/td&gt;&lt;td style="border:1px solid #000;padding:.5rem;text-align:left;vertical-align:top"&gt;2011&lt;/td&gt;&lt;td style="border:1px solid #000;padding:.5rem;text-align:left;vertical-align:top"&gt;Census table KS611. Number of people aged 16- 74 'never worked and long- term unemployed' divided by the total number of people aged 16-74 and multiplied by 100.&lt;/td&gt;&lt;/tr&gt;&lt;tr&gt;&lt;td style="border:1px solid #000;padding:.5rem;text-align:left;vertical-align:top"&gt;Low income occupations (% in routine or semi- routine occupations)&lt;/td&gt;&lt;td style="border:1px solid #000;padding:.5rem;text-align:left;vertical-align:top"&gt;Census, ONS&lt;/td&gt;&lt;td style="border:1px solid #000;padding:.5rem;text-align:left;vertical-align:top"&gt;2011&lt;/td&gt;&lt;td style="border:1px solid #000;padding:.5rem;text-align:left;vertical-align:top"&gt;Census table KS611. Number of people aged 16- 74 in routine occupations + number of people in semi- routine occupations divided by all people aged 16 to 74 and multiplied by 100&lt;/td&gt;&lt;/tr&gt;&lt;tr&gt;&lt;td style="border:1px solid #000;padding:.5rem;text-align:left;vertical-align:top"&gt;Households with dependent children and no adults in employment (%)&lt;/td&gt;&lt;td style="border:1px solid #000;padding:.5rem;text-align:left;vertical-align:top"&gt;Census, ONS&lt;/td&gt;&lt;td style="border:1px solid #000;padding:.5rem;text-align:left;vertical-align:top"&gt;2011&lt;/td&gt;&lt;td style="border:1px solid #000;padding:.5rem;text-align:left;vertical-align:top"&gt;Census table KS106. Number of households 'No adults in employment in household: With dependent children' divided by the total number of households and multiplied by 100.&lt;/td&gt;&lt;/tr&gt;&lt;tr&gt;&lt;td style="border:1px solid #000;padding:.5rem;text-align:left;vertical-align:top"&gt;People income deprived (%)&lt;/td&gt;&lt;td style="border:1px solid #000;padding:.5rem;text-align:left;vertical-align:top"&gt;ONS, National Records of Scotland, Northern Ireland Department for Communities&lt;/td&gt;&lt;td style="border:1px solid #000;padding:.5rem;text-align:left;vertical-align:top"&gt;2010&lt;/td&gt;&lt;td style="border:1px solid #000;padding:.5rem;text-align:left;vertical-align:top"&gt;England: IMD; Average Weekly Household Net Income Estimate (equivalised after housing costs); Scotland: SIMD Income index, i.e. "percentage of people income deprived"; Wales: As England; Northern Ireland: NIIMD 2010.&lt;/td&gt;&lt;/tr&gt;&lt;/tbody&gt;&lt;/table&gt;&lt;br /&gt;&lt;p&gt;&lt;b&gt;Geographic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href=""target=_blank&gt;gov.scot/Topics/Statistics/sns/BoundMap&lt;/a&gt;Downloaded 5-11-14.&lt;/p&gt;&lt;p&gt;Further data for Scotland is available from &lt;a href=http://statistics.gov.scot/ target=_blank&gt;http://statistics.gov.scot/&lt;/a&gt;&lt;/p&gt;&lt;p&gt;Based upon S</t>
    </r>
    <r>
      <rPr>
        <sz val="10"/>
        <color rgb="FF000000"/>
        <rFont val="Calibri"/>
        <family val="2"/>
      </rPr>
      <t>ayers, P.B., H</t>
    </r>
    <r>
      <rPr>
        <sz val="11"/>
        <color rgb="FF000000"/>
        <rFont val="Calibri"/>
        <family val="2"/>
      </rPr>
      <t>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class="font-weight-bold mt-4 text-h6"&gt;References&lt;/p&gt;&lt;p&gt;&lt;a href="https://www.tandfonline.com/doi/full/10.1080/13549830500160875" target="_blank"&gt;[1]&lt;/a&gt; Fielding, J., &amp; Burningham, K. (2005). Environmental Inequality and Flood Hazard, Local Environment 10(4), 1–17.&lt;/p&gt;&lt;p&gt;&lt;a href="https://royalsocietypublishing.org/doi/10.1098/rsta.2002.1013" target="_blank"&gt;[2]&lt;/a&gt; Tapsell, S. M., Penning-Rowsell, E. C., Tunstall, S. M. and Wilson, T. L. (2002) Vulnerability to flooding: health and social dimensions, Flood risk in a changing climate. Papers of a Discussion Meeting organized and edited by D. Cox, J. Hunt, P. Mason, H. Wheater and P. Wolf. 15 July 2002, Vol 360, No. 1796, Philosophical Transactions of The Royal Society, Mathematical, Physical and Engineering Sciences pp. 1511-1525 - ISSN: 1364503X&lt;/p&gt;&lt;/div&gt;</t>
    </r>
  </si>
  <si>
    <t>&lt;div class="body-1"&gt;&lt;table class="infoBoxTable"&gt;&lt;tbody&gt;&lt;tr&gt;&lt;td class="infoBoxTableCell"&gt;&lt;p&gt;&lt;strong&gt;Item&lt;/strong&gt;&lt;/p&gt;&lt;/td&gt;&lt;td class="infoBoxTableCell"&gt;&lt;p&gt;&lt;strong&gt;Description&lt;/strong&gt;&lt;/p&gt;&lt;/td&gt;&lt;/tr&gt;&lt;tr&gt;&lt;td class="infoBoxTableCell"&gt;Reference&lt;/td&gt;&lt;td class="infoBoxTableCell"&gt;AT0_1, AT1_1, AT2_1&lt;/td&gt;&lt;/tr&gt;&lt;tr&gt;&lt;td class="infoBoxTableCell"&gt;Theme&lt;/td&gt;&lt;td class="infoBoxTableCell"&gt;Vulnerability&lt;/td&gt;&lt;/tr&gt;&lt;tr&gt;&lt;td class="infoBoxTableCell"&gt;Hazard reference&lt;/td&gt;&lt;td class="infoBoxTableCell"&gt;Flood &amp; Heat&lt;/td&gt;&lt;/tr&gt;&lt;tr&gt;&lt;td class="infoBoxTableCell"&gt;Dimension&lt;/td&gt;&lt;td class="infoBoxTableCell"&gt;Ability to Prepare, Respond and Recover&lt;/td&gt;&lt;/tr&gt;&lt;tr&gt;&lt;td class="infoBoxTableCell"&gt;Domain&lt;/td&gt;&lt;td class="infoBoxTableCell"&gt;Income&lt;/td&gt;&lt;/tr&gt;&lt;tr&gt;&lt;td class="infoBoxTableCell"&gt;Indicator&lt;/td&gt;&lt;td class="infoBoxTableCell"&gt;&lt;strong&gt;Unemployment (% working population unemployed)&lt;/strong&gt;&lt;/td&gt;&lt;/tr&gt;&lt;tr&gt;&lt;td class="infoBoxTableCell"&gt;Assumption&lt;/td&gt;&lt;td class="infoBoxTableCell"&gt;Higher proportions of unemployed people in an area indicate a higher vulnerability because of their likelihood to be on lower incomes relative to other people.&lt;/td&gt;&lt;/tr&gt;&lt;tr&gt;&lt;td class="infoBoxTableCell"&gt;Confidence level&lt;/td&gt;&lt;td class="infoBoxTableCell"&gt;High&lt;/td&gt;&lt;/tr&gt;&lt;tr&gt;&lt;td class="infoBoxTableCell"&gt;Guidance for the use of this indicator&lt;/td&gt;&lt;td class="infoBoxTableCell"&gt;Unemployment is a recognised proxy indicator of financial deprivation; indeed, the unemployed are &lt;a href="http://www.jrf.org.uk/sites/files/jrf/2041.pdf" target="_blank"&gt;nearly twice as likely&lt;/a&gt;to experience persistent poverty compared to the population as a whole &lt;a href="#_ftn1" name="_ftnref1" title=""&gt;&lt;sup&gt;[1]&lt;/sup&gt;&lt;/a&gt;. Adaptation should address the needs of people who have &lt;a href="http://climatejust.org.uk/messages/people-low-incomes" target="_blank"&gt;lower incomes&lt;/a&gt;. This is because a lack of financial resources may restrict people’s access to some ways of preparing for, responding to and recovering from hazard events. A range of actions appropriate to tackling these difficulties is given in our dedicated pages on this topic. Unemployment is commonly used as a measure of &lt;a href="http://randd.defra.gov.uk/Default.aspx?Menu=Menu&amp;Module=More&amp;Location=None&amp;Completed=0&amp;ProjectID=15747#RelatedDocuments" target="_blank"&gt;vulnerability&lt;/a&gt; &lt;a href="#_ftn2" name="_ftnref2" title=""&gt;&lt;sup&gt;[2]&lt;/sup&gt;&lt;/a&gt;. For example, unemployment or irregular employment may reduce the opportunities for obtaining insurance. Unemployment is linked to other social characteristics, such as being in &lt;a href="https://www.gov.uk/government/uploads/system/uploads/attachment_data/file/284648/English_Housing_Survey_Headline_Report_2012-13.pdf" target="_blank"&gt;social or privately rented housing&lt;/a&gt;&lt;a href="#_ftn3" name="_ftnref3" title=""&gt; &lt;sup&gt;[3]&lt;/sup&gt;&lt;/a&gt; and a greater tendency to have &lt;a href="http://www.instituteofhealthequity.org/projects/fair-society-healthy-lives-the-marmot-review" target="_blank"&gt;poor physical and mental health&lt;/a&gt;.&lt;a href="#_ftn4" name="_ftnref4" title=""&gt;&lt;sup&gt;[4]&lt;/sup&gt;&lt;/a&gt; Although unemployment is taken as an indicator of a tendency towards high vulnerability, it may reduce vulnerability in some cases. For example, unemployed people may benefit from being able to respond quickly to events like floods and heat-waves and potentially getting assistance through social housing. Despite this, people in this group are significantly more likely have negative impacts on their health and wellbeing in the aftermath of flooding &lt;a href="#_ftn5" name="_ftnref5" title=""&gt;&lt;sup&gt;[5]&lt;/sup&gt;&lt;/a&gt;. Additional, more refined, data may be available at the local level.&lt;/td&gt;&lt;/tr&gt;&lt;tr&gt;&lt;td class="infoBoxTableCell"&gt;Data Source&lt;/td&gt;&lt;td class="infoBoxTableCell"&gt;&lt;p&gt;&lt;i&gt;Please note that mapped data are at LSOA level though data in the tool are MSOA level. A full explanation of the data at LSOA level is available for the flood layers for the Neighbourhood Flood Vulnerability Index (NFVI).&lt;/i&gt;&lt;/p&gt;&lt;p&gt;Census, 2011, KS501, % Unemployed in population aged 16-74&lt;/p&gt;&lt;p&gt;Office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target="_blank"&gt;http://edina.ac.uk/census&lt;/a&gt;&lt;/p&gt;&lt;/td&gt;&lt;/tr&gt;&lt;/tbody&gt;&lt;/table&gt;&lt;p class="font-weight-bold mt-4 text-h6"&gt;References&lt;/p&gt;&lt;p&gt;&lt;a id="_ftn1" href="https://www.jrf.org.uk/poverty-dynamics-research-in-the-uk"&gt;[1]&lt;/a&gt; Smith, N and Middleton, S (2007) Centre for Research in Social Policy, 2007 Poverty dynamics research in the UK: Summary Report&lt;/p&gt;&lt;p&gt;&lt;a id="_ftn2"&gt;[2]&lt;/a&gt; Twigger-Ross, C and Orr, P (2012) The UK Climate Change Risk Assessment 2012 Evidence Report Project D.4.2.1 Release 7 Annex B: Social Vulnerability to Climate Change Impacts&lt;/p&gt;&lt;p&gt;&lt;a id="_ftn3" href="https://assets.publishing.service.gov.uk/government/uploads/system/uploads/attachment_data/file/284648/English_Housing_Survey_Headline_Report_2012-13.pdf" target="_blank"&gt;[3]&lt;/a&gt; DCLG (2014) English Housing Survey Headline Report 2012-13&lt;/p&gt;&lt;p&gt;&lt;a id="_ftn4" href="https://www.parliament.uk/globalassets/documents/fair-society-healthy-lives-full-report.pdf"&gt;[4]&lt;/a&gt; The Marmot Review (2010) Fair Society Healthy Lives Marmot Review, 2010&lt;/p&gt;&lt;p&gt;&lt;a id="_ftn5" href="https://bmcpublichealth.biomedcentral.com/articles/10.1186/1471-2458-11-145" target="_blank"&gt;[5]&lt;/a&gt; Paranjothy S, Gallacher J, Amlôt R, Rubin GJ, Page L, Baxter T, Wight J, Kirrage D, McNaught R, Palmer SR BMC (2011) Psychosocial impact of the summer 2007 floods in England. Public Health. 3;11:145&lt;/p&gt;&lt;/div&gt;</t>
  </si>
  <si>
    <t>&lt;div class="body-1"&gt;&lt;table class="infoBoxTable"&gt;&lt;tbody&gt;&lt;tr&gt;&lt;td class="infoBoxTableCell"&gt;&lt;p&gt;&lt;strong&gt;Item&lt;/strong&gt;&lt;/p&gt;&lt;/td&gt;&lt;td class="infoBoxTableCell"&gt;&lt;p&gt;&lt;strong&gt;Description&lt;/strong&gt;&lt;/p&gt;&lt;/td&gt;&lt;/tr&gt;&lt;tr&gt;&lt;td class="infoBoxTableCell"&gt;Reference&lt;/td&gt;&lt;td class="infoBoxTableCell"&gt;AT0_3, AT1_3, AT2_3&lt;/td&gt;&lt;/tr&gt;&lt;tr&gt;&lt;td class="infoBoxTableCell"&gt;Theme&lt;/td&gt;&lt;td class="infoBoxTableCell"&gt;Vulnerability&lt;/td&gt;&lt;/tr&gt;&lt;tr&gt;&lt;td class="infoBoxTableCell"&gt;&lt;p&gt;Hazard reference&lt;/p&gt;&lt;/td&gt;&lt;td class="infoBoxTableCell"&gt;Flood &amp; Heat&lt;/td&gt;&lt;/tr&gt;&lt;tr&gt;&lt;td class="infoBoxTableCell"&gt;Dimension&lt;/td&gt;&lt;td class="infoBoxTableCell"&gt;Ability to Prepare, Respond and Recover&lt;/td&gt;&lt;/tr&gt;&lt;tr&gt;&lt;td class="infoBoxTableCell"&gt;Domain&lt;/td&gt;&lt;td class="infoBoxTableCell"&gt;Income&lt;/td&gt;&lt;/tr&gt;&lt;tr&gt;&lt;td class="infoBoxTableCell"&gt;Indicator&lt;/td&gt;&lt;td class="infoBoxTableCell"&gt;&lt;strong&gt;Long-term unemployed (% who are LTU or who have never worked)&lt;/strong&gt;&lt;/td&gt;&lt;/tr&gt;&lt;tr&gt;&lt;td class="infoBoxTableCell"&gt;Assumption&lt;/td&gt;&lt;td class="infoBoxTableCell"&gt;Higher proportions of people in an area who are long-term unemployed or who have never worked indicate a higher vulnerability because of their likelihood to be on lower incomes relative to other people.&lt;/td&gt;&lt;/tr&gt;&lt;tr&gt;&lt;td class="infoBoxTableCell"&gt;Confidence level&lt;/td&gt;&lt;td class="infoBoxTableCell"&gt;High&lt;/td&gt;&lt;/tr&gt;&lt;tr&gt;&lt;td class="infoBoxTableCell"&gt;Guidance for the use of this indicator&lt;/td&gt;&lt;td class="infoBoxTableCell"&gt;Unemployment is a recognised indicator of financial deprivation (see Unemployment info). The challenges facing the unemployed are heightened in terms of the long-term unemployed. Therefore this indicator is used as a proxy for low incomes. Average levels of wealth for households headed by people who are long-term unemployed or who have never worked are just 3% of those of working in employment classified as ‘large employer or higher managerial’ &lt;a href="#_ftn1" name="_ftnref1" title=""&gt;&lt;sup&gt;[1]&lt;/sup&gt;&lt;/a&gt;. Adaptation should address the needs of people who have &lt;a href="http://climatejust.org.uk/messages/people-low-incomes" target="_blank"&gt;lower incomes&lt;/a&gt;. This is because a lack of financial resources may restrict people’s access to some ways of preparing for, responding to and recovering from hazard events. A range of actions appropriate to tackling these difficulties is given in our dedicated pages on this topic. Although unemployment is taken as an indicator of a tendency towards high vulnerability, it may reduce vulnerability in some cases. For example, unemployed people may benefit from being able to respond quickly to events like floods and heat-waves and potentially getting assistance through social housing. Despite this, people in this group are significantly more likely have negative impacts on their health and wellbeing in the aftermath of flooding &lt;a href="#_ftn2" name="_ftnref2" title=""&gt;&lt;sup&gt;[2]&lt;/sup&gt;&lt;/a&gt;. Additional, more refined, data may be available at the local level.&lt;/td&gt;&lt;/tr&gt;&lt;tr&gt;&lt;td class="infoBoxTableCell"&gt;Data Source&lt;/td&gt;&lt;td class="infoBoxTableCell"&gt;&lt;p&gt;&lt;i&gt;Please note that mapped data are at LSOA level though data in the tool are MSOA level. A full explanation of the data at LSOA level is available for the flood layers for the Neighbourhood Flood Vulnerability Index (NFVI)&lt;/i&gt;&lt;/p&gt;&lt;p&gt;Census, 2011, KS611, % people who never worked + % people in long-term unemployment&lt;/p&gt;&lt;p&gt;Office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target="_blank"&gt;http://edina.ac.uk/census&lt;/a&gt;&lt;/p&gt;&lt;/td&gt;&lt;/tr&gt;&lt;/tbody&gt;&lt;/table&gt;&lt;p class="font-weight-bold mt-4 text-h6"&gt;References&lt;/p&gt;&lt;p&gt;&lt;a href="https://www.bristol.ac.uk/media-library/sites/geography/migrated/documents/pfrc0914.pdf" target="_blank"&gt;[1]&lt;/a&gt; Office for National Statistics Wealth and Assets Survey 2006-8, cited in the Marmot Review (2010, p77)&lt;/p&gt;&lt;p&gt;&lt;a href="https://bmcpublichealth.biomedcentral.com/articles/10.1186/1471-2458-11-145" target="_blank"&gt;[2]&lt;/a&gt; Paranjothy S, Gallacher J, Amlôt R, Rubin GJ, Page L, Baxter T, Wight J, Kirrage D, McNaught R, Palmer SR BMC (2011) Psychosocial impact of the summer 2007 floods in England. Public Health. 3;11:145&lt;/p&gt;&lt;/div&gt;</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</si>
  <si>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class="infoBoxTableCell"&gt;&lt;p&gt;AT0_2, AT1_2, AT2_2&lt;/p&gt;&lt;/td&gt;&lt;/tr&gt;&lt;tr&gt;&lt;td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 Respond and Recover&lt;/p&gt;&lt;/td&gt;&lt;/tr&gt;&lt;tr&gt;&lt;td class="infoBoxTableCell"&gt;&lt;p&gt;Domain&lt;/p&gt;&lt;/td&gt;&lt;td class="infoBoxTableCell"&gt;&lt;p&gt;Income&lt;/p&gt;&lt;/td&gt;&lt;/tr&gt;&lt;tr&gt;&lt;td class="infoBoxTableCell"&gt;&lt;p&gt;Indicator&lt;/p&gt;&lt;/td&gt;&lt;td class="infoBoxTableCell"&gt;&lt;p&gt;&lt;strong&gt;Low income occupations (% in routine or semi-routine occupations)&lt;/strong&gt;&lt;/p&gt;&lt;/td&gt;&lt;/tr&gt;&lt;tr&gt;&lt;td class="infoBoxTableCell"&gt;&lt;p&gt;Assumption&lt;/p&gt;&lt;/td&gt;&lt;td class="infoBoxTableCell"&gt;&lt;p&gt;Higher proportions of people employed in routine and semi-routine jobs in an area indicate a higher vulnerability because of their likelihood to be on lower incomes relative to other people.&lt;/p&gt;&lt;/td&gt;&lt;/tr&gt;&lt;tr&gt;&lt;td class="infoBoxTableCell"&gt;&lt;p&gt;Confidence level&lt;/p&gt;&lt;/td&gt;&lt;td class="infoBoxTableCell"&gt;&lt;p&gt;High&lt;/p&gt;&lt;/td&gt;&lt;/tr&gt;&lt;tr&gt;&lt;td class="infoBoxTableCell"&gt;&lt;p&gt;Guidance for the use of this indicator&lt;/p&gt;&lt;/td&gt;&lt;td class="infoBoxTableCell"&gt;&lt;p&gt;All other things being equal, &lt;a href="http://www.equalityhumanrights.com/sites/default/files/documents/triennial_review/how_fair_is_britain_ch12.pdf" target="_blank"&gt;people working&lt;/a&gt;in routine or semi-routine occupations tend to be on lower incomes compared to those in other occupational groups. Therefore this indicator is used as a proxy for low incomes. Average levels of wealth for households headed by people working in routine occupations has been estimated to be only 14% of those of working in employment classified as ‘large employer or higher managerial’ &lt;sup&gt;[1]&lt;/sup&gt;. Adaptation should address their needs because a lack of financial resources &lt;a href="http://climatejust.org.uk/messages/people-low-incomes" target="_blank"&gt;may restrict people’s access&lt;/a&gt;to some ways of preparing for, responding to and recovering from hazard events. A range of actions appropriate to tackling these difficulties is given in our dedicated pages on this topic. People working in routine and semi-routine occupations &lt;a href="http://www.tuc.org.uk/sites/default/files/extras/adaptation.pdf" target="_blank"&gt;may also be vulnerable for other reasons&lt;/a&gt;, such as higher exposure to hazards due to the characteristics of their jobs or increased sensitivity due to being more likely to be in &lt;a href="http://www.instituteofhealthequity.org/projects/fair-society-healthy-lives-the-marmot-review" target="_blank"&gt;ill-health&lt;/a&gt;. Some actions might be targeted through employers – so-called &lt;a href="http://www.tuc.org.uk/sites/default/files/extras/adaptation.pdf" target="_blank"&gt;inward looking adaptation&lt;/a&gt;which can be part of a wider drive to improve working conditions – or through trades associations, clubs or societies. Measures can include training, provision of appropriate equipment and clothing, improving working environments, consideration of accessibility issues (e.g. during extreme weather) and broader awareness raising. Additional, more refined, data may be available at the local level.&lt;/p&gt;&lt;/td&gt;&lt;/tr&gt;&lt;tr&gt;&lt;td class="infoBoxTableCell"&gt;&lt;p&gt;Data Source&lt;/p&gt;&lt;/td&gt;&lt;td class="infoBoxTableCell"&gt;&lt;p&gt;Census, 2011, KS611, % people in routine and semi-routine occupations&lt;/p&gt;&lt;p&gt;Office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target="_blank"&gt;http://edina.ac.uk/census&lt;/a&gt;&lt;/p&gt;&lt;/td&gt;&lt;/tr&gt;&lt;/tbody&gt;&lt;/table&gt;&lt;p class="font-weight-bold mt-4 text-h6"&gt;References&lt;/p&gt;&lt;p&gt;&lt;a href="https://www.bristol.ac.uk/media-library/sites/geography/migrated/documents/pfrc0914.pdf" target="_blank"&gt;[1]&lt;/a&gt; Office for National Statistics Wealth and Assets Survey 2006-8, cited in the Marmot Review (2010, p77)&lt;/p&gt;&lt;/div&gt;</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</si>
  <si>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class="infoBoxTableCell"&gt;&lt;p&gt;AT0_4, AT1_4, AT2_4&lt;/p&gt;&lt;/td&gt;&lt;/tr&gt;&lt;tr&gt;&lt;td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 Respond and Recover&lt;/p&gt;&lt;/td&gt;&lt;/tr&gt;&lt;tr&gt;&lt;td class="infoBoxTableCell"&gt;&lt;p&gt;Domain&lt;/p&gt;&lt;/td&gt;&lt;td class="infoBoxTableCell"&gt;&lt;p&gt;Income&lt;/p&gt;&lt;/td&gt;&lt;/tr&gt;&lt;tr&gt;&lt;td class="infoBoxTableCell"&gt;&lt;p&gt;Indicator&lt;/p&gt;&lt;/td&gt;&lt;td class="infoBoxTableCell"&gt;&lt;p&gt;&lt;strong&gt;Households with dependent children and no adults in employment (%)&lt;/strong&gt;&lt;/p&gt;&lt;/td&gt;&lt;/tr&gt;&lt;tr&gt;&lt;td class="infoBoxTableCell"&gt;&lt;p&gt;Assumption&lt;/p&gt;&lt;/td&gt;&lt;td class="infoBoxTableCell"&gt;&lt;p&gt;Higher proportions of unemployed people with dependent children in an area indicate a higher vulnerability because of their likelihood to be on lower incomes relative to other people.&lt;/p&gt;&lt;/td&gt;&lt;/tr&gt;&lt;tr&gt;&lt;td class="infoBoxTableCell"&gt;&lt;p&gt;Confidence level&lt;/p&gt;&lt;/td&gt;&lt;td class="infoBoxTableCell"&gt;&lt;p&gt;High&lt;/p&gt;&lt;/td&gt;&lt;/tr&gt;&lt;tr&gt;&lt;td class="infoBoxTableCell"&gt;&lt;p&gt;Guidance for the use of this indicator&lt;/p&gt;&lt;/td&gt;&lt;td class="infoBoxTableCell"&gt;&lt;p&gt;Unemployment is a recognised indicator of financial deprivation (see Unemployment Info) and is commonly used as a &lt;a href="http://randd.defra.gov.uk/Default.aspx?Menu=Menu&amp;Module=More&amp;Location=None&amp;Completed=0&amp;ProjectID=15747#RelatedDocuments" target="_blank"&gt;measure of vulnerability&lt;/a&gt;. The indicator is therefore used as a proxy for low incomes. Adaptation should address the needs of people who have &lt;a href="http://climatejust.org.uk/messages/people-low-incomes" target="_blank"&gt;lower incomes&lt;/a&gt;. This is because a lack of financial resources may restrict people’s access to some ways of preparing for, responding to and recovering from hazard events. When people who are unemployed have additional caring responsibilities, it may place further stresses upon them. Despite having additional financial support, compared with unemployed people without dependents, it may be insufficient to fully compensate for the additional financial burdens required to effectively prepare for, respond to and recover from events like floods and heat-waves. Additional, more refined, data may be available at the local level.&lt;/p&gt;&lt;/td&gt;&lt;/tr&gt;&lt;tr&gt;&lt;td class="infoBoxTableCell"&gt;&lt;p&gt;Data Source&lt;/p&gt;&lt;/td&gt;&lt;td class="infoBoxTableCell"&gt;&lt;p&gt;Census, 2011, KS106, % households with no adults in employment and dependent children&lt;/p&gt;&lt;p&gt;Office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target="_blank"&gt;http://edina.ac.uk/census&lt;/a&gt;&lt;/p&gt;&lt;/td&gt;&lt;/tr&gt;&lt;/tbody&gt;&lt;/table&gt;&lt;br&gt;&lt;/div&gt;</t>
  </si>
  <si>
    <t>&lt;div class="body-1"&gt;&lt;table style="border-collapse:collapse;cellspacing:0;cellpadding:0;"&gt;&lt;tbody&gt;&lt;tr&gt;&lt;td style="border:1px solid #000;padding:.5rem;text-align:left;vertical-align:top"&gt;&lt;p&gt;&lt;strong&gt;Item&lt;/strong&gt;&lt;/p&gt;&lt;/td&gt;&lt;td style="border:1px solid #000;padding:.5rem;text-align:left;vertical-align:top"&gt;&lt;p&gt;&lt;strong&gt;Description&lt;/strong&gt;&lt;/p&gt;&lt;/td&gt;&lt;/tr&gt;&lt;tr style="display:none;"&gt;&lt;td style="border:1px solid #000;padding:.5rem;text-align:left;vertical-align:top"&gt;&lt;p&gt;Reference&lt;/p&gt;&lt;/td&gt;&lt;td style="border:1px solid #000;padding:.5rem;text-align:left;vertical-align:top"&gt;&lt;p&gt;F1 &amp; F2&lt;/p&gt;&lt;/td&gt;&lt;/tr&gt;&lt;tr&gt;&lt;td style="border:1px solid #000;padding:.5rem;text-align:left;vertical-align:top"&gt;&lt;p&gt;Theme&lt;/p&gt;&lt;/td&gt;&lt;td style="border:1px solid #000;padding:.5rem;text-align:left;vertical-align:top"&gt;&lt;p&gt;Vulnerability&lt;/p&gt;&lt;/td&gt;&lt;/tr&gt;&lt;tr&gt;&lt;td style="border:1px solid #000;padding:.5rem;text-align:left;vertical-align:top"&gt;&lt;p&gt;Hazard reference&lt;/p&gt;&lt;/td&gt;&lt;td style="border:1px solid #000;padding:.5rem;text-align:left;vertical-align:top"&gt;&lt;p&gt;Flood (Revised Data, 2017)&lt;/p&gt;&lt;/td&gt;&lt;/tr&gt;&lt;tr&gt;&lt;td style="border:1px solid #000;padding:.5rem;text-align:left;vertical-align:top"&gt;&lt;p&gt;Characteristic&lt;/p&gt;&lt;/td&gt;&lt;td style="border:1px solid #000;padding:.5rem;text-align:left;vertical-align:top"&gt;&lt;p&gt;Inability to Prepare, Respond and Recover&lt;/p&gt;&lt;/td&gt;&lt;/tr&gt;&lt;tr&gt;&lt;td style="border:1px solid #000;padding:.5rem;text-align:left;vertical-align:top"&gt;&lt;p&gt;Indicator&lt;/p&gt;&lt;/td&gt;&lt;td style="border:1px solid #000;padding:.5rem;text-align:left;vertical-align:top"&gt;&lt;p&gt;Information Use&lt;/p&gt;&lt;/td&gt;&lt;/tr&gt;&lt;tr&gt;&lt;td style="border:1px solid #000;padding:.5rem;text-align:left;vertical-align:top"&gt;&lt;p&gt;Supporting Variable&lt;/p&gt;&lt;/td&gt;&lt;td style="border:1px solid #000;padding:.5rem;text-align:left;vertical-align:top"&gt;&lt;p&gt;See table below&lt;/p&gt;&lt;/td&gt;&lt;/tr&gt;&lt;tr&gt;&lt;td style="border:1px solid #000;padding:.5rem;text-align:left;vertical-align:top"&gt;&lt;p&gt;Assumption&lt;/p&gt;&lt;/td&gt;&lt;td style="border:1px solid #000;padding:.5rem;text-align:left;vertical-align:top"&gt;&lt;p&gt;Higher proportions of people born outside of the UK and Ireland in an area indicate a higher vulnerability since they are more likely to have difficulties understanding the English language compared to people born within the UK and Ireland. They are also likely to have less local knowledge and less familiarity with national and local services.&lt;/p&gt;&lt;p&gt;Higher proportions of people with low proficiency in English in an area indicate higher vulnerability.&lt;/p&gt;&lt;/td&gt;&lt;/tr&gt;&lt;tr&gt;&lt;td style="border:1px solid #000;padding:.5rem;text-align:left;vertical-align:top"&gt;&lt;p&gt;Evidence supporting the use of this supporting variable&lt;/p&gt;&lt;/td&gt;&lt;td style="border:1px solid #000;padding:.5rem;text-align:left;vertical-align:top"&gt;&lt;p&gt;People who cannot read, write and/or speak English or who are less proficient in English are more likely to have difficulty obtaining and using information and guidance provided to the general public (Lindley et al., 2011).&lt;/p&gt;&lt;/td&gt;&lt;/tr&gt;&lt;/tbody&gt;&lt;/table&gt;&lt;p class="font-weight-bold mt-4 text-h6"&gt;Data Sources&lt;/p&gt;&lt;table style=border-collapse:collapse;cellspacing:0;cellpadding:0&gt;&lt;tbody&gt;&lt;tr&gt;&lt;th style="border:1px solid #000;padding:.5rem;text-align:left;vertical-align:top"&gt;Indicator description&lt;/th&gt;&lt;th style="border:1px solid #000;padding:.5rem;text-align:left;vertical-align:top"&gt;Source and provider&lt;/th&gt;&lt;th style="border:1px solid #000;padding:.5rem;text-align:left;vertical-align:top"&gt;Indicator processing details&lt;/th&gt;&lt;/tr&gt;&lt;tr&gt;&lt;td style="border:1px solid #000;padding:.5rem;text-align:left;vertical-align:top"&gt;Recent arrivals to UK (% people with &amp;lt;1 yr residency coming from outside UK)&lt;/td&gt;&lt;td style="border:1px solid #000;padding:.5rem;text-align:left;vertical-align:top"&gt;Census, ONS&lt;/td&gt;&lt;td style="border:1px solid #000;padding:.5rem;text-align:left;vertical-align:top"&gt;Census table QS801. Number of people within year of arrival 'Arrived 2010- 2011' divided by the total number of people and multiplied by 100.&lt;/td&gt;&lt;/tr&gt;&lt;tr&gt;&lt;td style="border:1px solid #000;padding:.5rem;text-align:left;vertical-align:top"&gt;Level of proficiency in English&lt;/td&gt;&lt;td style="border:1px solid #000;padding:.5rem;text-align:left;vertical-align:top"&gt;Census, ONS&lt;/td&gt;&lt;td style="border:1px solid #000;padding:.5rem;text-align:left;vertical-align:top"&gt;Census table QS205. Number of people 'Does not speak English at all' + 'Does not speak English well', divided by the total number of people and multiplied by 100.&lt;/td&gt;&lt;/tr&gt;&lt;/tbody&gt;&lt;/table&gt;&lt;br/&gt;&lt;p&gt;&lt;b&gt;Year&lt;/b&gt;: 2011&lt;/p&gt;&lt;p&gt;&lt;b&gt;Geographic subdivisions&lt;/b&gt;: Eng: LSOA; Wales: LSOA; Sccot: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class="font-weight-bold mt-4 text-h6"&gt;References&lt;/p&gt;&lt;p&gt;&lt;a href="https://pure.york.ac.uk/portal/en/publications/justice-vulnerability-and-climate-change-an-integrated-framework" target="_blank"&gt;[1]&lt;/a&gt; Lindley, S., O’Neill, J., Kandeh, J., Lawson, N., Christian, R. and O’Neill, M. (2011) Climate change, justice and vulnerability. Joseph Rowntree Foundation, York.&lt;/p&gt;&lt;/div&gt;</t>
  </si>
  <si>
    <t>Recent arrivals to UK (% arrived in UK less than 1 year ago)</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</si>
  <si>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class="infoBoxTableCell"&gt;&lt;p&gt;AT0_26_AT1_39_AT2_53&lt;/p&gt;&lt;/td&gt;&lt;/tr&gt;&lt;tr&gt;&lt;td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 Ability to Respond, Ability to Recover&lt;/p&gt;&lt;/td&gt;&lt;/tr&gt;&lt;tr&gt;&lt;td class="infoBoxTableCell"&gt;&lt;p&gt;Domain&lt;/p&gt;&lt;/td&gt;&lt;td class="infoBoxTableCell"&gt;&lt;p&gt;Information use - language&lt;/p&gt;&lt;/td&gt;&lt;/tr&gt;&lt;tr&gt;&lt;td class="infoBoxTableCell"&gt;&lt;p&gt;Indicator&lt;/p&gt;&lt;/td&gt;&lt;td class="infoBoxTableCell"&gt;&lt;p&gt;&lt;strong&gt;Recent arrivals to UK (% arrived in UK less than a year ago)&lt;/strong&gt;&lt;/p&gt;&lt;/td&gt;&lt;/tr&gt;&lt;tr&gt;&lt;td class="infoBoxTableCell"&gt;&lt;p&gt;Assumption&lt;/p&gt;&lt;/td&gt;&lt;td class="infoBoxTableCell"&gt;&lt;p&gt;Higher proportions of people recently arrived from outside the UK in an area indicate a higher vulnerability.&lt;/p&gt;&lt;/td&gt;&lt;/tr&gt;&lt;tr&gt;&lt;td class="infoBoxTableCell"&gt;&lt;p&gt;Confidence level&lt;/p&gt;&lt;/td&gt;&lt;td class="infoBoxTableCell"&gt;&lt;p&gt;Medium&lt;/p&gt;&lt;/td&gt;&lt;/tr&gt;&lt;tr&gt;&lt;td class="infoBoxTableCell"&gt;&lt;p&gt;Guidance for the use of this indicator&lt;/p&gt;&lt;/td&gt;&lt;td class="infoBoxTableCell"&gt;&lt;p&gt;People recently arrived from outside of the UK are less able to prepare for, respond to and recover from extreme weather events than other people. They are more likely to have difficulty obtaining and using information and guidance provided to the general public. However, some within this group may have English as their mother tongue and/or have no difficulties understanding the English language. They are also likely to have less local knowledge and less familiarity with national and local services. Note that the indicator source was selected to allow a more direct comparison with the equivalent 2001 indicator. An improved indicator (QS205EW) ‘Proficiency in English’ has been made available for the first time in 2011.&lt;/p&gt;&lt;/td&gt;&lt;/tr&gt;&lt;tr&gt;&lt;td class="infoBoxTableCell"&gt;&lt;p&gt;Data Source&lt;/p&gt;&lt;/td&gt;&lt;td class="infoBoxTableCell"&gt;&lt;p&gt;Census 2011, QS801, % people with &amp;lt;1 yr residency coming from outside UK&lt;/p&gt;&lt;p&gt;Office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</si>
  <si>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&lt;div class=body-1&gt;&lt;table style=border-collapse:collapse;cellspacing:0;cellpadding:0&gt;&lt;tbody&gt;&lt;tr&gt;&lt;td style="border:1px solid #000;padding:.5rem;text-align:left;vertical-align:top"&gt;&lt;p&gt;&lt;strong&gt;Item&lt;/strong&gt;&lt;/p&gt;&lt;/td&gt;&lt;td style="border:1px solid #000;padding:.5rem;text-align:left;vertical-align:top"&gt;&lt;p&gt;&lt;strong&gt;Description&lt;/strong&gt;&lt;/p&gt;&lt;/td&gt;&lt;/tr&gt;&lt;tr style="display:none;"&gt;&lt;td style="border:1px solid #000;padding:.5rem;text-align:left;vertical-align:top"&gt;&lt;p&gt;Reference&lt;/p&gt;&lt;/td&gt;&lt;td style="border:1px solid #000;padding:.5rem;text-align:left;vertical-align:top"&gt;&lt;p&gt;K1&lt;/p&gt;&lt;/td&gt;&lt;/tr&gt;&lt;tr&gt;&lt;td style="border:1px solid #000;padding:.5rem;text-align:left;vertical-align:top"&gt;&lt;p&gt;Theme&lt;/p&gt;&lt;/td&gt;&lt;td style="border:1px solid #000;padding:.5rem;text-align:left;vertical-align:top"&gt;&lt;p&gt;Vulnerability&lt;/p&gt;&lt;/td&gt;&lt;/tr&gt;&lt;tr&gt;&lt;td style="border:1px solid #000;padding:.5rem;text-align:left;vertical-align:top"&gt;&lt;p&gt;Hazard reference&lt;/p&gt;&lt;/td&gt;&lt;td style="border:1px solid #000;padding:.5rem;text-align:left;vertical-align:top"&gt;&lt;p&gt;Flood (Revised Data, 2017)&lt;/p&gt;&lt;/td&gt;&lt;/tr&gt;&lt;tr&gt;&lt;td style="border:1px solid #000;padding:.5rem;text-align:left;vertical-align:top"&gt;&lt;p&gt;Characteristic&lt;/p&gt;&lt;/td&gt;&lt;td style="border:1px solid #000;padding:.5rem;text-align:left;vertical-align:top"&gt;&lt;p&gt;Inability to Prepare and Respond&lt;/p&gt;&lt;/td&gt;&lt;/tr&gt;&lt;tr&gt;&lt;td style="border:1px solid #000;padding:.5rem;text-align:left;vertical-align:top"&gt;&lt;p&gt;Indicator&lt;/p&gt;&lt;/td&gt;&lt;td style="border:1px solid #000;padding:.5rem;text-align:left;vertical-align:top"&gt;&lt;p&gt;Local Knowledge&lt;/p&gt;&lt;/td&gt;&lt;/tr&gt;&lt;tr&gt;&lt;td style="border:1px solid #000;padding:.5rem;text-align:left;vertical-align:top"&gt;&lt;p&gt;Supporting Variable&lt;/p&gt;&lt;/td&gt;&lt;td style="border:1px solid #000;padding:.5rem;text-align:left;vertical-align:top"&gt;&lt;p&gt;New migrants from outside the local area&lt;/p&gt;&lt;/td&gt;&lt;/tr&gt;&lt;tr&gt;&lt;td style="border:1px solid #000;padding:.5rem;text-align:left;vertical-align:top"&gt;&lt;p&gt;Assumption&lt;/p&gt;&lt;/td&gt;&lt;td style="border:1px solid #000;padding:.5rem;text-align:left;vertical-align:top"&gt;&lt;p&gt;Higher proportions of people who are new to an area indicate a higher vulnerability. They have a lower ability to adapt (to prepare for events and respond to them) because they may be less aware that their new community has a flood risk issue and have less knowledge about what to do if affected.&lt;/p&gt;&lt;/td&gt;&lt;/tr&gt;&lt;tr&gt;&lt;td style="border:1px solid #000;padding:.5rem;text-align:left;vertical-align:top"&gt;&lt;p&gt;Evidence supporting the use of this supporting variable&lt;/p&gt;&lt;/td&gt;&lt;td style="border:1px solid #000;padding:.5rem;text-align:left;vertical-align:top"&gt;&lt;p&gt;More information about the issues faced by people who are new to an area, as well as what can be done to help, is available in the main site. &lt;a href=http://www.climatejust.org.uk/messages/people-who-have-lived-area-short-time target=_blank&gt;http://www.climatejust.org.uk/messages/people-who-have-lived-area-short-time&lt;/a&gt;&lt;/p&gt;&lt;p&gt;Communities where population turnover is high may be less aware of the likelihood of being affected by events like floods, how to respond and where to seek support (Penning-Rowsell et al., 1986).&lt;/p&gt;&lt;p&gt;People who have recently moved into an area may lack awareness of local flood risk provided through family and community clues. Blaikie et al. (1994) states that lack of knowledge and information is one of the most important underlying reasons for vulnerability (Werritty et al., 2007).&lt;/p&gt;&lt;p&gt;People living in rural areas tend to have more knowledge of local flood risk compared to urban areas, not least (but not exclusively) because they have longer residence times (Penning-Rowsell et al., 1986).&lt;/p&gt;&lt;/td&gt;&lt;/tr&gt;&lt;/tbody&gt;&lt;/table&gt;&lt;p class="font-weight-bold mt-4 text-h6"&gt;Data Sources&lt;/p&gt;&lt;table style=border-collapse:collapse;cellspacing:0;cellpadding:0&gt;&lt;tbody&gt;&lt;tr&gt;&lt;th style="border:1px solid #000;padding:.5rem;text-align:left;vertical-align:top"&gt;Indicator description&lt;/th&gt;&lt;th style="border:1px solid #000;padding:.5rem;text-align:left;vertical-align:top"&gt;Source and provider&lt;/th&gt;&lt;th style="border:1px solid #000;padding:.5rem;text-align:left;vertical-align:top"&gt;Indicator processing details&lt;/th&gt;&lt;/tr&gt;&lt;tr&gt;&lt;td style="border:1px solid #000;padding:.5rem;text-align:left;vertical-align:top"&gt;New migrants from outside the local area&lt;/td&gt;&lt;td style="border:1px solid #000;padding:.5rem;text-align:left;vertical-align:top"&gt;Census, ONS&lt;/td&gt;&lt;td style="border:1px solid #000;padding:.5rem;text-align:left;vertical-align:top"&gt;Census table UKMIG001. Number of people who 'Lived elsewhere one year ago outside the area but within 'associated area'' + 'Lived elsewhere one year ago outside the 'associated area' but within the UK' (where associated area is the next level up in the census geography hierarchy, i.e. local authority in this case), divided by the total number of residents and multiplied by 100.&lt;/td&gt;&lt;/tr&gt;&lt;/tbody&gt;&lt;/table&gt;&lt;br /&gt;&lt;p&gt;&lt;b&gt;Year&lt;/b&gt;: 2011&lt;/p&gt;&lt;p&gt;&lt;b&gt;Geographic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href=""target=_blank&gt;gov.scot/Topics/Statistics/sns/BoundMap&lt;/a&gt; 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class="font-weight-bold mt-4 text-h6"&gt;References&lt;/p&gt;&lt;p&gt;&lt;a href="https://www.researchgate.net/publication/323368943_At_Risk_Natural_Hazards_People's_Vulnerability_and_Disasters/link/5a941e3b0f7e9ba4296fef4f/download?_tp=eyJjb250ZXh0Ijp7InBhZ2UiOiJwdWJsaWNhdGlvbiIsInByZXZpb3VzUGFnZSI6bnVsbH19" target="_blank"&gt;[1]&lt;/a&gt; Blaikie, P., Cannon, T. Davis, I. and Wisner, B. (1994) At Risk: Natural Hazards, People’s Vulnerability, and Disasters. Routledge: London.&lt;/p&gt;&lt;p&gt;&lt;a href="https://journals.sagepub.com/doi/10.1177/030913338701100210" target="_black"&gt;[2]&lt;/a&gt; Penning-Rowsell, E.C., Parker, D.J. and Harding, D.M. (1986) Floods and Drainage. London: Allen and Unwin.&lt;/p&gt;&lt;p&gt;&lt;a href="https://discovery.dundee.ac.uk/en/publications/exploring-the-social-impacts-of-flood-risk-and-flooding-in-scotla" target="_blank"&gt;[3]&lt;/a&gt; Werritty, A, Houston, D., Ball, T., Tavendale. T., and Black. A.2007). Exploring the social impacts of flood risk and flooding in Scotland. Report for the Scottish Executive, 2007. &lt;/p&gt;&lt;/div&gt;</t>
  </si>
  <si>
    <t>&lt;div class=body-1&gt;&lt;table style=border-collapse:collapse;cellspacing:0;cellpadding:0&gt;&lt;tbody&gt;&lt;tr&gt;&lt;td style="border:1px solid #000;padding:.5rem;text-align:left;vertical-align:top"&gt;&lt;p&gt;&lt;strong&gt;Item&lt;/strong&gt;&lt;/p&gt;&lt;/td&gt;&lt;td style="border:1px solid #000;padding:.5rem;text-align:left;vertical-align:top"&gt;&lt;p&gt;&lt;strong&gt;Description&lt;/strong&gt;&lt;/p&gt;&lt;/td&gt;&lt;/tr&gt;&lt;tr style=display:none&gt;&lt;td style="border:1px solid #000;padding:.5rem;text-align:left;vertical-align:top"&gt;&lt;p&gt;Reference&lt;/p&gt;&lt;/td&gt;&lt;td style="border:1px solid #000;padding:.5rem;text-align:left;vertical-align:top"&gt;&lt;p&gt;T1 and T2&lt;/p&gt;&lt;/td&gt;&lt;/tr&gt;&lt;tr&gt;&lt;td style="border:1px solid #000;padding:.5rem;text-align:left;vertical-align:top"&gt;&lt;p&gt;Theme&lt;/p&gt;&lt;/td&gt;&lt;td style="border:1px solid #000;padding:.5rem;text-align:left;vertical-align:top"&gt;&lt;p&gt;Vulnerability&lt;/p&gt;&lt;/td&gt;&lt;/tr&gt;&lt;tr&gt;&lt;td style="border:1px solid #000;padding:.5rem;text-align:left;vertical-align:top"&gt;&lt;p&gt;Hazard reference&lt;/p&gt;&lt;/td&gt;&lt;td style="border:1px solid #000;padding:.5rem;text-align:left;vertical-align:top"&gt;&lt;p&gt;Flood (Revised Data, 2017)&lt;/p&gt;&lt;/td&gt;&lt;/tr&gt;&lt;tr&gt;&lt;td style="border:1px solid #000;padding:.5rem;text-align:left;vertical-align:top"&gt;&lt;p&gt;Characteristic&lt;/p&gt;&lt;/td&gt;&lt;td style="border:1px solid #000;padding:.5rem;text-align:left;vertical-align:top"&gt;&lt;p&gt;Ability to Prepare&lt;/p&gt;&lt;/td&gt;&lt;/tr&gt;&lt;tr&gt;&lt;td style="border:1px solid #000;padding:.5rem;text-align:left;vertical-align:top"&gt;&lt;p&gt;Indicator&lt;/p&gt;&lt;/td&gt;&lt;td style="border:1px solid #000;padding:.5rem;text-align:left;vertical-align:top"&gt;&lt;p&gt;Property Tenure&lt;/p&gt;&lt;/td&gt;&lt;/tr&gt;&lt;tr&gt;&lt;td style="border:1px solid #000;padding:.5rem;text-align:left;vertical-align:top"&gt;&lt;p&gt;Supporting Variable&lt;/p&gt;&lt;/td&gt;&lt;td style="border:1px solid #000;padding:.5rem;text-align:left;vertical-align:top"&gt;&lt;p&gt;Private Renters and Social Renters (See table below)&lt;/p&gt;&lt;/td&gt;&lt;/tr&gt;&lt;tr&gt;&lt;td style="border:1px solid #000;padding:.5rem;text-align:left;vertical-align:top"&gt;&lt;p&gt;Assumption&lt;/p&gt;&lt;/td&gt;&lt;td style="border:1px solid #000;padding:.5rem;text-align:left;vertical-align:top"&gt;&lt;p&gt;More information about people renting their homes and social vulnerability, as well as what can be done to help, is available in the main site. &lt;a href=http://www.climatejust.org.uk/messages/tenants-0 target=_blank&gt;http://www.climatejust.org.uk/messages/tenants-0&lt;/a&gt;&lt;/p&gt;&lt;p&gt;Social housing tenants may encounter difficulties in preparing for and responding to flooding due to their living arrangements and because they are likely to have a low income.&lt;/p&gt;&lt;p&gt;Tenants are often not allowed to make physical alterations to their properties, and leaseholders may be disinclined to as they may not feel the additional expense of making those changes is worthwhile given that they do not own the freehold. Landlords of social housing may be more inclined to make these alterations, but little quantified evidence exists.&lt;/p&gt;&lt;p&gt;Where tenants are permitted to make physical alterations to their dwellings, there is little incentive to do so. This may be because:&lt;/p&gt;&lt;ul&gt;&lt;li&gt;Tenancies are often short, with limited security of tenure so these residents are likely to be less aware of the flood risk in their neighbourhoods;&lt;/li&gt;&lt;li&gt;Tenants are generally less well-off than homeowners (The Poverty Site, 2014), and therefore cannot afford to install meaningful physical risk reducing measures.&lt;/li&gt;&lt;li&gt;Tenants are less likely than homeowners to speak English as their first language and so may not be easily able to access information on flood risk and preparedness.&lt;/li&gt;&lt;/ul&gt;&lt;/td&gt;&lt;/tr&gt;&lt;/tbody&gt;&lt;/table&gt;&lt;p class="font-weight-bold mt-4 text-h6"&gt;Data Sources&lt;/p&gt;&lt;table style=border-collapse:collapse;cellspacing:0;cellpadding:0&gt;&lt;tbody&gt;&lt;tr&gt;&lt;th style="border:1px solid #000;padding:.5rem;text-align:left;vertical-align:top"&gt;Indicator description&lt;/th&gt;&lt;th style="border:1px solid #000;padding:.5rem;text-align:left;vertical-align:top"&gt;Source and provider&lt;/th&gt;&lt;th style="border:1px solid #000;padding:.5rem;text-align:left;vertical-align:top"&gt;Indicator processing details&lt;/th&gt;&lt;/tr&gt;&lt;tr&gt;&lt;td style="border:1px solid #000;padding:.5rem;text-align:left;vertical-align:top"&gt;Private renters (% Households)&lt;/td&gt;&lt;td style="border:1px solid #000;padding:.5rem;text-align:left;vertical-align:top"&gt;Census, ONS&lt;/td&gt;&lt;td style="border:1px solid #000;padding:.5rem;text-align:left;vertical-align:top"&gt;Census table KS402. Number of households 'Rented: Private Landlord or Letting Agency' + 'Rented: Other', divided by the total number of households and multiplied by 100.&lt;/td&gt;&lt;/tr&gt;&lt;tr&gt;&lt;td style="border:1px solid #000;padding:.5rem;text-align:left;vertical-align:top"&gt;Social renters (% Households renting from Social or Council landlors)&lt;/td&gt;&lt;td style="border:1px solid #000;padding:.5rem;text-align:left;vertical-align:top"&gt;Census, ONS&lt;/td&gt;&lt;td style="border:1px solid #000;padding:.5rem;text-align:left;vertical-align:top"&gt;Census table QS205. Census table KS402. Number of households 'Rented: Council (Local authority)' + 'Rented: Other social rented', divided by the total number of households and multiplied by 100.&lt;/td&gt;&lt;/tr&gt;&lt;/tbody&gt;&lt;/table&gt;&lt;br&gt;&lt;p&gt;&lt;b&gt;Year&lt;/b&gt;: 2011&lt;/p&gt;&lt;p&gt;&lt;b&gt;Geographic subdivisions&lt;/b&gt;: Eng: LSOA; Wales: LSOA; Scot: DZ; NI: SOA.&lt;/p&gt;&lt;p&gt;&lt;b&gt;Source and provider&lt;/b&gt;: Census, ONS.&lt;/p&gt;&lt;p&gt;Office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class="font-weight-bold mt-4 text-h6"&gt;References&lt;/p&gt;&lt;p&gt;&lt;a href="http://www.poverty.org.uk/summary/key facts.shtml"target=_blank&gt;[1]&lt;/a&gt; The Poverty Site. (2014). The Poverty Site: Key Facts.&lt;/p&gt;&lt;/div&gt;</t>
  </si>
  <si>
    <t>&lt;div class="body-1"&gt;&lt;table class="infoBoxTable"&gt;&lt;tbody&gt;&lt;tr&gt;&lt;td class="infoBoxTableCell"&gt;&lt;p&gt;&lt;strong&gt;Item&lt;/strong&gt;&lt;/p&gt;&lt;/td&gt;&lt;td class="infoBoxTableCell"&gt;&lt;p&gt;&lt;strong&gt;Description&lt;/strong&gt;&lt;/p&gt;&lt;/td&gt;&lt;/tr style="display:none;"&gt;&lt;tr style="display:none"&gt;&lt;td class="infoBoxTableCell"&gt;&lt;p&gt;Reference&lt;/p&gt;&lt;/td&gt;&lt;td class="infoBoxTableCell"&gt;&lt;p&gt;AT0_12&lt;/p&gt;&lt;/td&gt;&lt;/tr&gt;&lt;tr&gt;&lt;td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Prepare&lt;/p&gt;&lt;/td&gt;&lt;/tr&gt;&lt;tr&gt;&lt;td class="infoBoxTableCell"&gt;&lt;p&gt;Domain&lt;/p&gt;&lt;/td&gt;&lt;td class="infoBoxTableCell"&gt;&lt;p&gt;Tenure&lt;/p&gt;&lt;/td&gt;&lt;/tr&gt;&lt;tr&gt;&lt;td class="infoBoxTableCell"&gt;&lt;p&gt;Indicator&lt;/p&gt;&lt;/td&gt;&lt;td class="infoBoxTableCell"&gt;&lt;p&gt;&lt;strong&gt;Private renters (% Households)&lt;/strong&gt;&lt;/p&gt;&lt;/td&gt;&lt;/tr&gt;&lt;tr&gt;&lt;td class="infoBoxTableCell"&gt;&lt;p&gt;Assumption&lt;/p&gt;&lt;/td&gt;&lt;td class="infoBoxTableCell"&gt;&lt;p&gt;Higher proportions of private renters in an area indicate a higher vulnerability as renters have a lower ability to adapt their homes.&lt;/p&gt;&lt;/td&gt;&lt;/tr&gt;&lt;tr&gt;&lt;td class="infoBoxTableCell"&gt;&lt;p&gt;Confidence level&lt;/p&gt;&lt;/td&gt;&lt;td class="infoBoxTableCell"&gt;&lt;p&gt;High&lt;/p&gt;&lt;/td&gt;&lt;/tr&gt;&lt;tr&gt;&lt;td class="infoBoxTableCell"&gt;&lt;p&gt;Guidance for the use of this indicator&lt;/p&gt;&lt;/td&gt;&lt;td class="infoBoxTableCell"&gt;&lt;p&gt;Private renters are less able to prepare for extreme weather events, for example due to inability to modify their homes to prepare for flooding or heatwaves. See our &lt;a href="http://climatejust.org.uk/messages/tenants-0"&gt;dedicated pages on this topic&lt;/a&gt;for more information and for actions associated with this group. Additional, more refined, data may be available at the local level.&lt;/p&gt;&lt;/td&gt;&lt;/tr&gt;&lt;tr&gt;&lt;td class="infoBoxTableCell"&gt;&lt;p&gt;Data Source&lt;/p&gt;&lt;/td&gt;&lt;td class="infoBoxTableCell"&gt;&lt;p&gt;Census 2011, KS402, % households Private Rented; Private Landlord or Letting Agency + % households Private Rented; Other&lt;/p&gt;&lt;p&gt;Office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</si>
  <si>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class="infoBoxTableCell"&gt;&lt;p&gt;AT0_11&lt;/p&gt;&lt;/td&gt;&lt;/tr&gt;&lt;tr&gt;&lt;td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Prepare&lt;/p&gt;&lt;/td&gt;&lt;/tr&gt;&lt;tr&gt;&lt;td class="infoBoxTableCell"&gt;&lt;p&gt;Domain&lt;/p&gt;&lt;/td&gt;&lt;td class="infoBoxTableCell"&gt;&lt;p&gt;Tenure&lt;/p&gt;&lt;/td&gt;&lt;/tr&gt;&lt;tr&gt;&lt;td class="infoBoxTableCell"&gt;&lt;p&gt;Indicator&lt;/p&gt;&lt;/td&gt;&lt;td class="infoBoxTableCell"&gt;&lt;p&gt;&lt;strong&gt;Social renters (% Households renting from Social or Council landlords)&lt;/strong&gt;&lt;/p&gt;&lt;/td&gt;&lt;/tr&gt;&lt;tr&gt;&lt;td class="infoBoxTableCell"&gt;&lt;p&gt;Assumption&lt;/p&gt;&lt;/td&gt;&lt;td class="infoBoxTableCell"&gt;&lt;p&gt;Higher proportions of social renters in an area indicate a higher vulnerability as renters have a lower ability to adapt their homes.&lt;/p&gt;&lt;/td&gt;&lt;/tr&gt;&lt;tr&gt;&lt;td class="infoBoxTableCell"&gt;&lt;p&gt;Confidence level&lt;/p&gt;&lt;/td&gt;&lt;td class="infoBoxTableCell"&gt;&lt;p&gt;High&lt;/p&gt;&lt;/td&gt;&lt;/tr&gt;&lt;tr&gt;&lt;td class="infoBoxTableCell"&gt;&lt;p&gt;Guidance for the use of this indicator&lt;/p&gt;&lt;/td&gt;&lt;td class="infoBoxTableCell"&gt;&lt;p&gt;Social renters are less able to prepare for extreme weather events, for example due to inability to modify their homes to prepare for flooding or heatwaves. See our &lt;a href="http://climatejust.org.uk/messages/tenants-0" target="_blank"&gt;dedicated pages on this topic&lt;/a&gt;for more information and for actions associated with this group. Additional, more refined, data may be available at the local level.&lt;/p&gt;&lt;/td&gt;&lt;/tr&gt;&lt;tr&gt;&lt;td class="infoBoxTableCell"&gt;&lt;p&gt;Data Source&lt;/p&gt;&lt;/td&gt;&lt;td class="infoBoxTableCell"&gt;&lt;p&gt;Census 2011, KS402, % households social rented: council (rented from local authority) + % households social rented: other&lt;/p&gt;&lt;p&gt;Office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</si>
  <si>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&lt;div class="body-1"&gt;&lt;p&gt;The new Neighbourhood Flood Vulnerability Index (NFVI) provides insight into the social vulnerability of a neighbourhood should a flood occur. The NFVI combines five &lt;b&gt; &lt;i&gt;characteristics&lt;/i&gt; &lt;/b&gt; of vulnerability:&lt;/p&gt;&lt;ul&gt;&lt;li style="margin: 0.7rem 0rem;"&gt; &lt;b&gt;Susceptibility&lt;/b&gt; - describing the predisposition of an individual to experience a loss of well-being when exposed to a flood. It is widely evidenced that the dominant characteristics that influence susceptibility to harm relate to the age (the old and very young) and health of the individuals exposed.&lt;/li&gt;&lt;li style="margin: 0.7rem 0rem;"&gt; &lt;b&gt;Ability to prepare&lt;/b&gt; - reflecting the actions taken by an individual during normal conditions (i.e. in the absence of a forecast or actual flood) that are likely to reduce the harm they suffer when a future flood occurs. Although an area of continued research, an individual’s ability to prepare is influenced by their income, capacity to act, local knowledge and property tenure.&lt;/li&gt;&lt;li style="margin: 0.7rem 0rem;"&gt; &lt;b&gt;Ability to respond&lt;/b&gt; – reflecting the underlying reasons why some individuals act more effectively in the run up to and during a flood. Although this is an area of continued research, there is broad agreement that an individual’s ability to respond is influenced by their income, capacity to access and use formal and informal information, local knowledge and physical mobility.&lt;/li&gt;&lt;li style="margin: 0.7rem 0rem;"&gt; &lt;b&gt;Ability to recover&lt;/b&gt; – reflecting the degree to which an individual can aid their own recovery is influenced by several factors, particularly their income, capacity to use information, and physical mobility. Many flood events have highlighted the length of time it can take for individuals and communities to recover from a flood.&lt;/li&gt;&lt;li style="margin: 0.7rem 0rem;"&gt; &lt;b&gt;Community support&lt;/b&gt; – recognising how the availability and quality of services provided by health and emergency services as well as broader care and social services influence the severity of harm caused by a flood . A formal representation of community cohesion and its influence on flood vulnerability is not available. However, the following are considered to gauge the nature of this support: housing characteristics; the collective experience of past floods; the likely availability of community services in a flood (including emergency service provides, schools, GPs, care homes); and the social networks that exist.&lt;/li&gt;&lt;/ul&gt;&lt;p&gt;The map tool contains maps for each of the above characteristics. The characteristics layers are made up of indicators like Age and Health (which are mapped separately) and a series of supporting variables, each of which has its own information sheet.&lt;/p&gt;&lt;p&gt;Map categories are given according to scores in the index with Acute indicating areas where social vulnerability is highest in a UK context: Acute, Very High, Relatively High; Average (UK mean); Relatively Low, Very Low and Slight. See the technical guide for more information.&lt;/p&gt;&lt;p class="text-h6 font-weight-bold mt-4"&gt;References&lt;/p&gt;&lt;p&gt;Sayers,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target="_blank"&gt;here&lt;/a&gt;.&lt;/p&gt;&lt;button type="button" class="btn btn-primary pull-right" onclick="closeWin()"&gt;Close&lt;/button&gt;&lt;/div&gt;</t>
  </si>
  <si>
    <t>&lt;div class="body-1"&gt;&lt;table class="infoBoxTable"&gt;&lt;tbody&gt;&lt;tr&gt;&lt;td class="infoBoxTableCell"&gt;&lt;p&gt;&lt;strong&gt;Item&lt;/strong&gt;&lt;/p&gt;&lt;/td&gt;&lt;td class="infoBoxTableCell"&gt;&lt;p&gt;&lt;strong&gt;Description&lt;/strong&gt;&lt;/p&gt;&lt;/td&gt;&lt;/tr&gt;&lt;tr&gt;&lt;td class="infoBoxTableCell"&gt;&lt;p&gt;Reference&lt;/p&gt;&lt;/td&gt;&lt;td class="infoBoxTableCell"&gt;&lt;p&gt;I1, I2, I3, I4 &amp; I5&lt;/p&gt;&lt;/td&gt;&lt;/tr&gt;&lt;tr&gt;&lt;td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class="infoBoxTableCell"&gt;&lt;p&gt;Inability to Prepare, Respond and Recover&lt;/p&gt;&lt;/td&gt;&lt;/tr&gt;&lt;tr&gt;&lt;td class="infoBoxTableCell"&gt;&lt;p&gt;Indicator&lt;/p&gt;&lt;/td&gt;&lt;td class="infoBoxTableCell"&gt;&lt;p&gt;Income&lt;/p&gt;&lt;/td&gt;&lt;/tr&gt;&lt;tr&gt;&lt;td class="infoBoxTableCell"&gt;&lt;p&gt;Supporting Variable&lt;/p&gt;&lt;/td&gt;&lt;td class="infoBoxTableCell"&gt;&lt;p&gt;See table below&lt;/p&gt;&lt;/td&gt;&lt;/tr&gt;&lt;tr&gt;&lt;td class="infoBoxTableCell"&gt;&lt;p&gt;Assumption&lt;/p&gt;&lt;/td&gt;&lt;td class="infoBoxTableCell"&gt;&lt;p&gt;Higher proportions of people on low incomes in an area indicate a higher vulnerability. Low income households are more vulnerable to flooding due to the effect of low income on people’s ability to adapt (to prepare for events, respond to them when they occur and recover from them afterwards).&lt;/p&gt;&lt;/td&gt;&lt;/tr&gt;&lt;tr&gt;&lt;td class="infoBoxTableCell"&gt;&lt;p&gt;Evidence supporting the use of this supporting variable&lt;/p&gt;&lt;/td&gt;&lt;td class="infoBoxTableCell"&gt;&lt;p&gt;More information about people on low incomes and social vulnerability, as well as what can be done to help, is available in the main site. &lt;a href="http://www.climatejust.org.uk/messages/people-low-incomes" target="_blank"&gt;http://www.climatejust.org.uk/messages/people-low-incomes&lt;/a&gt;&lt;/p&gt;&lt;p&gt;Some of the specific evidence for this indicator includes:&lt;/p&gt;&lt;ul&gt;&lt;li&gt;Low income households are less likely to have the capacity to fully prepare for future floods (through insurance and property level measures).&lt;/li&gt;&lt;li&gt;Low income households are less likely to own their own home. Housing tenure together with low income may restrict people’s ability to make modifications to the home they do not own (Fielding and Burningham, 2005).&lt;/li&gt;&lt;li&gt;A lack of savings restricts the ability of households to respond immediately to flood damage, e.g. through spending on repairs and replacements that would kick-start a recovery process. (Tapsell et al., 2002)&lt;/li&gt;&lt;li&gt;Disruption of transport systems by flood events is likely to particularly affect people who depend upon (rather than choose to use) public transport to get to their place of work or to access other services (for example, public transport is typically more used by low income households).&lt;/li&gt;&lt;/ul&gt;&lt;/td&gt;&lt;/tr&gt;&lt;p class ="lead"&gt;Data Sources&lt;/p&gt;&lt;/tbody&gt;&lt;/table&gt;&lt;p class="text-h6 font-weight-bold mt-4"&gt;Data Sources&lt;/p&gt;&lt;table class="infoBoxTable"&gt;&lt;tbody&gt;&lt;tr&gt;&lt;th class="infoBoxTableCell"&gt;ID&lt;/th&gt;&lt;th class="infoBoxTableCell"&gt;Indicator description&lt;/th&gt;&lt;th class="infoBoxTableCell"&gt;Source and provider&lt;/th&gt;&lt;th class="infoBoxTableCell"&gt;Date&lt;/th&gt;&lt;th class="infoBoxTableCell"&gt;Indicator processing details&lt;/th&gt;&lt;th class="infoBoxTableCell"&gt;Eng&lt;/th&gt;&lt;th class="infoBoxTableCell"&gt;Wales&lt;/th&gt;&lt;th class="infoBoxTableCell"&gt;Scot&lt;/th&gt;&lt;th class="infoBoxTableCell"&gt;NI&lt;/th&gt;&lt;/tr&gt;&lt;tr&gt;&lt;td class="infoBoxTableCell"&gt;i1&lt;/td&gt;&lt;td class="infoBoxTableCell"&gt;Unemployed (% unemployed)&lt;/td&gt;&lt;td class="infoBoxTableCell"&gt;Census, ONS&lt;/td&gt;&lt;td class="infoBoxTableCell"&gt;2011&lt;/td&gt;&lt;td class="infoBoxTableCell"&gt;KS501, % Unemployed in population aged 16 -74&lt;/td&gt;&lt;td class="infoBoxTableCell"&gt;LSOA&lt;/td&gt;&lt;td class="infoBoxTableCell"&gt;LSOA&lt;/td&gt;&lt;td class="infoBoxTableCell"&gt;DZ&lt;/td&gt;&lt;td class="infoBoxTableCell"&gt;SOA&lt;/td&gt;&lt;/tr&gt;&lt;tr&gt;&lt;td class="infoBoxTableCell"&gt;i2&lt;/td&gt;&lt;td class="infoBoxTableCell"&gt;Long-term unemployed (% who are LTU or who have never worked)&lt;/td&gt;&lt;td class="infoBoxTableCell"&gt;Census, ONS&lt;/td&gt;&lt;td class="infoBoxTableCell"&gt;2011&lt;/td&gt;&lt;td class="infoBoxTableCell"&gt;Census table KS611. Number of people aged 16- 74 'never worked and long- term unemployed' divided by the total number of people aged 16-74 and multiplied by 100.&lt;/td&gt;&lt;td class="infoBoxTableCell"&gt;LSOA&lt;/td&gt;&lt;td class="infoBoxTableCell"&gt;LSOA&lt;/td&gt;&lt;td class="infoBoxTableCell"&gt;DZ&lt;/td&gt;&lt;td class="infoBoxTableCell"&gt;SOA&lt;/td&gt;&lt;/tr&gt;&lt;tr&gt;&lt;td class="infoBoxTableCell"&gt;i3&lt;/td&gt;&lt;td class="infoBoxTableCell"&gt;Low income occupations (% in routine or semi- routine occupations)&lt;/td&gt;&lt;td class="infoBoxTableCell"&gt;Census, ONS&lt;/td&gt;&lt;td class="infoBoxTableCell"&gt;2011&lt;/td&gt;&lt;td class="infoBoxTableCell"&gt;Census table KS611. Number of people aged 16- 74 in routine occupations + number of people in semi- routine occupations divided by all people aged 16 to 74 and multiplied by 100&lt;/td&gt;&lt;td class="infoBoxTableCell"&gt;LSOA&lt;/td&gt;&lt;td class="infoBoxTableCell"&gt;LSOA&lt;/td&gt;&lt;td class="infoBoxTableCell"&gt;DZ&lt;/td&gt;&lt;td class="infoBoxTableCell"&gt;SOA&lt;/td&gt;&lt;/tr&gt;&lt;tr&gt;&lt;td class="infoBoxTableCell"&gt;i4&lt;/td&gt;&lt;td class="infoBoxTableCell"&gt;Households with dependent children and no adults in employment (%)&lt;/td&gt;&lt;td class="infoBoxTableCell"&gt;Census, ONS&lt;/td&gt;&lt;td class="infoBoxTableCell"&gt;2011&lt;/td&gt;&lt;td class="infoBoxTableCell"&gt;Census table KS106. Number of households 'No adults in employment in household: With dependent children' divided by the total number of households and multiplied by 100.&lt;/td&gt;&lt;td class="infoBoxTableCell"&gt;LSOA&lt;/td&gt;&lt;td class="infoBoxTableCell"&gt;LSOA&lt;/td&gt;&lt;td class="infoBoxTableCell"&gt;DZ&lt;/td&gt;&lt;td class="infoBoxTableCell"&gt;SOA&lt;/td&gt;&lt;/tr&gt;&lt;tr&gt;&lt;td class="infoBoxTableCell"&gt;i5&lt;/td&gt;&lt;td class="infoBoxTableCell"&gt;People income deprived (%)&lt;/td&gt;&lt;td class="infoBoxTableCell"&gt;ONS, National Records of Scotland, Northern Ireland Department for Communities&lt;/td&gt;&lt;td class="infoBoxTableCell"&gt;2010&lt;/td&gt;&lt;td class="infoBoxTableCell"&gt;England: IMD; Average Weekly Household Net Income Estimate (equivalised after housing costs); Scotland: SIMD Income index, i.e. "percentage of people income deprived"; Wales: As England; Northern Ireland: NIIMD 2010.&lt;/td&gt;&lt;td class="infoBoxTableCell"&gt;LSOA&lt;/td&gt;&lt;td class="infoBoxTableCell"&gt;LSOA&lt;/td&gt;&lt;td class="infoBoxTableCell"&gt;DZ&lt;/td&gt;&lt;td class="infoBoxTableCell"&gt;SOA&lt;/td&gt;&lt;/tr&gt;&lt;/tbody&gt;&lt;/table&gt;&lt;p&gt;Office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mclass="text-h6 font-weight-bold mt-4"&gt;References&lt;/p&gt;&lt;p&gt;Fielding, J., &amp; Burningham, K. (2005). Environmental Inequality and Flood Hazard, Local Environment 10(4), 1–17.&lt;/p&gt;&lt;p&gt;Tapsell, S. M., Penning-Rowsell, E. C., Tunstall, S. M. and Wilson, T. L. (2002) Vulnerability to flooding: health and social dimensions, Flood risk in a changing climate. Papers of a Discussion Meeting organized and edited by D. Cox, J. Hunt, P. Mason, H. Wheater and P. Wolf. 15 July 2002, Vol 360, No. 1796, Philosophical Transactions of The Royal Society, Mathematical, Physical and Engineering Sciences pp. 1511-1525 - ISSN: 1364503X&lt;/p&gt;&lt;/div&gt;</t>
  </si>
  <si>
    <t>&lt;div class=body-1&gt;&lt;table style=border-collapse:collapse;cellspacing:0;cellpadding:0&gt;&lt;tbody&gt;&lt;tr&gt;&lt;td style="border:1px solid #000;padding:.5rem;text-align:left;vertical-align:top"&gt;&lt;p&gt;&lt;strong&gt;Item&lt;/strong&gt;&lt;/p&gt;&lt;/td&gt;&lt;td style="border:1px solid #000;padding:.5rem;text-align:left;vertical-align:top"&gt;&lt;p&gt;&lt;strong&gt;Description&lt;/strong&gt;&lt;/p&gt;&lt;/td&gt;&lt;/tr&gt;&lt;tr style=display:none&gt;&lt;td style="border:1px solid #000;padding:.5rem;text-align:left;vertical-align:top"&gt;&lt;p&gt;Reference&lt;/p&gt;&lt;/td&gt;&lt;td style="border:1px solid #000;padding:.5rem;text-align:left;vertical-align:top"&gt;&lt;p&gt;M1, M2 &amp; M3&lt;/p&gt;&lt;/td&gt;&lt;/tr&gt;&lt;tr&gt;&lt;td style="border:1px solid #000;padding:.5rem;text-align:left;vertical-align:top"&gt;&lt;p&gt;Theme&lt;/p&gt;&lt;/td&gt;&lt;td style="border:1px solid #000;padding:.5rem;text-align:left;vertical-align:top"&gt;&lt;p&gt;Vulnerability&lt;/p&gt;&lt;/td&gt;&lt;/tr&gt;&lt;tr&gt;&lt;td style="border:1px solid #000;padding:.5rem;text-align:left;vertical-align:top"&gt;&lt;p&gt;Hazard reference&lt;/p&gt;&lt;/td&gt;&lt;td style="border:1px solid #000;padding:.5rem;text-align:left;vertical-align:top"&gt;&lt;p&gt;Flood (Revised Data, 2017)&lt;/p&gt;&lt;/td&gt;&lt;/tr&gt;&lt;tr&gt;&lt;td style="border:1px solid #000;padding:.5rem;text-align:left;vertical-align:top"&gt;&lt;p&gt;Characteristic&lt;/p&gt;&lt;/td&gt;&lt;td style="border:1px solid #000;padding:.5rem;text-align:left;vertical-align:top"&gt;&lt;p&gt;Ability to Respond and Ability to Recover&lt;/p&gt;&lt;/td&gt;&lt;/tr&gt;&lt;tr&gt;&lt;td style="border:1px solid #000;padding:.5rem;text-align:left;vertical-align:top"&gt;&lt;p&gt;Indicator&lt;/p&gt;&lt;/td&gt;&lt;td style="border:1px solid #000;padding:.5rem;text-align:left;vertical-align:top"&gt;&lt;p&gt;Physical Mobility&lt;/p&gt;&lt;/td&gt;&lt;/tr&gt;&lt;tr&gt;&lt;td style="border:1px solid #000;padding:.5rem;text-align:left;vertical-align:top"&gt;&lt;p&gt;Supporting Variable&lt;/p&gt;&lt;/td&gt;&lt;td style="border:1px solid #000;padding:.5rem;text-align:left;vertical-align:top"&gt;&lt;p&gt;&lt;strong&gt;High levels of disability, People living in medical and care establishments, Lack of private transport (see table below)&lt;/strong&gt;&lt;/p&gt;&lt;/td&gt;&lt;/tr&gt;&lt;tr&gt;&lt;td style="border:1px solid #000;padding:.5rem;text-align:left;vertical-align:top"&gt;&lt;p&gt;Assumption&lt;/p&gt;&lt;/td&gt;&lt;td style="border:1px solid #000;padding:.5rem;text-align:left;vertical-align:top"&gt;&lt;p&gt;Higher proportions of people with low personal, physical mobility in an area indicate a higher vulnerability. Limited physical mobility creates a number of practical challenges in preparing for, responding to and recovering from a flood. This means that impacts tend to be greater.&lt;/p&gt;&lt;/td&gt;&lt;/tr&gt;&lt;tr&gt;&lt;td style="border:1px solid #000;padding:.5rem;text-align:left;vertical-align:top"&gt;&lt;p&gt;Evidence supporting the use of this supporting variable&lt;/p&gt;&lt;/td&gt;&lt;td style="border:1px solid #000;padding:.5rem;text-align:left;vertical-align:top"&gt;&lt;p&gt;More information about people with low physical mobility and social vulnerability, as well as what can be done to help, is available in the main site. &lt;a href=http://www.climatejust.org.uk/messages/people-low-personal-mobility target=_blank&gt;http://www.climatejust.org.uk/messages/people-low-personal-mobility&lt;/a&gt;&lt;/p&gt;&lt;ul&gt;&lt;li&gt;Someone with a disability will require a higher amount of resources and planning for them to reach the same level of wellbeing as someone without that disability and this should be reflected in disaster management and evacuation plans (Cabinet Office, 2013).&lt;/li&gt;&lt;li&gt;People with reduced mobility may be more reliant on others to assist them for example during evacuation either from their own homes or from serviced accommodation such as care homes. Disruption caused by a flood may prevent carers reaching those they care for and may leave assistance tools such as electronic lifts unusable.&lt;/li&gt;&lt;li&gt;Where individuals are normally able to help themselves, any loss of power or internal flooding may severely reduce their capacity to do so.&lt;/li&gt;&lt;/ul&gt;&lt;/td&gt;&lt;/tr&gt;&lt;/tbody&gt;&lt;/table&gt;&lt;p class="font-weight-bold mt-4 text-h6"&gt;Data Sources&lt;/p&gt;&lt;table style=border-collapse:collapse;cellspacing:0;cellpadding:0&gt;&lt;tbody&gt;&lt;tr&gt;&lt;th style="border:1px solid #000;padding:.5rem;text-align:left;vertical-align:top"&gt;Indicator description&lt;/th&gt;&lt;th style="border:1px solid #000;padding:.5rem;text-align:left;vertical-align:top"&gt;Indicator processing details&lt;/th&gt;&lt;/tr&gt;&lt;tr&gt;&lt;td style="border:1px solid #000;padding:.5rem;text-align:left;vertical-align:top"&gt;High levels of disability (% of population who are disabled)&lt;/td&gt;&lt;td style="border:1px solid #000;padding:.5rem;text-align:left;vertical-align:top"&gt;% with 'activities limited a lot'.&lt;/td&gt;&lt;/tr&gt;&lt;tr&gt;&lt;td style="border:1px solid #000;padding:.5rem;text-align:left;vertical-align:top"&gt;% people living in medical and care establishments&lt;/td&gt;&lt;td style="border:1px solid #000;padding:.5rem;text-align:left;vertical-align:top"&gt;Census table QS421SC. Number of people in 'Medical and care establishments' divided by the total population and multiplied by 100.&lt;/td&gt;&lt;/tr&gt;&lt;tr&gt;&lt;td style="border:1px solid #000;padding:.5rem;text-align:left;vertical-align:top"&gt;Lack of private transport (% households with no car or van)&lt;/td&gt;&lt;td style="border:1px solid #000;padding:.5rem;text-align:left;vertical-align:top"&gt;Census table KS404SC. Number of households where 'Number of cars or vans in household: No cars or vans' divided by the total number of households and multiplied by 100.&lt;/td&gt;&lt;/tr&gt;&lt;/tbody&gt;&lt;/table&gt;&lt;br&gt;&lt;p&gt;&lt;b&gt;Year:&lt;/b&gt; 2011&lt;/p&gt;&lt;p&gt;&lt;b&gt;Source and provider:&lt;/b&gt; Census, ONS&lt;/p&gt;&lt;p&gt;&lt;b&gt;Geographic subdivisions:&lt;/b&gt; Eng: LSOA; Wales: LSOA; Stot: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class="font-weight-bold mt-4 text-h6"&gt;References&lt;/p&gt;&lt;p&gt;&lt;a href=https://www.gov.uk/government/publications/evacuation-and-shelter-guidance target=_blank&gt;[1]&lt;/a&gt; Cabinet Office (2013) Evacuation and shelter guidance. HM Government&lt;/p&gt;&lt;/div&gt;</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</si>
  <si>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class="infoBoxTableCell"&gt;&lt;p&gt;AT0_12&lt;/p&gt;&lt;/td&gt;&lt;/tr&gt;&lt;tr&gt;&lt;td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Respond&lt;/p&gt;&lt;/td&gt;&lt;/tr&gt;&lt;tr&gt;&lt;td class="infoBoxTableCell"&gt;&lt;p&gt;Domain&lt;/p&gt;&lt;/td&gt;&lt;td class="infoBoxTableCell"&gt;&lt;p&gt;Physical Mobility&lt;/p&gt;&lt;/td&gt;&lt;/tr&gt;&lt;tr&gt;&lt;td class="infoBoxTableCell"&gt;&lt;p&gt;Indicator&lt;/p&gt;&lt;/td&gt;&lt;td class="infoBoxTableCell"&gt;&lt;p&gt;&lt;strong&gt;High levels of disability (% of population who are disabled)&lt;/strong&gt;&lt;/p&gt;&lt;/td&gt;&lt;/tr&gt;&lt;tr&gt;&lt;td class="infoBoxTableCell"&gt;&lt;p&gt;Assumption&lt;/p&gt;&lt;/td&gt;&lt;td class="infoBoxTableCell"&gt;&lt;p&gt;Disabilities result in higher vulnerability due to an impaired ability to move out of danger.&lt;/p&gt;&lt;/td&gt;&lt;/tr&gt;&lt;tr&gt;&lt;td class="infoBoxTableCell"&gt;&lt;p&gt;Confidence level&lt;/p&gt;&lt;/td&gt;&lt;td class="infoBoxTableCell"&gt;&lt;p&gt;???&lt;/p&gt;&lt;/td&gt;&lt;/tr&gt;&lt;tr&gt;&lt;td class="infoBoxTableCell"&gt;&lt;p&gt;Guidance for the use of this indicator&lt;/p&gt;&lt;/td&gt;&lt;td class="infoBoxTableCell"&gt;&lt;p&gt;???&lt;/p&gt;&lt;/td&gt;&lt;/tr&gt;&lt;tr&gt;&lt;td class="infoBoxTableCell"&gt;&lt;p&gt;Data Source&lt;/p&gt;&lt;/td&gt;&lt;td class="infoBoxTableCell"&gt;&lt;p&gt;???&lt;/p&gt;&lt;/td&gt;&lt;/tr&gt;&lt;/tbody&gt;&lt;/table&gt;&lt;/div&gt;</t>
  </si>
  <si>
    <t>&lt;div class="body-1"&gt;&lt;table class="infoBoxTable"&gt;&lt;tbody&gt;&lt;tr&gt;&lt;td class="infoBoxTableCell"&gt;&lt;p&gt;&lt;strong&gt;Item&lt;/strong&gt;&lt;/p&gt;&lt;/td&gt;&lt;td class="infoBoxTableCell"&gt;&lt;p&gt;&lt;strong&gt;Description&lt;/strong&gt;&lt;/p&gt;&lt;/td&gt;&lt;/tr style="display:none;"&gt;&lt;tr style="display:none"&gt;&lt;td class="infoBoxTableCell"&gt;&lt;p&gt;Reference&lt;/p&gt;&lt;/td&gt;&lt;td class="infoBoxTableCell"&gt;&lt;p&gt;AT0_12&lt;/p&gt;&lt;/td&gt;&lt;/tr&gt;&lt;tr&gt;&lt;td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Respond&lt;/p&gt;&lt;/td&gt;&lt;/tr&gt;&lt;tr&gt;&lt;td class="infoBoxTableCell"&gt;&lt;p&gt;Domain&lt;/p&gt;&lt;/td&gt;&lt;td class="infoBoxTableCell"&gt;&lt;p&gt;Physical Mobility&lt;/p&gt;&lt;/td&gt;&lt;/tr&gt;&lt;tr&gt;&lt;td class="infoBoxTableCell"&gt;&lt;p&gt;Indicator&lt;/p&gt;&lt;/td&gt;&lt;td class="infoBoxTableCell"&gt;&lt;p&gt;&lt;strong&gt;% people living in medical and care establishments&lt;/strong&gt;&lt;/p&gt;&lt;/td&gt;&lt;/tr&gt;&lt;tr&gt;&lt;td class="infoBoxTableCell"&gt;&lt;p&gt;Assumption&lt;/p&gt;&lt;/td&gt;&lt;td class="infoBoxTableCell"&gt;&lt;p&gt;People living in medical and care establishment are less capable of responding to crisis in terms of moving out of the affected area.&lt;/p&gt;&lt;/td&gt;&lt;/tr&gt;&lt;tr&gt;&lt;td class="infoBoxTableCell"&gt;&lt;p&gt;Confidence level&lt;/p&gt;&lt;/td&gt;&lt;td class="infoBoxTableCell"&gt;&lt;p&gt;&lt;/p&gt;&lt;/td&gt;&lt;/tr&gt;&lt;tr&gt;&lt;td class="infoBoxTableCell"&gt;&lt;p&gt;Guidance for the use of this indicator&lt;/p&gt;&lt;/td&gt;&lt;td class="infoBoxTableCell"&gt;&lt;p&gt;&lt;/p&gt;&lt;/td&gt;&lt;/tr&gt;&lt;tr&gt;&lt;td class="infoBoxTableCell"&gt;&lt;p&gt;Data Source&lt;/p&gt;&lt;/td&gt;&lt;td class="infoBoxTableCell"&gt;&lt;p&gt;&lt;/p&gt;&lt;/td&gt;&lt;/tr&gt;&lt;/tbody&gt;&lt;/table&gt;&lt;/div&gt;</t>
  </si>
  <si>
    <t>&lt;div class="body-1"&gt;&lt;table class="infoBoxTable"&gt;&lt;tbody&gt;&lt;tr&gt;&lt;td class="infoBoxTableCell"&gt;&lt;p&gt;&lt;strong&gt;Item&lt;/strong&gt;&lt;/p&gt;&lt;/td&gt;&lt;td class="infoBoxTableCell"&gt;&lt;p&gt;&lt;strong&gt;Description&lt;/strong&gt;&lt;/p&gt;&lt;/td&gt;&lt;/tr&gt;&lt;tr&gt;&lt;td class="infoBoxTableCell"&gt;&lt;p&gt;Reference&lt;/p&gt;&lt;/td&gt;&lt;td class="infoBoxTableCell"&gt;&lt;p&gt;F1 &amp; F2&lt;/p&gt;&lt;/td&gt;&lt;/tr&gt;&lt;tr&gt;&lt;td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class="infoBoxTableCell"&gt;&lt;p&gt;Inability to Prepare, Respond and Recover&lt;/p&gt;&lt;/td&gt;&lt;/tr&gt;&lt;tr&gt;&lt;td class="infoBoxTableCell"&gt;&lt;p&gt;Indicator&lt;/p&gt;&lt;/td&gt;&lt;td class="infoBoxTableCell"&gt;&lt;p&gt;Information Use&lt;/p&gt;&lt;/td&gt;&lt;/tr&gt;&lt;tr&gt;&lt;td class="infoBoxTableCell"&gt;&lt;p&gt;Supporting Variable&lt;/p&gt;&lt;/td&gt;&lt;td class="infoBoxTableCell"&gt;&lt;p&gt;See table below&lt;/p&gt;&lt;/td&gt;&lt;/tr&gt;&lt;tr&gt;&lt;td class="infoBoxTableCell"&gt;&lt;p&gt;Assumption&lt;/p&gt;&lt;/td&gt;&lt;td class="infoBoxTableCell"&gt;&lt;p&gt;F1 Higher proportions of people born outside of the UK and Ireland in an area indicate a higher vulnerability since they are more likely to have difficulties understanding the English language compared to people born within the UK and Ireland. They are also likely to have less local knowledge and less familiarity with national and local services.&lt;/p&gt;&lt;p&gt;F2 Higher proportions of people with low proficiency in English in an area indicate higher vulnerability.&lt;/p&gt;&lt;/td&gt;&lt;/tr&gt;&lt;tr&gt;&lt;td class="infoBoxTableCell"&gt;&lt;p&gt;Evidence supporting the use of this supporting variable&lt;/p&gt;&lt;/td&gt;&lt;td class="infoBoxTableCell"&gt;&lt;p&gt;People who cannot read, write and/or speak English or who are less proficient in English are more likely to have difficulty obtaining and using information and guidance provided to the general public (Lindley et al., 2011).&lt;/p&gt;&lt;/td&gt;&lt;/tr&gt;&lt;/tbody&gt;&lt;/table&gt;&lt;p class="text-h6 font-weight-bold mt-4"&gt;Data Sources&lt;/p&gt;&lt;table class="infoBoxTable"&gt;&lt;tbody&gt;&lt;tr&gt;&lt;th class="infoBoxTableCell"&gt;ID&lt;/th&gt;&lt;th class="infoBoxTableCell"&gt;Indicator description&lt;/th&gt;&lt;th class="infoBoxTableCell"&gt;Source and provider&lt;/th&gt;&lt;th class="infoBoxTableCell"&gt;Date&lt;/th&gt;&lt;th class="infoBoxTableCell"&gt;Indicator processing details&lt;/th&gt;&lt;th class="infoBoxTableCell"&gt;Eng&lt;/th&gt;&lt;th class="infoBoxTableCell"&gt;Wales&lt;/th&gt;&lt;th class="infoBoxTableCell"&gt;Scot&lt;/th&gt;&lt;th class="infoBoxTableCell"&gt;NI&lt;/th&gt;&lt;/tr&gt;&lt;tr&gt;&lt;td class="infoBoxTableCell"&gt;f1&lt;/td&gt;&lt;td class="infoBoxTableCell"&gt;Recent arrivals to UK (% people with &amp;lt;1 yr residency coming from outside UK)&lt;/td&gt;&lt;td class="infoBoxTableCell"&gt;Census, ONS&lt;/td&gt;&lt;td class="infoBoxTableCell"&gt;2011&lt;/td&gt;&lt;td class="infoBoxTableCell"&gt;Census table QS801. Number of people within year of arrival 'Arrived 2010- 2011' divided by the total number of people and multiplied by 100.&lt;/td&gt;&lt;td class="infoBoxTableCell"&gt;LSOA&lt;/td&gt;&lt;td class="infoBoxTableCell"&gt;LSOA&lt;/td&gt;&lt;td class="infoBoxTableCell"&gt;DZ&lt;/td&gt;&lt;td class="infoBoxTableCell"&gt;SOA&lt;/td&gt;&lt;/tr&gt;&lt;tr&gt;&lt;td class="infoBoxTableCell"&gt;f2&lt;/td&gt;&lt;td class="infoBoxTableCell"&gt;Level of proficiency in English&lt;/td&gt;&lt;td class="infoBoxTableCell"&gt;Census, ONS&lt;/td&gt;&lt;td class="infoBoxTableCell"&gt;2011&lt;/td&gt;&lt;td class="infoBoxTableCell"&gt;Census table QS205. Number of people 'Does not speak English at all' + 'Does not speak English well', divided by the total number of people and multiplied by 100.&lt;/td&gt;&lt;td class="infoBoxTableCell"&gt;LSOA&lt;/td&gt;&lt;td class="infoBoxTableCell"&gt;LSOA&lt;/td&gt;&lt;td class="infoBoxTableCell"&gt;DZ&lt;/td&gt;&lt;td class="infoBoxTableCell"&gt;SOA&lt;/td&gt;&lt;/tr&gt;&lt;/tbody&gt;&lt;/table&gt;&lt;p&gt;Office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class="text-h6 font-weight-bold mt-4"&gt;References&lt;/p&gt;&lt;p&gt;Lindley, S., O’Neill, J., Kandeh, J., Lawson, N., Christian, R. and O’Neill, M. (2011) Climate change, justice and vulnerability. Joseph Rowntree Foundation, York.&lt;/p&gt;&lt;/div&gt;</t>
  </si>
  <si>
    <t>&lt;div class="body-1"&gt;&lt;table class="infoBoxTable"&gt;&lt;tbody&gt;&lt;tr&gt;&lt;td class="infoBoxTableCell"&gt;&lt;p&gt;&lt;strong&gt;Item&lt;/strong&gt;&lt;/p&gt;&lt;/td&gt;&lt;td class="infoBoxTableCell"&gt;&lt;p&gt;&lt;strong&gt;Description&lt;/strong&gt;&lt;/p&gt;&lt;/td&gt;&lt;/tr&gt;&lt;tr&gt;&lt;td class="infoBoxTableCell"&gt;&lt;p&gt;Reference&lt;/p&gt;&lt;/td&gt;&lt;td class="infoBoxTableCell"&gt;&lt;p&gt;AT0_26_AT1_39_AT2_53&lt;/p&gt;&lt;/td&gt;&lt;/tr&gt;&lt;tr&gt;&lt;td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 Ability to Respond, Ability to Recover&lt;/p&gt;&lt;/td&gt;&lt;/tr&gt;&lt;tr&gt;&lt;td class="infoBoxTableCell"&gt;&lt;p&gt;Domain&lt;/p&gt;&lt;/td&gt;&lt;td class="infoBoxTableCell"&gt;&lt;p&gt;Information use - language&lt;/p&gt;&lt;/td&gt;&lt;/tr&gt;&lt;tr&gt;&lt;td class="infoBoxTableCell"&gt;&lt;p&gt;Indicator&lt;/p&gt;&lt;/td&gt;&lt;td class="infoBoxTableCell"&gt;&lt;p&gt;&lt;strong&gt;Recent arrivals to UK (% arrived in UK less than a year ago)&lt;/strong&gt;&lt;/p&gt;&lt;/td&gt;&lt;/tr&gt;&lt;tr&gt;&lt;td class="infoBoxTableCell"&gt;&lt;p&gt;Assumption&lt;/p&gt;&lt;/td&gt;&lt;td class="infoBoxTableCell"&gt;&lt;p&gt;Higher proportions of people recently arrived from outside the UK in an area indicate a higher vulnerability.&lt;/p&gt;&lt;/td&gt;&lt;/tr&gt;&lt;tr&gt;&lt;td class="infoBoxTableCell"&gt;&lt;p&gt;Confidence level&lt;/p&gt;&lt;/td&gt;&lt;td class="infoBoxTableCell"&gt;&lt;p&gt;Medium&lt;/p&gt;&lt;/td&gt;&lt;/tr&gt;&lt;tr&gt;&lt;td class="infoBoxTableCell"&gt;&lt;p&gt;Guidance for the use of this indicator&lt;/p&gt;&lt;/td&gt;&lt;td class="infoBoxTableCell"&gt;&lt;p&gt;People recently arrived from outside of the UK are less able to prepare for, respond to and recover from extreme weather events than other people. They are more likely to have difficulty obtaining and using information and guidance provided to the general public. However, some within this group may have English as their mother tongue and/or have no difficulties understanding the English language. They are also likely to have less local knowledge and less familiarity with national and local services. Note that the indicator source was selected to allow a more direct comparison with the equivalent 2001 indicator. An improved indicator (QS205EW) ‘Proficiency in English’ has been made available for the first time in 2011.&lt;/p&gt;&lt;/td&gt;&lt;/tr&gt;&lt;tr&gt;&lt;td class="infoBoxTableCell"&gt;&lt;p&gt;Data Source&lt;/p&gt;&lt;/td&gt;&lt;td class="infoBoxTableCell"&gt;&lt;p&gt;Census 2011, QS801, % people with &amp;lt;1 yr residency coming from outside UK&lt;/p&gt;&lt;p&gt;Office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</si>
  <si>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&lt;div class="body-1"&gt;&lt;table class="infoBoxTable"&gt;&lt;tbody&gt;&lt;tr&gt;&lt;td class="infoBoxTableCell"&gt;&lt;p&gt;&lt;strong&gt;Item&lt;/strong&gt;&lt;/p&gt;&lt;/td&gt;&lt;td class="infoBoxTableCell"&gt;&lt;p&gt;&lt;strong&gt;Description&lt;/strong&gt;&lt;/p&gt;&lt;/td&gt;&lt;/tr&gt;&lt;tr&gt;&lt;td class="infoBoxTableCell"&gt;&lt;p&gt;Reference&lt;/p&gt;&lt;/td&gt;&lt;td class="infoBoxTableCell"&gt;&lt;p&gt;K1&lt;/p&gt;&lt;/td&gt;&lt;/tr&gt;&lt;tr&gt;&lt;td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class="infoBoxTableCell"&gt;&lt;p&gt;Inability to Prepare and Respond&lt;/p&gt;&lt;/td&gt;&lt;/tr&gt;&lt;tr&gt;&lt;td class="infoBoxTableCell"&gt;&lt;p&gt;Indicator&lt;/p&gt;&lt;/td&gt;&lt;td class="infoBoxTableCell"&gt;&lt;p&gt;Local Knowledge&lt;/p&gt;&lt;/td&gt;&lt;/tr&gt;&lt;tr&gt;&lt;td class="infoBoxTableCell"&gt;&lt;p&gt;Supporting Variable&lt;/p&gt;&lt;/td&gt;&lt;td class="infoBoxTableCell"&gt;&lt;p&gt;New migrants from outside the local area&lt;/p&gt;&lt;/td&gt;&lt;/tr&gt;&lt;tr&gt;&lt;td class="infoBoxTableCell"&gt;&lt;p&gt;Assumption&lt;/p&gt;&lt;/td&gt;&lt;td class="infoBoxTableCell"&gt;&lt;p&gt;Higher proportions of people who are new to an area indicate a higher vulnerability. They have a lower ability to adapt (to prepare for events and respond to them) because they may be less aware that their new community has a flood risk issue and have less knowledge about what to do if affected.&lt;/p&gt;&lt;/td&gt;&lt;/tr&gt;&lt;tr&gt;&lt;td class="infoBoxTableCell"&gt;&lt;p&gt;Evidence supporting the use of this supporting variable&lt;/p&gt;&lt;/td&gt;&lt;td class="infoBoxTableCell"&gt;&lt;p&gt;More information about the issues faced by people who are new to an area, as well as what can be done to help, is available in the main site. &lt;a href="http://www.climatejust.org.uk/messages/people-who-have-lived-area-short-time" target="_blank"&gt;http://www.climatejust.org.uk/messages/people-who-have-lived-area-short-time&lt;/a&gt;&lt;/p&gt;&lt;p&gt;Communities where population turnover is high may be less aware of the likelihood of being affected by events like floods, how to respond and where to seek support (Penning-Rowsell et al., 1986).&lt;/p&gt;&lt;p&gt;People who have recently moved into an area may lack awareness of local flood risk provided through family and community clues. Blaikie et al. (1994) states that lack of knowledge and information is one of the most important underlying reasons for vulnerability (Werritty et al., 2007).&lt;/p&gt;&lt;p&gt;People living in rural areas tend to have more knowledge of local flood risk compared to urban areas, not least (but not exclusively) because they have longer residence times (Penning-Rowsell et al., 1986).&lt;/p&gt;&lt;/td&gt;&lt;/tr&gt;&lt;/tbody&gt;&lt;/table&gt;&lt;p class="text-h6 font-weight-bold mt-4"&gt;Data Sources&lt;/p&gt;&lt;table class="infoBoxTable"&gt;&lt;tbody&gt;&lt;tr&gt;&lt;th class="infoBoxTableCell"&gt;ID&lt;/th&gt;&lt;th class="infoBoxTableCell"&gt;Indicator description&lt;/th&gt;&lt;th class="infoBoxTableCell"&gt;Source and provider&lt;/th&gt;&lt;th class="infoBoxTableCell"&gt;Date&lt;/th&gt;&lt;th class="infoBoxTableCell"&gt;Indicator processing details&lt;/th&gt;&lt;th class="infoBoxTableCell"&gt;Eng&lt;/th&gt;&lt;th class="infoBoxTableCell"&gt;Wales&lt;/th&gt;&lt;th class="infoBoxTableCell"&gt;Scot&lt;/th&gt;&lt;th class="infoBoxTableCell"&gt;NI&lt;/th&gt;&lt;/tr&gt;&lt;tr&gt;&lt;td class="infoBoxTableCell"&gt;k1&lt;/td&gt;&lt;td class="infoBoxTableCell"&gt;New migrants from outside the local area&lt;/td&gt;&lt;td class="infoBoxTableCell"&gt;Census, ONS&lt;/td&gt;&lt;td class="infoBoxTableCell"&gt;2011&lt;/td&gt;&lt;td class="infoBoxTableCell"&gt;Census table UKMIG001. Number of people who 'Lived elsewhere one year ago outside the area but within 'associated area'' + 'Lived elsewhere one year ago outside the 'associated area' but within the UK' (where associated area is the next level up in the census geography hierarchy, i.e. local authority in this case), divided by the total number of residents and multiplied by 100.&lt;/td&gt;&lt;td class="infoBoxTableCell"&gt;LSOA&lt;/td&gt;&lt;td class="infoBoxTableCell"&gt;LSOA&lt;/td&gt;&lt;td class="infoBoxTableCell"&gt;DZ&lt;/td&gt;&lt;td class="infoBoxTableCell"&gt;SOA&lt;/td&gt;&lt;/tr&gt;&lt;/tbody&gt;&lt;/table&gt;&lt;p&gt;Office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class="text-h6 font-weight-bold mt-4"&gt;References&lt;/p&gt;&lt;p&gt;Blaikie, P., Cannon, T. Davis, I. and Wisner, B. (1994) At Risk: Natural Hazards, People’s Vulnerability, and Disasters. Routledge: London.&lt;/p&gt;&lt;p&gt;Penning-Rowsell, E.C., Parker, D.J. and Harding, D.M. (1986) Floods and Drainage. London: Allen and Unwin.&lt;/p&gt;&lt;p&gt;Werritty, A, Houston, D., Ball, T., Tavendale. T., and Black. A.2007). Exploring the social impacts of flood risk and flooding in Scotland. Report for the Scottish Executive, 2007. See &lt;a href="http://www.gov.scot/resource/doc/174676/0048938.pdf" target="_blank"&gt;http://www.gov.scot/resource/doc/174676/0048938.pdf&lt;/a&gt;accessed 25 Oct 2016&lt;/p&gt;&lt;/div&gt;</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</si>
  <si>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class="infoBoxTableCell"&gt;&lt;p&gt;AT1_30, AT2_25&lt;/p&gt;&lt;/td&gt;&lt;/tr&gt;&lt;tr&gt;&lt;td class="infoBoxTableCell"&gt;&lt;p&gt;Theme&lt;/p&gt;&lt;/td&gt;&lt;td class="infoBoxTableCell"&gt;&lt;p&gt;Vulnerability&lt;/p&gt;&lt;/td&gt;&lt;/tr&gt;&lt;tr&gt;&lt;td class="infoBoxTableCell"&gt;&lt;p&gt;Hazard reference&lt;/p&gt;&lt;/td&gt;&lt;td class="infoBoxTableCell"&gt;&lt;p&gt;Flood and Heat&lt;/p&gt;&lt;/td&gt;&lt;/tr&gt;&lt;tr&gt;&lt;td class="infoBoxTableCell"&gt;&lt;p&gt;Dimension&lt;/p&gt;&lt;/td&gt;&lt;td class="infoBoxTableCell"&gt;&lt;p&gt;Ability to Respond and Ability to Recover&lt;/p&gt;&lt;/td&gt;&lt;/tr&gt;&lt;tr&gt;&lt;td class="infoBoxTableCell"&gt;&lt;p&gt;Domain&lt;/p&gt;&lt;/td&gt;&lt;td class="infoBoxTableCell"&gt;&lt;p&gt;Mobility&lt;/p&gt;&lt;/td&gt;&lt;/tr&gt;&lt;tr&gt;&lt;td class="infoBoxTableCell"&gt;&lt;p&gt;Indicator&lt;/p&gt;&lt;/td&gt;&lt;td class="infoBoxTableCell"&gt;&lt;p&gt;&lt;strong&gt;Lack of private transport (% households with no car or van)&lt;/strong&gt;&lt;/p&gt;&lt;/td&gt;&lt;/tr&gt;&lt;tr&gt;&lt;td class="infoBoxTableCell"&gt;&lt;p&gt;Assumption&lt;/p&gt;&lt;/td&gt;&lt;td class="infoBoxTableCell"&gt;&lt;p&gt;Areas with higher proportions of households which have no private transport are more likely to be communities with mobility problems and therefore have higher social vulnerability compared with communities with lower proportions of households with no private transport.&lt;/p&gt;&lt;/td&gt;&lt;/tr&gt;&lt;tr&gt;&lt;td class="infoBoxTableCell"&gt;&lt;p&gt;Confidence level&lt;/p&gt;&lt;/td&gt;&lt;td class="infoBoxTableCell"&gt;&lt;p&gt;High&lt;/p&gt;&lt;/td&gt;&lt;/tr&gt;&lt;tr&gt;&lt;td class="infoBoxTableCell"&gt;&lt;p&gt;Guidance for the use of this indicator&lt;/p&gt;&lt;/td&gt;&lt;td class="infoBoxTableCell"&gt;&lt;p&gt;Adaptation needs to address the specific challenges associated with places with a higher proportion of households with no private transport. This may restrict people’s ability to respond during events like floods and to assist dependents, for example. Furthermore, they may be particularly affected during disruptions to public transport services. It is also important to consider how householders with no private transport might be supported more generally, perhaps within areas which otherwise have low social vulnerability. For example, this may be through community-based solutions, such as help with organizing car sharing and dedicated transport during extreme events. Additional, more refined, data may be available at the local level.&lt;/p&gt;&lt;/td&gt;&lt;/tr&gt;&lt;tr&gt;&lt;td class="infoBoxTableCell"&gt;&lt;p&gt;Data Source&lt;/p&gt;&lt;/td&gt;&lt;td class="infoBoxTableCell"&gt;&lt;p&gt;Census, 2011, KS404, % households with no car&lt;/p&gt;&lt;p&gt;Office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</si>
  <si>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class="infoBoxTableCell"&gt;&lt;p&gt;C1&lt;/p&gt;&lt;/td&gt;&lt;/tr&gt;&lt;tr&gt;&lt;td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class="infoBoxTableCell"&gt;&lt;p&gt;Ability to Respond&lt;/p&gt;&lt;/td&gt;&lt;/tr&gt;&lt;tr&gt;&lt;td class="infoBoxTableCell"&gt;&lt;p&gt;Indicator&lt;/p&gt;&lt;/td&gt;&lt;td class="infoBoxTableCell"&gt;&lt;p&gt;Crime&lt;/p&gt;&lt;/td&gt;&lt;/tr&gt;&lt;tr&gt;&lt;td class="infoBoxTableCell"&gt;&lt;p&gt;Supporting Variable&lt;/p&gt;&lt;/td&gt;&lt;td class="infoBoxTableCell"&gt;&lt;p&gt;Crime&lt;/p&gt;&lt;/td&gt;&lt;/tr&gt;&lt;tr&gt;&lt;td class="infoBoxTableCell"&gt;&lt;p&gt;Assumption&lt;/p&gt;&lt;/td&gt;&lt;td class="infoBoxTableCell"&gt;&lt;p&gt;Higher levels of crime in an area indicate a higher vulnerability. People living in areas with higher crime have a lower ability to respond to flood events and/or they be more severely affected.&lt;/p&gt;&lt;/td&gt;&lt;/tr&gt;&lt;tr&gt;&lt;td class="infoBoxTableCell"&gt;&lt;p&gt;Evidence supporting the use of this supporting variable&lt;/p&gt;&lt;/td&gt;&lt;td class="infoBoxTableCell"&gt;&lt;p&gt;People living in areas with higher crime rates may be more wary of taking preventative measures against flooding and have extra security mechanisms on their houses such as multiple locks on doors and windows; this can cause delays in evacuation and rescue attempts.&lt;/p&gt;&lt;p&gt;People living in areas with higher crime rates may be more wary of taking preventative measures against flooding in case they are 'scams', and so may be more socially vulnerable than communities with lower crime rates.&lt;/p&gt;&lt;p&gt;Where crime rates are high, residents may hesitate to evacuate properties during floods for fear of looting. For example, during the 2014 floods on the Somerset Levels, it was reported that empty houses were being targeted by thieves taking domestic heating oil (The Independent, 2014).&lt;/p&gt;&lt;/td&gt;&lt;/tr&gt;&lt;/tbody&gt;&lt;/table&gt;&lt;p class="text-h6 font-weight-bold mt-4"&gt;Data Sources&lt;/p&gt;&lt;table class="infoBoxTable"&gt;&lt;tbody&gt;&lt;tr&gt;&lt;th class="infoBoxTableCell"&gt;Indicator description&lt;/th&gt;&lt;th class="infoBoxTableCell"&gt;Source and provider&lt;/th&gt;&lt;th class="infoBoxTableCell"&gt;Date&lt;/th&gt;&lt;th class="infoBoxTableCell"&gt;Indicator processing details&lt;/th&gt;&lt;/tr&gt;&lt;tr&gt;&lt;td class="infoBoxTableCell"&gt;High levels of crime&lt;/td&gt;&lt;td class="infoBoxTableCell"&gt;Department of Communities and Local Government, Statistics for Wales, Scottish Government, NI Statistics and Research Agency&lt;/td&gt;&lt;td class="infoBoxTableCell"&gt;See next column&lt;/td&gt;&lt;td class="infoBoxTableCell"&gt;England: Indices of Deprivation 2015: Crime Domain: Crime Score (all crime); Scotland: SIMD Crime Score, 2012 Wales: SIMD Crime score, 2014; Northern Ireland: NIIMD Crime Score, 2010.&lt;/td&gt;&lt;/tr&gt;&lt;/tbody&gt;&lt;/table&gt;&lt;br/&gt;&lt;p&gt;&lt;b&gt;Geographic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class="text-h6 font-weight-bold mt-4"&gt;References&lt;/p&gt;&lt;p&gt;&lt;a href="https://www.independent.co.uk/news/uk/crime/somerset-levels-thieves-cash-in-on-floods-misery-9103851.html" target="_blank"&gt;[1]&lt;/a&gt; The Independent (2014) Somerset floods: Thieves target victims. Accessed: 24/10/2016.&lt;/p&gt;&lt;/div&gt;</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</si>
  <si>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class="infoBoxTableCell"&gt;&lt;p&gt;AT1_33&lt;/p&gt;&lt;/td&gt;&lt;/tr&gt;&lt;tr&gt;&lt;td class="infoBoxTableCell"&gt;&lt;p&gt;Theme&lt;/p&gt;&lt;/td&gt;&lt;td class="infoBoxTableCell"&gt;&lt;p&gt;Vulnerability&lt;/p&gt;&lt;/td&gt;&lt;/tr&gt;&lt;tr&gt;&lt;td class="infoBoxTableCell"&gt;&lt;p&gt;Hazard reference&lt;/p&gt;&lt;/td&gt;&lt;td class="infoBoxTableCell"&gt;&lt;p&gt;Flood and Heat&lt;/p&gt;&lt;/td&gt;&lt;/tr&gt;&lt;tr&gt;&lt;td class="infoBoxTableCell"&gt;&lt;p&gt;Dimension&lt;/p&gt;&lt;/td&gt;&lt;td class="infoBoxTableCell"&gt;&lt;p&gt;Ability to Respond&lt;/p&gt;&lt;/td&gt;&lt;/tr&gt;&lt;tr&gt;&lt;td class="infoBoxTableCell"&gt;&lt;p&gt;Domain&lt;/p&gt;&lt;/td&gt;&lt;td class="infoBoxTableCell"&gt;&lt;p&gt;Crime&lt;/p&gt;&lt;/td&gt;&lt;/tr&gt;&lt;tr&gt;&lt;td class="infoBoxTableCell"&gt;&lt;p&gt;Indicator&lt;/p&gt;&lt;/td&gt;&lt;td class="infoBoxTableCell"&gt;&lt;p&gt;&lt;strong&gt;Index of Multiple Deprivation crime score&lt;/strong&gt;&lt;/p&gt;&lt;/td&gt;&lt;/tr&gt;&lt;tr&gt;&lt;td class="infoBoxTableCell"&gt;&lt;p&gt;Assumption&lt;/p&gt;&lt;/td&gt;&lt;td class="infoBoxTableCell"&gt;&lt;p&gt;People living in areas with higher rates of crime may be more reluctant to take preventative measures in reaction to warnings of extreme events and therefore have higher social vulnerability compared with communities with lower crime rates.&lt;/p&gt;&lt;/td&gt;&lt;/tr&gt;&lt;tr&gt;&lt;td class="infoBoxTableCell"&gt;&lt;p&gt;Confidence level&lt;/p&gt;&lt;/td&gt;&lt;td class="infoBoxTableCell"&gt;&lt;p&gt;Medium&lt;/p&gt;&lt;/td&gt;&lt;/tr&gt;&lt;tr&gt;&lt;td class="infoBoxTableCell"&gt;&lt;p&gt;Guidance for the use of this indicator&lt;/p&gt;&lt;/td&gt;&lt;td class="infoBoxTableCell"&gt;&lt;p&gt;Adaptation needs to address the specific challenges associated with places where people may be reluctant to take preventative measures during, or immediately prior to, events like floods and heat-waves. For example, if there is a fear of crime in an area people may feel less able to leave windows open at night during heat-wave events. Fear of crime was found to be one of the major factors explaining why some people were more negatively affected than others in the 1995 heat-wave in Chicago, for example. &lt;a href="#_ftn1" name="_ftnref1" title=""&gt;&lt;sup&gt;[1]&lt;/sup&gt;&lt;/a&gt;People may also be less inclined to deploy measures like flood gates since this can indicate that the householder is away. This is a proxy indicator which has been given a medium confidence rating. It is uncertain because the factor of interest is fear of crime which may not necessarily correspond to the reality of crime rates in an area. It is also recognised that there are different types of crime, not all of which will have the same impact on individual and community perceptions. Nevertheless, measures which address reasons for people not feeling able to respond to warnings may be an important consideration when working towards more resilient communities. Additional and finer scale indicators are available through the Index of Multiple Deprivation and crime statistics datasets. Further sources of information may also be available at a local level.&lt;/p&gt;&lt;/td&gt;&lt;/tr&gt;&lt;tr&gt;&lt;td class="infoBoxTableCell"&gt;&lt;p&gt;Data Source&lt;/p&gt;&lt;/td&gt;&lt;td class="infoBoxTableCell"&gt;&lt;p&gt;Office of National Statistics, The English Indices of Deprivation 2010: Crime Domain. Recalculated from 2001 LSOA spatial units (2010 data) by area-weighted averages for 2011 MSOAs. The index is created by the Social Disadvantage Research Centre at the Department of Social Policy and Social Work at the University of Oxford&lt;/p&gt;&lt;p&gt;Office for National Statistics, 2011 Census: Digitised Boundary Data (England and Wales) [computer file]. UK Data Service Census Support. Downloaded from: &lt;a href="http://edina.ac.uk/census" target="_blank"&gt;http://edina.ac.uk/census&lt;/a&gt;&lt;/p&gt;&lt;/td&gt;&lt;/tr&gt;&lt;/tbody&gt;&lt;/table&gt;&lt;p class="text-h6 font-weight-bold mt-4"&gt;References&lt;/p&gt;&lt;p&gt;&lt;a href="https://press.uchicago.edu/ucp/books/book/chicago/H/bo20809880.html" target="_blank"&gt;[1]&lt;/a&gt; Klinenberg, E. (2002) Heatwave: A Social Autopsy of Disaster in Chicago. Chicago, IL: University of Chicago Press&lt;/p&gt;&lt;/div&gt;</t>
  </si>
  <si>
    <t>&lt;div class="body-1"&gt;&lt;p&gt;The new Neighbourhood Flood Vulnerability Index (NFVI) provides insight into the social vulnerability of a neighbourhood should a flood occur. The NFVI combines five &lt;b&gt; &lt;i&gt;characteristics&lt;/i&gt; &lt;/b&gt; of vulnerability:&lt;/p&gt;&lt;ul&gt;&lt;li style="margin: 0.7rem 0rem;"&gt; &lt;b&gt;Susceptibility&lt;/b&gt; - describing the predisposition of an individual to experience a loss of well-being when exposed to a flood. It is widely evidenced that the dominant characteristics that influence susceptibility to harm relate to the age (the old and very young) and health of the individuals exposed.&lt;/li&gt;&lt;li style="margin: 0.7rem 0rem;"&gt; &lt;b&gt;Ability to prepare&lt;/b&gt; - reflecting the actions taken by an individual during normal conditions (i.e. in the absence of a forecast or actual flood) that are likely to reduce the harm they suffer when a future flood occurs. Although an area of continued research, an individual’s ability to prepare is influenced by their income, capacity to act, local knowledge and property tenure.&lt;/li&gt;&lt;li style="margin: 0.7rem 0rem;"&gt; &lt;b&gt;Ability to respond&lt;/b&gt; – reflecting the underlying reasons why some individuals act more effectively in the run up to and during a flood. Although this is an area of continued research, there is broad agreement that an individual’s ability to respond is influenced by their income, capacity to access and use formal and informal information, local knowledge and physical mobility.&lt;/li&gt;&lt;li style="margin: 0.7rem 0rem;"&gt; &lt;b&gt;Ability to recover&lt;/b&gt; – reflecting the degree to which an individual can aid their own recovery is influenced by several factors, particularly their income, capacity to use information, and physical mobility. Many flood events have highlighted the length of time it can take for individuals and communities to recover from a flood.&lt;/li&gt;&lt;li style="margin: 0.7rem 0rem;"&gt; &lt;b&gt;Community support&lt;/b&gt; – recognising how the availability and quality of services provided by health and emergency services as well as broader care and social services influence the severity of harm caused by a flood . A formal representation of community cohesion and its influence on flood vulnerability is not available. However, the following are considered to gauge the nature of this support: housing characteristics; the collective experience of past floods; the likely availability of community services in a flood (including emergency service provides, schools, GPs, care homes); and the social networks that exist.&lt;/li&gt;&lt;/ul&gt;&lt;p&gt;The map tool contains maps for each of the above characteristics. The characteristics layers are made up of indicators like Age and Health (which are mapped separately) and a series of supporting variables, each of which has its own information sheet.&lt;/p&gt;&lt;p&gt;Map categories are given according to scores in the index with Acute indicating areas where social vulnerability is highest in a UK context: Acute, Very High, Relatively High; Average (UK mean); Relatively Low, Very Low and Slight. See the technical guide for more information.&lt;/p&gt;&lt;p class="text-h6 font-weight-bold mt-4"&gt;References&lt;/p&gt;&lt;p&gt;Sayers,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target="_blank"&gt;here&lt;/a&gt;.&lt;/p&gt;&lt;/div&gt;</t>
  </si>
  <si>
    <t>Information Use</t>
  </si>
  <si>
    <t>&lt;div class="body-1"&gt;&lt;p&gt;The new Neighbourhood Flood Vulnerability Index (NFVI) provides insight into the social vulnerability of a neighbourhood should a flood occur. The NFVI combines five &lt;b&gt; &lt;i&gt;characteristics&lt;/i&gt; &lt;/b&gt; of vulnerability:&lt;/p&gt;&lt;ul&gt;&lt;li style="margin: 0.7rem 0rem;"&gt; &lt;b&gt;Susceptibility&lt;/b&gt; - describing the predisposition of an individual to experience a loss of well-being when exposed to a flood. It is widely evidenced that the dominant characteristics that influence susceptibility to harm relate to the age (the old and very young) and health of the individuals exposed.&lt;/li&gt;&lt;li style="margin: 0.7rem 0rem;"&gt; &lt;b&gt;Ability to prepare&lt;/b&gt; - reflecting the actions taken by an individual during normal conditions (i.e. in the absence of a forecast or actual flood) that are likely to reduce the harm they suffer when a future flood occurs. Although an area of continued research, an individual’s ability to prepare is influenced by their income, capacity to act, local knowledge and property tenure.&lt;/li&gt;&lt;li style="margin: 0.7rem 0rem;"&gt; &lt;b&gt;Ability to respond&lt;/b&gt; – reflecting the underlying reasons why some individuals act more effectively in the run up to and during a flood. Although this is an area of continued research, there is broad agreement that an individual’s ability to respond is influenced by their income, capacity to access and use formal and informal information, local knowledge and physical mobility.&lt;/li&gt;&lt;li style="margin: 0.7rem 0rem;"&gt; &lt;b&gt;Ability to recover&lt;/b&gt; – reflecting the degree to which an individual can aid their own recovery is influenced by several factors, particularly their income, capacity to use information, and physical mobility. Many flood events have highlighted the length of time it can take for individuals and communities to recover from a flood.&lt;/li&gt;&lt;li style="margin: 0.7rem 0rem;"&gt; &lt;b&gt;Community support&lt;/b&gt; – recognising how the availability and quality of services provided by health and emergency services as well as broader care and social services influence the severity of harm caused by a flood . A formal representation of community cohesion and its influence on flood vulnerability is not available. However, the following are considered to gauge the nature of this support: housing characteristics; the collective experience of past floods; the likely availability of community services in a flood (including emergency service provides, schools, GPs, care homes); and the social networks that exist.&lt;/li&gt;&lt;/ul&gt;&lt;p&gt;The map tool contains maps for each of the above characteristics. The characteristics layers are made up of indicators like Age and Health (which are mapped separately) and a series of supporting variables, each of which has its own information sheet.&lt;/p&gt;&lt;p&gt;Map categories are given according to scores in the index with Acute indicating areas where social vulnerability is highest in a UK context: Acute, Very High, Relatively High; Average (UK mean); Relatively Low, Very Low and Slight. See the technical guide for more information.&lt;/p&gt;&lt;p class="text-h6 font-weight-bold mt-4"&gt;References&lt;/p&gt;&lt;p&gt;Sayers,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target="_blank"&gt;here&lt;/a&gt;.&lt;/p&gt;&lt;/div&gt;</t>
  </si>
  <si>
    <t xml:space="preserve"> % caravan or other mobile or temporary structures in all households</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</si>
  <si>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class="infoBoxTableCell"&gt;&lt;p&gt;L1&lt;/p&gt;&lt;/td&gt;&lt;/tr&gt;&lt;tr&gt;&lt;td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class="infoBoxTableCell"&gt;&lt;p&gt;Community Support&lt;/p&gt;&lt;/td&gt;&lt;/tr&gt;&lt;tr&gt;&lt;td class="infoBoxTableCell"&gt;&lt;p&gt;Indicator&lt;/p&gt;&lt;/td&gt;&lt;td class="infoBoxTableCell"&gt;&lt;p&gt;Housing Characteristics&lt;/p&gt;&lt;/td&gt;&lt;/tr&gt;&lt;tr&gt;&lt;td class="infoBoxTableCell"&gt;&lt;p&gt;Supporting Variable&lt;/p&gt;&lt;/td&gt;&lt;td class="infoBoxTableCell"&gt;&lt;p&gt;% caravan or other mobile or temporary structures&lt;/p&gt;&lt;/td&gt;&lt;/tr&gt;&lt;tr&gt;&lt;td class="infoBoxTableCell"&gt;&lt;p&gt;Assumption&lt;/p&gt;&lt;/td&gt;&lt;td class="infoBoxTableCell"&gt;&lt;p&gt;Higher proportions of households living in caravan or other mobile or temporary structures in an area indicate a higher vulnerability. Poor quality housing provide more limited protection against flood waters than structurally competent buildings.&lt;/p&gt;&lt;/td&gt;&lt;/tr&gt;&lt;tr&gt;&lt;td class="infoBoxTableCell"&gt;&lt;p&gt;Evidence supporting the use of this supporting variable&lt;/p&gt;&lt;/td&gt;&lt;td class="infoBoxTableCell"&gt;&lt;p&gt;Flood waters can devastate homes in caravan or other mobile/temporary structures, and even place life at risk.&lt;/p&gt;&lt;p&gt;Response to flood warnings is also likely to be lower in these properties as residents are less likely to be able to move their possessions to a place of safety (Thrush et al., 2005).&lt;/p&gt;&lt;p&gt;Caravans are considered in project appraisals as moveable in times of flood and therefore do not benefit from having any damage avoided as counted against the costs of flood defences (Penning-Rowsell et al., 2013). Hence within the standard assessment of damages caravans rarely feature. Residents of caravans are also more likely to have a limited knowledge of the local area (McEwen et al., 2002).&lt;/p&gt;&lt;/td&gt;&lt;/tr&gt;&lt;/tr&gt;&lt;/tbody&gt;&lt;/table&gt;&lt;p class="text-h6 font-weight-bold mt-4"&gt;Data Sources&lt;/p&gt;&lt;table class="infoBoxTable"&gt;&lt;tbody&gt;&lt;tr&gt;&lt;th class="infoBoxTableCell"&gt;Indicator description&lt;/th&gt;&lt;th class="infoBoxTableCell"&gt;Source and provider&lt;/th&gt;&lt;th class="infoBoxTableCell"&gt;Date&lt;/th&gt;&lt;th class="infoBoxTableCell"&gt;Indicator processing details&lt;/th&gt;&lt;/tr&gt;&lt;tr&gt;&lt;td class="infoBoxTableCell"&gt;% caravan or other mobile or temporary structures in all households&lt;/td&gt;&lt;td class="infoBoxTableCell"&gt;Census, ONS&lt;/td&gt;&lt;td class="infoBoxTableCell"&gt;2011&lt;/td&gt;&lt;td class="infoBoxTableCell"&gt;Census table KS401. 'All household spaces: Caravan or other mobile or temporary structure' divided by the total number of households and multiplied by 100.&lt;/td&gt;&lt;/tr&gt;&lt;/tbody&gt;&lt;/table&gt;&lt;br/&gt;&lt;p&gt;&lt;b&gt;Geographic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 class="text-h6 font-weight-bold mt-4"&gt;References&lt;/p&gt;&lt;p&gt;&lt;a href="https://doi.org/10.1016/S0143-6228%2802%2900008-5" target="_blank"&gt;[1]&lt;/a&gt; McEwen, L. Hall, T., Hunt, J., Dempsey, M. and Harrison, M. (2002) Flood warning, warning response and planning control issues associated with caravan parks: the April 1998 floods on the lower Avon floodplain, Midlands region, UK. Applied Geography, 22, 271-305.&lt;/p&gt;&lt;p&gt;&lt;a href="https://doi.org/10.4324/9780203066393" target="_blank"&gt;[2]&lt;/a&gt; Penning-Rowsell, E. C., Priest, S., Parker, D.J., Morris, J., Tunstall, S., Viavattene, C and Owen, D. (2013) Flood and coastal erosion risk management: A manual for economic appraisal. Routledge, London.&lt;/p&gt;&lt;p&gt;&lt;a href="https://assets.publishing.service.gov.uk/media/5a7bab5f40f0b638d61be2c9/scho0505bjbu-e-e.pdf" target="_blank"&gt;[3]&lt;/a&gt; Thrush, D., Burningham, K. and Fielding, J. (2005) Flood warning for vulnerable groups: A qualitative study. Environment Agency Science Report SC990007/SR3.&lt;/p&gt;&lt;p&gt;&lt;a href="https://assets.publishing.service.gov.uk/media/602e6e15e90e076600425969/improving_institutional_and_social_responses_to_flooding_WP5_technical_report.pdf" target="_blank"&gt;[4]&lt;/a&gt; Science Report: Improving Institutional and Social Responses to Flooding – Work Package 1 56 Trends Office for National Statistics Labour Market Trends Special Feature.&lt;/p&gt;&lt;p&gt;&lt;a href="http://www.sayersandpartners.co.uk/uploads/6/2/0/9/6209349/sayers_2017_-_present_and_future_flood_vulnerability_risk_and_disadvantage_-_final_report_-_uploaded_05june2017_printed_-_high_quality.pdf" target="_blank"&gt;[5]&lt;/a&gt; Sayers, P.B., Horritt, M., Penning Rowsell, E., and Fieth, J. (2017). Present and future flood vulnerability, risk and disadvantage: A UK scale assessment. A report for the Joseph Rowntree Foundation published by Sayers and Partners LLP.&lt;/p&gt;&lt;/div&gt;</t>
  </si>
  <si>
    <t>Direct flood experience</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</si>
  <si>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class="infoBoxTableCell"&gt;&lt;p&gt;E_1&lt;/p&gt;&lt;/td&gt;&lt;/tr&gt;&lt;tr&gt;&lt;td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class="infoBoxTableCell"&gt;&lt;p&gt;Community Support&lt;/p&gt;&lt;/td&gt;&lt;/tr&gt;&lt;tr&gt;&lt;td class="infoBoxTableCell"&gt;&lt;p&gt;Indicator&lt;/p&gt;&lt;/td&gt;&lt;td class="infoBoxTableCell"&gt;&lt;p&gt;&lt;strong&gt;Direct flood experience&lt;/strong&gt;&lt;/p&gt;&lt;/td&gt;&lt;/tr&gt;&lt;tr&gt;&lt;td class="infoBoxTableCell"&gt;&lt;p&gt;Assumption&lt;/p&gt;&lt;/td&gt;&lt;td class="infoBoxTableCell"&gt;&lt;p&gt;Higher proportions of properties within the historical flood boundary within an area indicate a lower vulnerability. This is taken as an indicator of a community with more knowledge and support available given past experience and the likelihood of there being a higher level of activity by government and non-government organisations.&lt;/p&gt;&lt;/td&gt;&lt;/tr&gt;&lt;tr&gt;&lt;td class="infoBoxTableCell"&gt;&lt;p&gt;Evidence supporting the use of this supporting variable&lt;/p&gt;&lt;/td&gt;&lt;td class="infoBoxTableCell"&gt;&lt;p&gt;Those with experience of flooding are less vulnerable in subsequent events as they have more knowledge as to what to do and how to respond.&lt;/p&gt;&lt;p&gt;Flood experience has often been shown to be a key factor in level of willingness to take preventative action against future floods, and also respond seriously to warnings (Tapsell et al., 2005; McCarthy et al., 2006; Tunstall et al., 2006).&lt;/p&gt;&lt;p&gt;Fielding et al. (2007) found that there was a higher level of understanding of what the EA flood warning codes meant in households that had previously flooded.&lt;/p&gt;&lt;p&gt;This idea is characterised by the “prisoner of experience” phenomenon (e.g. Shaw et al., 2005), whereby those without experience are less able to cope, and until people (unfortunately) have direct experience of flooding they are more vulnerable (although it may require homes to flooded several times before people are willing to act).&lt;/p&gt;&lt;/td&gt;&lt;/tr&gt;&lt;tr&gt;&lt;td class="infoBoxTableCell"&gt;&lt;p&gt;Data Source&lt;/p&gt;&lt;/td&gt;&lt;td class="infoBoxTableCell"&gt;&lt;p&gt;Land Use Statistics (Generalised Land Use Database - GLUD) 2005 Office for National Statistics and Communities and Local Government. Indicator calculated by subtracting the area of greenspace from 100%. Recalculated from 2001 MSOA spatial units by area-weighted averages for 2011 MSOAs.&lt;/p&gt;&lt;p&gt;Office for National Statistics, 2011 Census: Digitised Boundary Data (England and Wales) [computer file]. UK Data Service Census Support. Downloaded from: &lt;a href="http://edina.ac.uk/census" target="_blank"&gt;http://edina.ac.uk/census&lt;/a&gt;&lt;/p&gt;&lt;/td&gt;&lt;/tr&gt;&lt;/tbody&gt;&lt;/table&gt;&lt;p class="text-h6 font-weight-bold mt-4"&gt;Data Sources&lt;/p&gt;&lt;table class="infoBoxTable"&gt;&lt;tbody&gt;&lt;tr&gt;&lt;th class="infoBoxTableCell"&gt;Indicator description&lt;/th&gt;&lt;th class="infoBoxTableCell"&gt;Source and provider&lt;/th&gt;&lt;th class="infoBoxTableCell"&gt;Date&lt;/th&gt;&lt;th class="infoBoxTableCell"&gt;Indicator processing details&lt;/th&gt;&lt;/tr&gt;&lt;tr&gt;&lt;td class="infoBoxTableCell"&gt;Number of properties within historical flood boundary&lt;/td&gt;&lt;td class="infoBoxTableCell"&gt;EA, NRW, SEPA, NI Rivers Agency&lt;/td&gt;&lt;td class="infoBoxTableCell"&gt;Various&lt;/td&gt;&lt;td class="infoBoxTableCell"&gt;Based on query of property dataset and flood outline; limited to past 50 years when date information available.&lt;/td&gt;&lt;/tr&gt;&lt;/tbody&gt;&lt;/table&gt;&lt;br/&gt;&lt;p&gt;&lt;b&gt;Geographic subdivisions:&lt;/b&gt; Eng: LSOA; Wales: LSOA; Scot: DZ; NI:SOA.&lt;/p&gt;&lt;p&gt;Office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 class="font-weight-bold mt-4 text-h6"&gt;References&lt;/p&gt;&lt;p&gt;&lt;a href="http://www.sayersandpartners.co.uk/uploads/6/2/0/9/6209349/sayers_2017_-_present_and_future_flood_vulnerability_risk_and_disadvantage_-_final_report_-_uploaded_05june2017_printed_-_high_quality.pdf" target="_blank"&gt;[1]&lt;/a&gt; Sayers, P.B., Horritt, M., Penning Rowsell, E., and Fieth, J. (2017). Present and future flood vulnerability, risk and disadvantage: A UK scale assessment. A report for the Joseph Rowntree Foundation published by Sayers and Partners LLP.&lt;/p&gt;&lt;/div&gt;</t>
  </si>
  <si>
    <t>Service availability</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</si>
  <si>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class="infoBoxTableCell"&gt;&lt;p&gt;S1, S2, S3 &amp; S4&lt;/p&gt;&lt;/td&gt;&lt;/tr&gt;&lt;tr&gt;&lt;td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class="infoBoxTableCell"&gt;&lt;p&gt;Community Support&lt;/p&gt;&lt;/td&gt;&lt;/tr&gt;&lt;tr&gt;&lt;td class="infoBoxTableCell"&gt;&lt;p&gt;Indicator&lt;/p&gt;&lt;/td&gt;&lt;td class="infoBoxTableCell"&gt;&lt;p&gt;Service availability&lt;/p&gt;&lt;/td&gt;&lt;/tr&gt;&lt;tr&gt;&lt;td class="infoBoxTableCell"&gt;&lt;p&gt;Supporting Variable&lt;/p&gt;&lt;/td&gt;&lt;td class="infoBoxTableCell"&gt;&lt;strong&gt;&lt;p&gt;% of emergency services exposed to flooding&lt;/p&gt;&lt;p&gt;% no. of care homes exposed to flooding&lt;/p&gt;&lt;p&gt;% no. of GP surgeries exposed to flooding&lt;/p&gt;&lt;p&gt;% no. of schools exposed to flooding&lt;/p&gt;&lt;/strong&gt;&lt;/td&gt;&lt;/tr&gt;&lt;tr&gt;&lt;td class="infoBoxTableCell"&gt;&lt;p&gt;Assumption&lt;/p&gt;&lt;/td&gt;&lt;td class="infoBoxTableCell"&gt;&lt;p&gt;Higher proportions of services at risk of flooding at a level of 1:75 or greater within an area indicate a higher vulnerability. A community is likely to see greater overall impacts if its local services are also affected by flooding, e.g. leading to difficulties accessing emergency or health services.&lt;/p&gt;&lt;/td&gt;&lt;/tr&gt;&lt;tr&gt;&lt;td class="infoBoxTableCell"&gt;&lt;p&gt;Evidence supporting the use of this supporting variable&lt;/p&gt;&lt;/td&gt;&lt;td class="infoBoxTableCell"&gt;&lt;p&gt;Various studies, including by the National Flood Forum, highlight the link between the degree of support provided by institutional (such as the police, the fire brigade, ambulances and local authority social care) and community support networks and the vulnerability of the individuals in those communities. Higher levels of post-flood institutional support can accelerate the pace of recovery&lt;sup&gt; &lt;a href="#fn1"&gt;1&lt;/a&gt;&lt;/sup&gt;.&lt;/p&gt;&lt;p&gt;Emergency services will aim to target the most vulnerable households in assistance efforts but the ability to do this effectively relies on the flood resilience of these services themselves. During the 2010 flood in Cockermouth, Cumbria, the police station itself was flooded which hampered the coordination of the relief effort and therefore increasingly the vulnerability of the population to the flood (BBC, 2010).&lt;/p&gt;&lt;p&gt;If a school floods, children are often temporarily transferred to other schools which may be some distance away while the original school is restored. This adds to family disruption and dislocation, increasing their vulnerability&lt;sup&gt; &lt;a href="#fn2"&gt;2&lt;/a&gt;&lt;/sup&gt;.&lt;/p&gt;&lt;p&gt;The location of services that should remain accessible throughout a flood event, such as GP surgeries, is very important, especially as they can be essential in relief plans (Kazmierczak and Kenny, 2011).&lt;/p&gt;&lt;p&gt;If care or nursing homes are flooded, highly vulnerable residents must be evacuated and suitable placements for them have to be found. If a care home or hospital is in a flood prone area, it is also likely that many of its employees will also live in the flood risk area, or will have to travel through a flooded area. Additionally, care homes will also often take in vulnerable residents who have been evacuated from their own homes. This system is severely hampered if the care home itself is flooded (Donovan, 2014).&lt;/p&gt;&lt;/td&gt;&lt;/tr&gt;&lt;tr&gt;&lt;td class="infoBoxTableCell"&gt;Footnote&lt;sup&gt;1&lt;/sup&gt;&lt;/td&gt;&lt;td class="infoBoxTableCell"&gt; &lt;a href="http://www.nationalfloodforum.org.uk/flood-recovery-and-empowering-grassroots-communities/" target="_blank"&gt;http://www.nationalfloodforum.org.uk/flood-recovery-and-empowering-grassroots-communities/&lt;/a&gt;Accessed Oct 2016&lt;/td&gt;&lt;/tr&gt;&lt;tr&gt;&lt;td class="infoBoxTableCell"&gt;Footnote&lt;sup&gt;2&lt;/sup&gt;&lt;/td&gt;&lt;td class="infoBoxTableCell"&gt; &lt;a href="http://www.nationalfloodforum.org.uk/flood-recovery-and-empowering-grassroots-communities/" target="_blank"&gt;http://www.nationalfloodforum.org.uk/flood-recovery-and-empowering-grassroots-communities/&lt;/a&gt;Accessed Oct 2016&lt;/td&gt;&lt;/tr&gt;&lt;/tbody&gt;&lt;/table&gt;&lt;p class="text-h6 font-weight-bold mt-4"&gt;Data Sources&lt;/p&gt;&lt;p&gt;All the supporting variables listed above share the following details:&lt;/p&gt;&lt;p&gt;&lt;b&gt;Source and provider:&lt;/b&gt; CCRA, Sayers et al, 2015&lt;/p&gt;&lt;p&gt;&lt;b&gt;Year:&lt;/b&gt; 2011&lt;/p&gt;&lt;p&gt;&lt;b&gt;Processing details:&lt;/b&gt; Based on query of sites against hazard data to identify proportion of sites at risk of flooding 1:75 or greater.&lt;/p&gt;&lt;p&gt;&lt;b&gt;Geographic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 class="text-h6 font-weight-bold mt-4"&gt;References&lt;/p&gt;&lt;p&gt;&lt;a href="https://www.bbc.co.uk/news/10440691" target="_blank"&gt;[1]&lt;/a&gt; BBC (2010) Flooded Cockermouth police station reopens doors. [Accessed: 25/10/2106]&lt;/p&gt;&lt;p&gt;&lt;a href="http://www.communitycare.co.uk/2014/02/17/social-care-floods/" target="_blank"&gt;[2]&lt;/a&gt; Donovan, T. (2014) Social care and the floods: finding a safe haven for the vulnerable. [Accessed: 25/10/2016]&lt;/p&gt;&lt;p&gt;&lt;a href="" target="_blank"&gt;[3]&lt;/a&gt; Kazmierczak, A. and Kenny, C. (2011) Risk of flooding to infrastructure in Greater Manchester. Manchester: The University of Manchester.&lt;/p&gt;&lt;p&gt;&lt;a href="http://www.sayersandpartners.co.uk/uploads/6/2/0/9/6209349/sayers_2017_-_present_and_future_flood_vulnerability_risk_and_disadvantage_-_final_report_-_uploaded_05june2017_printed_-_high_quality.pdf" target="_blank"&gt;[4]&lt;/a&gt; Sayers, P.B., Horritt, M., Penning Rowsell, E., and Fieth, J. (2017). Present and future flood vulnerability, risk and disadvantage: A UK scale assessment. A report for the Joseph Rowntree Foundation published by Sayers and Partners LLP.&lt;/p&gt;&lt;/div&gt;</t>
  </si>
  <si>
    <t>Social Networks</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</si>
  <si>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class="infoBoxTableCell"&gt;&lt;p&gt;N1-3&lt;/p&gt;&lt;/td&gt;&lt;/tr&gt;&lt;tr&gt;&lt;td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class="infoBoxTableCell"&gt;&lt;p&gt;Community Support&lt;/p&gt;&lt;/td&gt;&lt;/tr&gt;&lt;tr&gt;&lt;td class="infoBoxTableCell"&gt;&lt;p&gt;Indicator&lt;/p&gt;&lt;/td&gt;&lt;td class="infoBoxTableCell"&gt;&lt;p&gt;Social networks&lt;/p&gt;&lt;/td&gt;&lt;/tr&gt;&lt;tr&gt;&lt;td class="infoBoxTableCell"&gt;&lt;p&gt;Supporting Variable&lt;/p&gt;&lt;/td&gt;&lt;td class="infoBoxTableCell"&gt;&lt;strong&gt;&lt;p&gt;% single-pensioner households&lt;/p&gt;&lt;p&gt;% lone-parent households with dependent children&lt;/p&gt;&lt;p&gt;% children of primary school age (4-11) in the population&lt;/p&gt;&lt;/strong&gt;&lt;/td&gt;&lt;/tr&gt;&lt;tr&gt;&lt;td class="infoBoxTableCell"&gt;&lt;p&gt;Assumption&lt;/p&gt;&lt;/td&gt;&lt;td class="infoBoxTableCell"&gt;&lt;p&gt;Higher proportions of people in an area who are socially isolated indicate a higher vulnerability. Socially isolated people are more vulnerable to flooding due to being less likely to ask for assistance. They are less likely to benefit from community knowledge, community activities and community responses. Similarly social cohesion may be less strong as a whole.&lt;/p&gt;&lt;/td&gt;&lt;/tr&gt;&lt;tr&gt;&lt;td class="infoBoxTableCell"&gt;&lt;p&gt;Evidence supporting the use of this supporting variable&lt;/p&gt;&lt;/td&gt;&lt;td class="infoBoxTableCell"&gt;&lt;p&gt;More information about people who are socially isolated and social vulnerability, as well as what can be done to help, is available in the main site. http://www.climatejust.org.uk/messages/people-who-are-socially-isolate&lt;/p&gt;&lt;p&gt;People with weaker social networks;&lt;/p&gt;&lt;ul&gt;&lt;li style="margin: 0.7rem 0rem;"&gt;Struggle to maintain continuity of treatment in relation to physical or mental health treatments (WHO, 2013). Where social networks are relatively good there is evidence of a better response to emergency situations and quicker recovery (Preston et al., 2014).&lt;/li&gt;&lt;li style="margin: 0.7rem 0rem;"&gt;Face practical difficulties in responding to a flood where children are dependent on them as there is less direct within-the-family support (Tapsell et al., 2002).&lt;/li&gt;&lt;li style="margin: 0.7rem 0rem;"&gt;Adults who live alone (including those with dependent children) are more likely to struggle to take action when receiving a flood warning, for example it may be physically impossible to move furniture or other items, and they will also feel more uncertain and anxious with no-one to confide in (Thrush et al., 2005).&lt;/li&gt;&lt;li style="margin: 0.7rem 0rem;"&gt;Face difficulties in accessing short-term alternative accommodation from family and friends, and so are more likely to need to use public shelters in the event of an evacuation (Scawthorn et al., 2006), but also may be less likely to know about the existence and location of such services.&lt;/li&gt;&lt;li style="margin: 0.7rem 0rem;"&gt;Informal networks are much reduced or even absent during a flood (Tapsell et al., 2002; Penning-Rowsell and Tapsell, 2002)&lt;/li&gt;&lt;/ul&gt;&lt;p&gt;People with pre-school age children can become socially isolated. However, those with school age children tend to have better local social networks (Corcoran et al., 2010) and in many cases locally-focused charities reduce the social isolation of individuals (Kazmierczak et al, 2015; Leisure Futures, 2011).&lt;/p&gt;&lt;p&gt;Connections have been made between a lack of social or community networks and other factors which increase social vulnerability. For example, this is also linked to areas with highly transient populations, with residents less likely to have access to family or friends nearby (Zsamboky et al., 2011). Individuals that are more likely to feel socially isolated include single parents, lone pensioners and new arrivals to an area.&lt;/p&gt;&lt;/td&gt;&lt;/tr&gt;&lt;/tbody&gt;&lt;/table&gt;&lt;p class="text-h6 font-weight-bold mt-4"&gt;Data Sources&lt;/p&gt;&lt;table class="infoBoxTable"&gt;&lt;tbody&gt;&lt;tr&gt;&lt;th class="infoBoxTableCell"&gt;Indicator description&lt;/th&gt;&lt;th class="infoBoxTableCell"&gt;Indicator processing details&lt;/th&gt;&lt;/tr&gt;&lt;tr&gt;&lt;td class="infoBoxTableCell"&gt;% single-pensioner households&lt;/td&gt;&lt;td class="infoBoxTableCell"&gt;Census table QS113. Number of households 'One-person household: Aged 65 and over' divided by the total number of households and multiplied by 100.&lt;/td&gt;&lt;/tr&gt;&lt;tr&gt;&lt;td class="infoBoxTableCell"&gt;% lone-parent households with dependent children&lt;/td&gt;&lt;td class="infoBoxTableCell"&gt;Census table QS113. Number of households of lone parent with one or more dependent children divided by the total number of households and multiplied by 100.&lt;/td&gt;&lt;/tr&gt;&lt;tr&gt;&lt;td class="infoBoxTableCell"&gt;% children of primary school age (4-11) in the population&lt;/td&gt;&lt;td class="infoBoxTableCell"&gt;Census table QS103. Number of people aged '4- 11 years' divided by the total population and multiplied by 100.&lt;/td&gt;&lt;/tr&gt;&lt;/tbody&gt;&lt;/table&gt;&lt;br/&gt;&lt;p&gt;All the supporting variables listed above share the following details:&lt;/p&gt;&lt;p&gt;&lt;b&gt;Source and Provider:&lt;/b&gt; Census, ONS.&lt;/p&gt;&lt;p&gt;&lt;b&gt;Year:&lt;/b&gt; 2011&lt;/p&gt;&lt;p&gt;&lt;b&gt;Geographic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 class="text-h6 font-weight-bold mt-4"&gt;References&lt;/p&gt;&lt;p&gt;&lt;a href="https://press.syr.edu/supressbooks/816/suburban-affiliations/" target="_blank"&gt;[1]&lt;/a&gt; Corcoran, M.P., Gray, J. and Peillon, M. (2010) Suburban affiliations. Social relations in the Greater Dublin Area. Syracuse University Press, New York.&lt;/p&gt;&lt;p&gt;&lt;a href="https://www.tnlcommunityfund.org.uk/funding/programmes/celebratenationallottery25" target="_blank"&gt;[2]&lt;/a&gt; Leisure Futures (2011) Impact on reducing rural isolation. Final research report.Prepared for the Big Lottery Fund.&lt;/p&gt;&lt;p&gt;[3] Kazmierczak, A. and Kenny, C. (2011) Risk of flooding to infrastructure in Greater Manchester. Manchester: The University of Manchester.&lt;/p&gt;&lt;p&gt;&lt;a href="https://pascal-francis.inist.fr/vibad/index.php?action=getRecordDetail&amp;idt=14051873" target="_blank"&gt;[4]&lt;/a&gt; Penning-Rowsell, E. and Tapsell, S. (2002) Coping with extreme floods: warnings, impacts and response, The extremes of the extremes: extraordinary floods, International Association of Hydrological Sciences , Vol. 271 pp 379-383&lt;/p&gt;&lt;p&gt;&lt;a href="https://centreforsustainableenergy.ams3.digitaloceanspaces.com/wp-content/uploads/2023/03/18215553/climate-change-and-social-justice-evidence-review.pdf" target="_blank"&gt;[5]&lt;/a&gt; Preston, I., Banks, N., Hargreaves, K. Kazmierczak, A., Lucas, K., Mayne, R., Downing, C. and Street, R. (2014) Climate Change and Social Justice: an evidence review.&lt;/p&gt;&lt;p&gt;&lt;a href="https://www.researchwithnj.com/en/publications/hazus-mh-flood-loss-estimation-methodology-ii-damage-and-loss-ass" target="_blank"&gt;[6]&lt;/a&gt; Scawthorn, C. F., Flores, P., Blais, N., Seligson, H., Tate, E., Chang, S., Mifflin, E., Thomas, W., Murphy, J., Jones, C. and Lawrence M. (2006) HAZUS-MH Flood Loss Estimation Methodology. II. Damage and Loss Assessment. Natural Hazards 7(2) 72-81.&lt;/p&gt;&lt;p&gt;&lt;a href="https://royalsocietypublishing.org/doi/10.1098/rsta.2002.1013" target="_blank"&gt;[7]&lt;/a&gt; Tapsell, S. M., Penning-Rowsell, E. C., Tunstall, S. M. and Wilson, T. L. (2002) Vulnerability to flooding: health and social dimensions, Flood risk in a changing climate. Papers of a Discussion Meeting organized and edited by D. Cox, J. Hunt, P. Mason, H. Wheater and P. Wolf. 15 July 2002, Vol 360, No. 1796, Philosophical Transactions of The Royal Society, Mathematical, Physical and Engineering Sciences pp. 1511-1525 - ISSN: 1364503X&lt;/p&gt;&lt;p&gt;&lt;a&gt;[8] &lt;/a&gt;Thrush, D., Burningham, K. and Fielding, J. (2005) Flood warning for vulnerable groups: A qualitative study. Environment Agency Science Report SC990007/SR3. Science Report: Improving Institutional and Social Responses to Flooding – Work Package 1 56 Trends Office for National Statistics Labour Market Trends Special Feature.&lt;/p&gt;&lt;p&gt;&lt;a href="https://iris.who.int/bitstream/handle/10665/108625/9789289000116-eng.pdf?sequence=1" target="_blank"&gt;[9]&lt;/a&gt; WHO (2013) Floods in the WHO European Region: Health effects and their prevention. World Health Organization.&lt;/p&gt;&lt;p&gt;&lt;a href="https://www.jrf.org.uk/impacts-of-climate-change-on-disadvantaged-uk-coastal-communities" target="_blank"&gt;[10]&lt;/a&gt; Zsamboky, M., Fernandez-Bilbao, A., Smith, D., Knight, J. and Allan, J. (2011) Impacts of climate change on disadvantaged UK coastal communities. York: Joseph Rowntree Foundation.&lt;/p&gt;&lt;p&gt;&lt;a href="http://www.sayersandpartners.co.uk/uploads/6/2/0/9/6209349/sayers_2017_-_present_and_future_flood_vulnerability_risk_and_disadvantage_-_final_report_-_uploaded_05june2017_printed_-_high_quality.pdf" target="_blank"&gt;[11]&lt;/a&gt; Sayers, P.B., Horritt, M., Penning Rowsell, E., and Fieth, J. (2017). Present and future flood vulnerability, risk and disadvantage: A UK scale assessment. A report for the Joseph Rowntree Foundation published by Sayers and Partners LLP.&lt;/p&gt;&lt;/div&gt;</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</si>
  <si>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class="infoBoxTableCell"&gt;&lt;p&gt;AT1_23, AT2_18&lt;/p&gt;&lt;/td&gt;&lt;/tr&gt;&lt;tr&gt;&lt;td class="infoBoxTableCell"&gt;&lt;p&gt;Theme&lt;/p&gt;&lt;/td&gt;&lt;td class="infoBoxTableCell"&gt;&lt;p&gt;Vulnerability&lt;/p&gt;&lt;/td&gt;&lt;/tr&gt;&lt;tr&gt;&lt;td class="infoBoxTableCell"&gt;&lt;p&gt;Hazard reference&lt;/p&gt;&lt;/td&gt;&lt;td class="infoBoxTableCell"&gt;&lt;p&gt;Flood and Heat&lt;/p&gt;&lt;/td&gt;&lt;/tr&gt;&lt;tr&gt;&lt;td class="infoBoxTableCell"&gt;&lt;p&gt;Dimension&lt;/p&gt;&lt;/td&gt;&lt;td class="infoBoxTableCell"&gt;&lt;p&gt;Ability to Respond and Ability to Respond&lt;/p&gt;&lt;/td&gt;&lt;/tr&gt;&lt;tr&gt;&lt;td class="infoBoxTableCell"&gt;&lt;p&gt;Domain&lt;/p&gt;&lt;/td&gt;&lt;td class="infoBoxTableCell"&gt;&lt;p&gt;Social networks&lt;/p&gt;&lt;/td&gt;&lt;/tr&gt;&lt;tr&gt;&lt;td class="infoBoxTableCell"&gt;&lt;p&gt;Indicator&lt;/p&gt;&lt;/td&gt;&lt;td class="infoBoxTableCell"&gt;&lt;p&gt;&lt;strong&gt;Single pensioner households (%)&lt;/strong&gt;&lt;/p&gt;&lt;/td&gt;&lt;/tr&gt;&lt;tr&gt;&lt;td class="infoBoxTableCell"&gt;&lt;p&gt;Assumption&lt;/p&gt;&lt;/td&gt;&lt;td class="infoBoxTableCell"&gt;&lt;p&gt;Areas with higher proportions of single pensioner householders are more likely to have socially isolated people and therefore higher social vulnerability compared to areas with lower proportions of single pensioner households.&lt;/p&gt;&lt;/td&gt;&lt;/tr&gt;&lt;tr&gt;&lt;td class="infoBoxTableCell"&gt;&lt;p&gt;Confidence level&lt;/p&gt;&lt;/td&gt;&lt;td class="infoBoxTableCell"&gt;&lt;p&gt;Medium&lt;/p&gt;&lt;/td&gt;&lt;/tr&gt;&lt;tr&gt;&lt;td class="infoBoxTableCell"&gt;&lt;p&gt;Guidance for the use of this indicator&lt;/p&gt;&lt;/td&gt;&lt;td class="infoBoxTableCell"&gt;&lt;p&gt;Adaptation needs to address the specific challenges associated with places with a higher proportion of single pensioner households (as is measured by this indicator), but more specifically places where communities are likely to have socially isolated individuals with poor social networks. However, it is also important to develop actions to target places where there may be fewer single pensioner households but where individuals might still be socially or physically isolated, perhaps within areas which otherwise have low social vulnerability. Responses in places with high concentrations of single pensioner households may differ from those in places with low concentrations, for example, if there are more intermediary organisations or networks such as community organisations who can work with older people with particular needs. See the separate message on &lt;a href="http://climatejust.org.uk/messages/people-who-are-socially-isolated" target="_blank"&gt;social isolation&lt;/a&gt;for more evidence and possible responses. Additional, more refined, data on older people, their relative sensitivities and other characteristics which tend to make them more or less vulnerable may be available at the local level.&lt;/p&gt;&lt;/td&gt;&lt;/tr&gt;&lt;tr&gt;&lt;td class="infoBoxTableCell"&gt;&lt;p&gt;Data Source&lt;/p&gt;&lt;/td&gt;&lt;td class="infoBoxTableCell"&gt;&lt;p&gt;Census, 2011, QS113, % Single pensioner household&lt;/p&gt;&lt;p&gt;Office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</si>
  <si>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 lone parent households with dependent children</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</si>
  <si>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class="infoBoxTableCell"&gt;&lt;p&gt;AT1_26, AT2_21&lt;/p&gt;&lt;/td&gt;&lt;/tr&gt;&lt;tr&gt;&lt;td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class="infoBoxTableCell"&gt;&lt;p&gt;Adaptive capacity: Ability to respond and ability to recover&lt;/p&gt;&lt;/td&gt;&lt;/tr&gt;&lt;tr&gt;&lt;td class="infoBoxTableCell"&gt;&lt;p&gt;Domain&lt;/p&gt;&lt;/td&gt;&lt;td class="infoBoxTableCell"&gt;&lt;p&gt;Social networks&lt;/p&gt;&lt;/td&gt;&lt;/tr&gt;&lt;tr&gt;&lt;td class="infoBoxTableCell"&gt;&lt;p&gt;Indicator&lt;/p&gt;&lt;/td&gt;&lt;td class="infoBoxTableCell"&gt;&lt;p&gt;&lt;strong&gt;% lone parent households with dependent children&lt;/strong&gt;&lt;/p&gt;&lt;/td&gt;&lt;/tr&gt;&lt;tr&gt;&lt;td class="infoBoxTableCell"&gt;&lt;p&gt;Assumption&lt;/p&gt;&lt;/td&gt;&lt;td class="infoBoxTableCell"&gt;&lt;p&gt;A higher proportion of lone parents with dependent children is assumed to be a proxy indicator of higher vulnerability as a result of potential isolation.&lt;/p&gt;&lt;/td&gt;&lt;/tr&gt;&lt;tr&gt;&lt;td class="infoBoxTableCell"&gt;&lt;p&gt;Confidence level&lt;/p&gt;&lt;/td&gt;&lt;td class="infoBoxTableCell"&gt;&lt;p&gt;Low – this is a proxy measure and its suitability is open to debate.&lt;/p&gt;&lt;/td&gt;&lt;/tr&gt;&lt;tr&gt;&lt;td class="infoBoxTableCell"&gt;&lt;p&gt;Guidance for the use of this indicator&lt;/p&gt;&lt;/td&gt;&lt;td class="infoBoxTableCell"&gt;&lt;p&gt;Adaptation needs to address the specific challenges associated with places with a higher proportion of lone parents with dependent children (as is measured by this indicator), but more specifically places where communities are likely to include socially isolated people who have poor social networks. The use of this indicator as a proxy for social networks and the assumption that higher proportions of lone parents with dependent children may result in more potential for isolation is open to debate. There is &lt;a href="https://www.gov.uk/government/uploads/system/uploads/attachment_data/file/214568/rrep782.pdf" target="_blank"&gt;conflicting evidence&lt;/a&gt;which points to both the potential for stronger networks and also the chance for higher rates of isolation within this group. Although this indicator is used as a proxy measure of networks, considering the distributions of lone parents with dependent children may be helpful as an indicator of other vulnerability factors since this also points to greater responsibilities which may reduce their capacity for responding to extreme events relative to other groups. Other measures of social networks for people with young children may be available from internal data sources or from local organisations working with vulnerable people.&lt;/p&gt;&lt;/td&gt;&lt;/tr&gt;&lt;tr&gt;&lt;td class="infoBoxTableCell"&gt;&lt;p&gt;Data Source&lt;/p&gt;&lt;/td&gt;&lt;td class="infoBoxTableCell"&gt;&lt;p&gt;Census, 2011, % Lone parent households with dependent children&lt;/p&gt;&lt;p&gt;Office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</si>
  <si>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Social Flood Risk Index (SFRI)</t>
  </si>
  <si>
    <t>&lt;div class="body-1"&gt;&lt;p&gt;The level of social flood risk (SFRI) at a neighbourhood scale is a measure of geographic flood disadvantage (i.e. where social vulnerability and exposure to flooding coincide).&lt;/p&gt;&lt;p&gt;The SFRI is a relative index and has no defined units. The greater the value for a neighbourhood, the higher the level of social flood risk. High levels of risk occur where high numbers of people live in the floodplain in a neighbourhood with high social vulnerability. High negative values are a result of high numbers of people living in the floodplain in a neighbourhood with low social vulnerability. Neighbourhoods where no-one lives in the floodplain have a value of zero. Social flood risk maps are provided for two flood themes:&lt;/p&gt;&lt;ul&gt;&lt;li style="margin: 0.7rem 0rem;"&gt; &lt;b&gt;pluvial (surface water) flooding&lt;/b&gt; &lt;/li&gt;&lt;li style="margin: 0.7rem 0rem;"&gt; &lt;b&gt;coastal and fluvial flooding combined&lt;/b&gt; &lt;/li&gt;&lt;/ul&gt;&lt;p&gt;Social flood risk maps cover three different scenarios:&lt;/p&gt;&lt;ul&gt;&lt;li style="margin: 0.7rem 0rem;"&gt; &lt;b&gt;Present day&lt;/b&gt; &lt;/li&gt;&lt;li style="margin: 0.7rem 0rem;"&gt; &lt;b&gt;2050s 2 degrees&lt;/b&gt; rise in Global Mean Temperature (GMT) (from the 1961-90 baseline as used in the latest UK climate change projections (UKCP09)&lt;/li&gt;&lt;li style="margin: 0.7rem 0rem;"&gt; &lt;b&gt;2050s 4 degrees&lt;/b&gt; rise in GMT assuming a continuation in current levels of adaptation and high population growth.&lt;/li&gt;&lt;/ul&gt;&lt;p&gt;Social flood risk is given as two different measures for each neighbourhood:&lt;/p&gt;&lt;ul&gt;&lt;li style="margin: 0.7rem 0rem;"&gt; &lt;b&gt;Neighbourhood scale - a 'group' measure&lt;/b&gt; which incorporates the chance of flooding occurring in the floodplain (accounting for defences), the number of people living within the floodplain and the overall social vulnerability of the neighbourhood. High positive scores identify neighbourhoods where large numbers of the most vulnerable people are exposed to flooding.&lt;/li&gt;&lt;li style="margin: 0.7rem 0rem;"&gt; &lt;b&gt;Individual scale - an 'average' measure&lt;/b&gt; which incorporates the chance of flooding occurring in the floodplain (accounting for defences) and the overall social vulnerability of the neighbourhood. The measure generates a 'per person' risk estimate. It helps to identify neighbourhoods where the vulnerability of those exposed is high (even when in reality only a few people may be exposed). It is calculated by dividing the SFRI group measure by the floodplain population.&lt;/li&gt;&lt;/ul&gt;&lt;p class="text-h6 font-weight-bold mt-4"&gt;References&lt;/p&gt;&lt;p&gt;&lt;a href="http://www.sayersandpartners.co.uk/uploads/6/2/0/9/6209349/sayers_2017_-_present_and_future_flood_vulnerability_risk_and_disadvantage_-_final_report_-_uploaded_05june2017_printed_-_high_quality.pdf" target="_blank"&gt;[1]&lt;/a&gt; Sayers, P.B., Horritt, M., Penning Rowsell, E., and Fieth, J. (2017). Present and future flood vulnerability, risk and disadvantage: A UK scale assessment. A report for the Joseph Rowntree Foundation published by Sayers and Partners LLP. &lt;/p&gt;&lt;/div&gt;</t>
  </si>
  <si>
    <t>Heat disadvantage</t>
  </si>
  <si>
    <t>&lt;div class="body-1"&gt;&lt;p&gt;The maps of heat disadvantage show how heat-related social vulnerability combines with the potential for exposure to heat-related events. They account for both the likelihood of coming into contact with high temperatures and also the severity of negative impacts on the health and wellbeing of local communities that could occur as a result of that contact. There are eight combinations of maps bringing together two representations of social vulnerability (population-weighted and average) and four representations of heat-related hazard (see below). They show the result of an equally-weighted combination of neighbourhood-level scores for:&lt;/p&gt;&lt;ul&gt;&lt;li style="margin: 0.7rem 0rem;"&gt;&lt;b&gt;Socio-spatial heat vulnerability&lt;/b&gt; – a map of where negative social impacts are more likely. There are two types of maps both of which are represented over a 25km grid. The first shows a population-weighted representation of vulnerability and the second shows average heat-related vulnerability for each 25km grid cell across England.&lt;/li&gt;&lt;li style="margin: 0.7rem 0rem;"&gt;&lt;b&gt;High temperature hazard-exposure&lt;/b&gt; – a map of where high temperatures are more likely. This map uses a 25km grid over England. There are four measures of high temperature hazard-exposure and therefore four maps. They are: mean summer maximum temperature in the 2050s; change in mean summer maximum temperature from the climate baseline to the 2050s; change in the temperature of the warmest day from the climate baseline to the 2050s; and change in the temperature of the warmest night from the climate baseline to the 2050s.&lt;/li&gt;&lt;/ul&gt;&lt;p&gt;The maps are shown by 25km grid cell, conforming to climate scenario outputs from UKCP09. In line with UKCP09 guidance, maps are provided for three scenarios and three probability levels. The maps for the central (50th percentile) estimate of the medium scenario for mean summer maximum temperature in the 2050s is a recommended starting point. More information is available in the ClimateJust user guide, the main report, UKCP09 and the list of limitations.&lt;/p&gt;Acknowledgements: See indicator information for relevant data acknowledgements for the inputs to this dataset. UK Climate Projections 2009, Crown copyright.UKCP09 data show 50th, 90th and 10th percentile estimates for each climate metric for the low (L50), medium (M50) and high (H50) emissions scenarios. Population-weighted centre-points of neighbourhoods (MSOAs) areas have been used to allocate neighbourhood-based data to the appropriate 25km grid cell. See the main report for more information.&lt;p&gt;&lt;/p&gt;&lt;/div&gt;&lt;/div&gt;</t>
  </si>
  <si>
    <t>Heat disadvantage (Population weighted vulnerability and mean summer maximum temperature 2050s)</t>
  </si>
  <si>
    <t>&lt;div class="body-1"&gt;&lt;div class="panel-body"&gt;&lt;p&gt;The maps of heat disadvantage show how heat-related social vulnerability combines with the potential for exposure to heat-related events. They account for both the likelihood of coming into contact with high temperatures and also the severity of negative impacts on the health and wellbeing of local communities that could occur as a result of that contact. This map shows the result of an equally-weighted combination of neighbourhood-level scores over a 25km grid for:&lt;/p&gt;&lt;ul&gt;&lt;li style="margin: 0.7rem 0rem;"&gt;population-weighted socio-spatial heat vulnerability&lt;/li&gt;&lt;li style="margin: 0.7rem 0rem;"&gt;heat hazard-exposure according to mean summer maximum temperature in the 2050s&lt;/li&gt;&lt;/ul&gt;&lt;p&gt;The maps are shown by 25km grid cell, conforming to climate scenario outputs from UKCP09. In line with UKCP09 guidance, maps are provided for three scenarios and three probability levels. The maps for the central (50th percentile) estimate of the medium scenario for mean summer maximum temperature in the 2050s are a recommended starting point. More information is available in the ClimateJust user guide , the main report , UKCP09 and the list of limitations.&lt;/p&gt;&lt;p&gt;Acknowledgements: See indicator information for relevant data acknowledgements for the inputs to this dataset. UK Climate Projections 2009, Crown copyright.UKCP09 data show 50th, 90th and 10th percentile estimates for each climate metric for the low (L50), medium (M50) and high (H50) emissions scenarios. Population-weighted centre-points of neighbourhoods (MSOAs) areas have been used to allocate neighbourhood-based data to the appropriate 25km grid cell. See the main report for more information.&lt;/p&gt;&lt;/div&gt;&lt;/div&gt;</t>
  </si>
  <si>
    <t>Heat disadvantage (Population weighted vulnerability and mean summer maximum temperature 2050s) Medium Emissions scenario 50th percentile (Recommended)</t>
  </si>
  <si>
    <t>&lt;div class="body-1"&gt;&lt;div class="panel-body"&gt;&lt;p&gt;The maps of heat disadvantage show how heat-related social vulnerability combines with the potential for exposure to heat-related events. They account for both the likelihood of coming into contact with high temperatures and also the severity of negative impacts on the health and wellbeing of local communities that could occur as a result of that contact. This map shows the result of an equally-weighted combination of neighbourhood-level scores over a 25km grid for:&lt;/p&gt;&lt;ul&gt;&lt;li style="margin: 0.7rem 0rem;"&gt;population-weighted socio-spatial heat vulnerability&lt;/li&gt;&lt;li style="margin: 0.7rem 0rem;"&gt;heat hazard-exposure according to mean summer maximum temperature in the 2050s ( &lt;b&gt;medium emissions scenario, 50th percentile&lt;/b&gt; )&lt;/li&gt;&lt;/ul&gt;&lt;p&gt;The maps are shown by 25km grid cell, conforming to climate scenario outputs from UKCP09. &lt;b&gt;These maps for the central (50th percentile) estimate of the medium scenario for mean summer maximum temperature in the 2050s are a recommended starting point. However, users are encouraged to review maps for other probability levels and emissions scenarios in line with UKCP09 guidance. Maps are provided for three scenarios and three probability levels&lt;/b&gt; . More information is available in the ClimateJust user guide, the main report , UKCP09 and the list of limitations.&lt;/p&gt;&lt;p&gt;Acknowledgements: See indicator information for relevant data acknowledgements for the inputs to this dataset. UK Climate Projections 2009, Crown copyright.UKCP09 data show 50th, 90th and 10th percentile estimates for each climate metric for the low (L50), medium (M50) and high (H50) emissions scenarios. Population-weighted centre-points of neighbourhoods (MSOAs) areas have been used to allocate neighbourhood-based data to the appropriate 25km grid cell. See the main report for more information.&lt;/p&gt;&lt;/div&gt;&lt;/div&gt;</t>
  </si>
  <si>
    <t>Heat hazard-exposure</t>
  </si>
  <si>
    <t>&lt;div class="body-1"&gt;&lt;div class="panel-body"&gt;&lt;p&gt;The maps of heat hazard-exposure broadly show where there is likely to be a greater chance of coming into contact with heat-related events. There are four representations of heat-related hazard and therefore four sets of maps. They are: mean summer maximum temperature in the 2050s; change in mean summer maximum temperature from the climate baseline to the 2050s; change in the temperature of the warmest day from the climate baseline to the 2050s; and change in the temperature of the warmest night from the climate baseline to the 2050s. The maps are shown by 25km grid cell, conforming to climate scenario outputs from UKCP09. In line with UKCP09 guidance, maps are provided for three scenarios and three probability levels. The maps for the central (50th percentile) estimate of the medium scenario for mean summer maximum temperature in the 2050s are a recommended starting point. More information is available in the ClimateJust user guide , the main report and list of limitations . This is an imperfect representation of the likelihood of people and communities coming into contact with heat-waves. Users should also note that people in different parts of the country are already used to different temperatures so heat health warning thresholds are different according to where you are located . More information and data are available from the UKCP09 website.&lt;/p&gt;&lt;p&gt;Acknowledgements: See indicator information for relevant data acknowledgements for the inputs to this dataset. UK Climate Projections 2009, Crown copyright.UKCP09 data show 50th, 90th and 10th percentile estimates for each climate metric for the low (L50), medium (M50) and high (H50) emissions scenarios. Population-weighted centre-points of neighbourhoods (MSOAs) areas have been used to allocate neighbourhood-based data to the appropriate 25km grid cell. See the main report for more information.&lt;/p&gt;&lt;/div&gt;&lt;/div&gt;</t>
  </si>
  <si>
    <t>Heat socio-spatial vulnerability</t>
  </si>
  <si>
    <t>&lt;div class="body-1"&gt;&lt;div class="panel-body"&gt;&lt;p&gt;Heat socio-spatial vulnerability refers to mapped social vulnerability with respect to heat-related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heat socio-spatial vulnerability map shows the result of an equally-weighted combination of neighbourhood-level scores for indicators within each of the five dimensions of socio-spatial vulnerability for each neighbourhood:&lt;/p&gt;&lt;ul&gt;&lt;li style="margin: 0.7rem 0rem;"&gt; &lt;p&gt;&lt;b&gt;Sensitivity&lt;/b&gt; -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 &lt;ul&gt; &lt;li&gt;Age&lt;/li&gt; &lt;li&gt;Health&lt;/li&gt; &lt;/ul&gt; &lt;/li&gt; &lt;li style="margin: 0.7rem 0rem;"&gt;&lt;p&gt;&lt;b&gt;Enhanced Exposure&lt;/b&gt; - Enhanced exposure refers to aspects of the physical environment, such as the availability of green space or housing characteristics, which tend to accentuate or offset the severity of heat wave or flood events. The map shows the result of an equally-weighted combination of neighbourhood-level scores for indicators within the domains associated with enhanced exposure with respect to heat:&lt;/p&gt; &lt;ul&gt; &lt;li&gt;Physical environment&lt;/li&gt; &lt;li&gt;Physical geography&lt;/li&gt; &lt;li&gt;Building characteristics&lt;/li&gt; &lt;/ul&gt; &lt;/li&gt; &lt;li style="margin: 0.7rem 0rem;"&gt;&lt;p&gt;&lt;b&gt;(In)ability to Prepare&lt;/b&gt; -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 &lt;ul&gt; &lt;li&gt;Income&lt;/li&gt; &lt;li&gt;Tenure&lt;/li&gt; &lt;li&gt;Information use – language&lt;/li&gt; &lt;/ul&gt; &lt;/li&gt; &lt;li style="margin: 0.7rem 0rem;"&gt;&lt;p&gt;&lt;b&gt;(In)ability to Respond&lt;/b&gt; - A person’s or community’s ability to respond to climate and extreme weather events is governed primarily by social factors. With respect to heat this includes factors such as social networks and mobility. The map shows the result of an equally-weighted combination of neighbourhood-level scores for indicators within the domains associated with respect to heat:&lt;/p&gt; &lt;ul&gt; &lt;li&gt;Income&lt;/li&gt; &lt;li&gt;Information use – language&lt;/li&gt; &lt;li&gt;Social networks&lt;/li&gt; &lt;li&gt;Mobility&lt;/li&gt; &lt;li&gt;Crime&lt;/li&gt; &lt;li&gt;General accessibility&lt;/li&gt; &lt;li&gt;General infrastructure&lt;/li&gt; &lt;/ul&gt;&lt;/li&gt; &lt;li style="margin: 0.7rem 0rem;"&gt;&lt;p&gt;&lt;b&gt;(In)ability to Recover&lt;/b&gt; -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 &lt;ul&gt; &lt;li&gt;Information use – language&lt;/li&gt; &lt;li&gt;Social networks&lt;/li&gt; &lt;li&gt;Mobility&lt;/li&gt; &lt;li&gt;Service access&lt;/li&gt; &lt;/ul&gt; &lt;/li&gt; &lt;/ul&gt; &lt;p&gt;Neighbourhood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geographical data and other local data holdings.&lt;/p&gt;&lt;p&gt;Acknowledgements: See indicator information for relevant data acknowledgements for the inputs to this dataset. Mapping is based on Office for National Statistics, 2011 Census: Digitised Boundary Data (England and Wales) [computer file]. UK Data Service Census Support. Downloaded from: &lt;a href="http://census.edina.ac.uk/" target="_blank"&gt;http://census.edina.ac.uk/&lt;/a&gt;&lt;/p&gt;&lt;/div&gt;&lt;/div&gt;</t>
  </si>
  <si>
    <t>&lt;div class="body-1"&gt;&lt;div class="panel-body"&gt;&lt;p&gt;Heat socio-spatial vulnerability refers to mapped social vulnerability with respect to heat-related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heat socio-spatial vulnerability map shows the result of an equally-weighted combination of neighbourhood-level scores for indicators within each of the five dimensions of socio-spatial vulnerability for each neighbourhood:&lt;/p&gt;&lt;ul&gt;&lt;li style="margin: 0.7rem 0rem;"&gt; &lt;a href="sheet16.html"&gt;Sensitivity&lt;/a&gt;&lt;/li&gt;&lt;li style="margin: 0.7rem 0rem;"&gt; &lt;a href="sheet18.html"&gt;Enhanced Exposure&lt;/a&gt;&lt;/li&gt;&lt;li style="margin: 0.7rem 0rem;"&gt; &lt;a href="sheet20.html"&gt;(In)ability to Prepare&lt;/a&gt;&lt;/li&gt;&lt;li style="margin: 0.7rem 0rem;"&gt; &lt;a href="sheet22.html"&gt;(In)ability to Respond&lt;/a&gt;&lt;/li&gt;&lt;li style="margin: 0.7rem 0rem;"&gt; &lt;a href="sheet24.html"&gt;(In)ability to Recover&lt;/a&gt;&lt;/li&gt;&lt;/ul&gt;&lt;p&gt;Neighbourhood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geographical data and other local data holdings.&lt;/p&gt;&lt;p&gt;Acknowledgements: See indicator information for relevant data acknowledgements for the inputs to this dataset. Mapping is based on Office for National Statistics, 2011 Census: Digitised Boundary Data (England and Wales) [computer file]. UK Data Service Census Support. Downloaded from: &lt;a href="http://census.edina.ac.uk/" target="_blank"&gt;http://census.edina.ac.uk/&lt;/a&gt;&lt;/p&gt;&lt;/div&gt;&lt;/div&gt;</t>
  </si>
  <si>
    <t>&lt;div class="body-1"&gt;&lt;div class="panel-body"&gt;&lt;p&gt;Sensitivity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Sensitivity:&lt;/p&gt;&lt;ul&gt;&lt;li style="margin: 0.7rem 0rem;"&gt;Age&lt;/li&gt;&lt;li style="margin: 0.7rem 0rem;"&gt;Health&lt;/li&gt;&lt;/ul&gt;&lt;p&gt;Neighbourhood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data and local data holdings.&lt;/p&gt;&lt;p&gt;Acknowledgements: See indicator information for relevant data acknowledgements for this dataset. Mapping is based on Office for National Statistics, 2011 Census: Digitised Boundary Data (England and Wales) [computer file]. UK Data Service Census Support. Downloaded from: &lt;a href="http://census.edina.ac.uk/" target="_blank"&gt;http://census.edina.ac.uk/&lt;/a&gt;&lt;/p&gt;&lt;/div&gt;&lt;/div&gt;</t>
  </si>
  <si>
    <t>Enhanced Exposure (heat)</t>
  </si>
  <si>
    <t>&lt;div class="body-1"&gt; &lt;div class="panel-body"&gt; &lt;p&gt;Enhanced exposure refers to aspects of the physical environment, such as the availability of green space or housing characteristics, which tend to accentuate or offset the severity of heat wave or flood events. The map shows the result of an equally-weighted combination of neighbourhood-level scores for indicators within the domains associated with enhanced exposure with respect to heat:&lt;/p&gt; &lt;ul&gt; &lt;li style="margin: 0.7rem 0rem;"&gt;Physical environment&lt;/li&gt; &lt;li style="margin: 0.7rem 0rem;"&gt;Physical geography&lt;/li&gt; &lt;li style="margin: 0.7rem 0rem;"&gt;Building characteristics&lt;/li&gt; &lt;/ul&gt; &lt;p&gt;Neighbourhood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geographical data and other local data holdings.&lt;/p&gt; &lt;p&gt;Acknowledgements: See indicator information for relevant data acknowledgements for this dataset. Mapping is based on Office for National Statistics, 2011 Census: Digitised Boundary Data (England and Wales) [computer file]. UK Data Service Census Support. Downloaded from: &lt;a href="http://census.edina.ac.uk/" target="_blank"&gt;http://census.edina.ac.uk/&lt;/a&gt;&lt;/p&gt; &lt;/div&gt; &lt;/div&gt;</t>
  </si>
  <si>
    <t>Ability to prepare (heat)</t>
  </si>
  <si>
    <t>&lt;div class="body-1"&gt; &lt;div class="panel-body"&gt; &lt;p&gt;A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 &lt;ul&gt; &lt;li style="margin: 0.7rem 0rem;"&gt;Income&lt;/li&gt; &lt;li style="margin: 0.7rem 0rem;"&gt;Tenure&lt;/li&gt; &lt;li style="margin: 0.7rem 0rem;"&gt;Information use – language&lt;/li&gt; &lt;/ul&gt; &lt;p&gt;Neighbourhood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geographical data and other local data holdings.&lt;/p&gt; &lt;p&gt;Acknowledgements: See indicator information for relevant data acknowledgements for this dataset. Mapping is based on Office for National Statistics, 2011 Census: Digitised Boundary Data (England and Wales) [computer file]. UK Data Service Census Support. Downloaded from: &lt;a href="http://census.edina.ac.uk/" target="_blank"&gt;http://census.edina.ac.uk/&lt;/a&gt;&lt;/p&gt; &lt;/div&gt; &lt;/div&gt;</t>
  </si>
  <si>
    <t>Ability to respond (heat)</t>
  </si>
  <si>
    <t>&lt;div class="body-1"&gt; &lt;div class="panel-body"&gt; &lt;p&gt;A person’s or community’s ability to respond to climate and extreme weather events is governed primarily by social factors. With respect to heat this includes factors such as social networks and mobility. The map shows the result of an equally-weighted combination of neighbourhood-level scores for indicators within the domains associated with respect to heat:&lt;/p&gt; &lt;ul&gt; &lt;li style="margin: 0.7rem 0rem;"&gt;Income&lt;/li&gt; &lt;li style="margin: 0.7rem 0rem;"&gt;Information use – language&lt;/li&gt; &lt;li style="margin: 0.7rem 0rem;"&gt;Social networks&lt;/li&gt; &lt;li style="margin: 0.7rem 0rem;"&gt;Mobility&lt;/li&gt; &lt;li style="margin: 0.7rem 0rem;"&gt;Crime&lt;/li&gt; &lt;li style="margin: 0.7rem 0rem;"&gt;General accessibility&lt;/li&gt; &lt;li style="margin: 0.7rem 0rem;"&gt;General infrastructure&lt;/li&gt; &lt;/ul&gt; &lt;p&gt;Neighbourhood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geographical data and other local data holdings.&lt;/p&gt; &lt;p&gt;Acknowledgements: See indicator information for relevant data acknowledgements for this dataset. Mapping is based on Office for National Statistics, 2011 Census: Digitised Boundary Data (England and Wales) [computer file]. UK Data Service Census Support. Downloaded from: &lt;a href="http://census.edina.ac.uk/" target="_blank"&gt;http://census.edina.ac.uk/&lt;/a&gt;&lt;/p&gt; &lt;/div&gt; &lt;/div&gt;</t>
  </si>
  <si>
    <t>Ability to recover (heat)</t>
  </si>
  <si>
    <t>&lt;div class="body-1"&gt; &lt;div class="panel-body"&gt;&lt;p&gt;A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 &lt;ul&gt; &lt;li style="margin: 0.7rem 0rem;"&gt;Information use – language&lt;/li&gt; &lt;li style="margin: 0.7rem 0rem;"&gt;Social networks&lt;/li&gt; &lt;li style="margin: 0.7rem 0rem;"&gt;Mobility&lt;/li&gt; &lt;li style="margin: 0.7rem 0rem;"&gt;Service access&lt;/li&gt; &lt;/ul&gt; &lt;/div&gt; &lt;/div&gt;</t>
  </si>
  <si>
    <t>Environment Agency Maps</t>
  </si>
  <si>
    <t>&lt;div class="body-1"&gt;&lt;p class="text-h6 font-weight-bold mt-4"&gt;&lt;strong&gt;Flood zones&lt;/strong&gt;&lt;/p&gt;&lt;p&gt;Flood zones are divided areas of the natural floodplain, and are shown on our flood map for planning.&lt;/p&gt;&lt;p&gt;They divide the floodplain into 3 areas or zones that represent different levels of flood risk, not taking into account the presence of flood defences.&lt;/p&gt;&lt;p&gt;The zones are shown as shaded areas on a map and are used by the local planning authorities when considering planning applications.&lt;/p&gt;&lt;p class="text-h6 font-weight-bold mt-4"&gt;&lt;strong&gt;What the flood zones mean&lt;/strong&gt;&lt;/p&gt;&lt;p&gt;&lt;strong&gt;Zone 1&lt;/strong&gt;- shows areas with the lowest probability of flooding from rivers and the sea, where the chance of flooding in any one year is less than 0.1% (i.e. a 1000 to 1 chance).&lt;/p&gt;&lt;p&gt;&lt;strong&gt;Zone 2&lt;/strong&gt;- shows the area between zone 1 and zone 3. This represents an area with the chance of flooding in any one year between 0.1% and 1% fluvial or 0.5% tidal (i.e. between a 1000 to 1 and a 100 to 1 fluvial or 200 to 1 tidal chance). The outer edge of this zone is referred to as the 'Extreme Flood Outline' (EFO).&lt;/p&gt;&lt;p&gt;&lt;strong&gt;Zone 3&lt;/strong&gt;- shows areas with the highest probability of flooding. The chance of flooding in any one year is greater than or equal to 1% (i.e. a 100 to 1 chance) for river flooding and greater or equal to 0.5% (i.e. a 200 to 1 chance) for coastal and tidal flooding.&lt;/p&gt;&lt;p&gt;Further details are available on the &lt;a href="https://data.gov.uk/data/search?publisher=environment-agency&amp;theme-primary=Environment&amp;res_format=WMS&amp;q=flooding" target="_blank"&gt;data.gov.uk&lt;/a&gt;portal.&lt;/p&gt;&lt;/div&gt;</t>
  </si>
  <si>
    <t>Natural Resources Wales Maps</t>
  </si>
  <si>
    <t>&lt;div class="body-1"&gt;&lt;p class="text-h6 font-weight-bold mt-4"&gt;&lt;strong&gt;Flood zones&lt;/strong&gt;&lt;/p&gt;&lt;p&gt;Flood zones are divided areas of the natural floodplain, and are shown on our flood map for planning.&lt;/p&gt;&lt;p&gt;They divide the floodplain into 3 areas or zones that represent different levels of flood risk, not taking into account the presence of flood defences.&lt;/p&gt;&lt;p&gt;The zones are shown as shaded areas on a map and are used by the local planning authorities when considering planning applications.&lt;/p&gt;&lt;p class="text-h6 font-weight-bold mt-4"&gt;&lt;strong&gt;What the flood zones mean&lt;/strong&gt;&lt;/p&gt;&lt;p&gt;&lt;strong&gt;Zone 1&lt;/strong&gt;- shows areas with the lowest probability of flooding from rivers and the sea, where the chance of flooding in any one year is less than 0.1% (i.e. a 1000 to 1 chance).&lt;/p&gt;&lt;p&gt;&lt;strong&gt;Zone 2&lt;/strong&gt;- shows the area between zone 1 and zone 3. This represents an area with the chance of flooding in any one year between 0.1% and 1% fluvial or 0.5% tidal (i.e. between a 1000 to 1 and a 100 to 1 fluvial or 200 to 1 tidal chance). The outer edge of this zone is referred to as the 'Extreme Flood Outline' (EFO).&lt;/p&gt;&lt;p&gt;&lt;strong&gt;Zone 3&lt;/strong&gt;- shows areas with the highest probability of flooding. The chance of flooding in any one year is greater than or equal to 1% (i.e. a 100 to 1 chance) for river flooding and greater or equal to 0.5% (i.e. a 200 to 1 chance) for coastal and tidal flooding.&lt;/p&gt;&lt;p class="text-h6 font-weight-bold mt-4"&gt;&lt;strong&gt;Risk of flooding from rivers and sea&lt;/strong&gt;&lt;/p&gt;&lt;p&gt;River flooding happens when a river cannot cope with the amount of water draining into it from the surrounding land. Sea flooding happens when there are high tides and stormy conditions.&lt;/p&gt;&lt;p&gt;Further details are available on the &lt;a href="http://lle.gov.wales/catalogue?lang=en&amp;Text=&amp;C=7&amp;Page=&amp;INSPIRE=False%2F%2F" target="_blank"&gt;Welsh Geo-Portal&lt;/a&gt;.&lt;/p&gt;&lt;/div&gt;</t>
  </si>
  <si>
    <t>Heat hazard-exposure (2018)</t>
  </si>
  <si>
    <t>&lt;div class="body-1"&gt;&lt;div class="panel-body"&gt;&lt;p&gt;The maps of heat hazard-exposure broadly show where there is likely to be a greater chance of coming into contact with heat-related events across the UK. There are three measures of heat-related hazard, each of which are presented in categories from slight to acute (Table 1), showing where high temperatures are more likely to occur), and as an absolute temperature in &amp;#8451;, to give six sets of maps. They are:&lt;/p&gt;&lt;ul&gt;&lt;li style="margin:.7rem 0"&gt;&lt;b&gt;Summer average temperature&lt;/b&gt;:a map of daily average summer temperature (averaged across June, July and August), giving the expected average temperature for a typical summer’s day.&lt;/li&gt;&lt;li style="margin:.7rem 0"&gt;&lt;b&gt;Summer average maximum temperature&lt;/b&gt;: : a map of average daily maximum summer temperature (averaged across June, July and August), giving the expected temperature at the hottest part of the day for a typical summer’s day.&lt;/li&gt;&lt;li style="margin:.7rem 0"&gt;&lt;b&gt;Summer extreme maximum temperature&lt;/b&gt;: a map of extreme daily maximum summer temperature (across June, July and August), giving the expected temperature at the hottest part of the day during an extreme heatwave. These are split by return period to give a representation of how likely an event is to occur. For example, if region of the map shows 40&amp;#8451; with a return period of 50 years, you would expect temperatures to exceed 40&amp;#8451; only once every 50 years, or have a 1 in 50 chance of exceeding 40&amp;#8451; in any given year.&lt;/li&gt;&lt;/ul&gt;&lt;p&gt;&lt;b&gt;Table 1.&lt;/b&gt; Correspondence between Z-Scores calculated over entire dataset (all years and scenarios for each measure) and labels for maps of heat exposure.&lt;/p&gt;&lt;center&gt;&lt;table border="0" width="240pp" height="auto"&gt;&lt;tr bgcolor="#bbbbbb"&gt;&lt;th&gt;Z-Score&lt;/th&gt;&lt;th&gt;Label&lt;/th&gt;&lt;/tr&gt;&lt;tr&gt;&lt;td&gt;&amp;ensp;&amp;ge; 2.5&lt;/td&gt;&lt;td&gt;&amp;ensp;Acute&lt;/td&gt;&lt;/tr&gt;&lt;tr bgcolor="#dddddd"&gt;&lt;td&gt;&amp;ensp;1.5 &amp;#8211; 2.5&lt;/td&gt;&lt;td&gt;&amp;ensp;Extremely high &amp;emsp;&lt;/td&gt;&lt;/tr&gt;&lt;tr&gt;&lt;td&gt;&amp;ensp;0.5 &amp;#8211; 1.5 &lt;/td&gt;&lt;td&gt;&amp;ensp;Relatively high&lt;/td&gt;&lt;/tr&gt;&lt;tr bgcolor="#dddddd"&gt;&lt;td&gt;&amp;ensp;-0.5 &amp;#8211; 0.5&lt;/td&gt;&lt;td&gt;&amp;ensp;Average&lt;/td&gt;&lt;/tr&gt;&lt;tr&gt;&lt;td&gt;&amp;ensp;-1.5 &amp;#8211; -0.5 &lt;/td&gt;&lt;td&gt;&amp;ensp;Relatively low&lt;/td&gt;&lt;/tr&gt;&lt;tr bgcolor="#dddddd"&gt;&lt;td&gt;&amp;ensp;-2.5 &amp;#8211; -1.5&lt;/td&gt;&lt;td&gt;&amp;ensp;Extremely low&lt;/td&gt;&lt;/tr&gt;&lt;tr&gt;&lt;td&gt;&amp;ensp;&amp;le; -2.5&lt;/td&gt;&lt;td&gt;&amp;ensp;Slight&lt;/td&gt;&lt;/tr&gt;&lt;/table&gt;&lt;/center&gt;&lt;p&gt;The maps are shown on 25km grid cells, conforming to climate scenario outputs from the United Kingdom Climate Projections 2018 (UKCP18) project. Maps are provided for three years: 2020 (roughly present day), 2050 and 2080. The temperatures at each year are the average over the 20 year time period about the central year (e.g. 2050 is the average between 2040&amp;#8211;2060). &lt;/p&gt;&lt;p&gt;In line with UKCP18 guidance, maps are provided for four climate change scenarios and three probability levels.The scenarios, known as "Representative Concentration Pathways" (RCP), were developed for the Intergovernmental Panel on Climate Change (IPCC) fifth assessment report. The number after RCP is the net radiative forcing in 2100 from all greenhouse gases in Wm&lt;sup&gt;-2&lt;/sup&gt; (e.g. for RCP8.5 the radiative forcing from all greenhouse gases in 2100 is 8.5 Wm&lt;sup&gt;-2&lt;/sup&gt;), where a higher radiative forcing leads to a greater increase in global temperatures. For each RCP, plausible future socioeconomic and corresponding greenhouse gas emission scenarios were developed as follows:&lt;/p&gt;&lt;ul&gt;&lt;li style="margin:.7rem 0"&gt;&lt;b&gt;Low Emissions&lt;/b&gt; – RCP2.6: a future in which the world achieves rapid and sustained reduction of emissions of greenhouse gases, giving a sizeable chance of keeping the global average increase in temperatures compared to preindustrial times below 2&amp;#8451;.&lt;/li&gt;&lt;li style="margin:.7rem 0"&gt;&lt;b&gt;Moderate emissions&lt;/b&gt; – RCP4.5: an intermediate scenario in which emissions of greenhouse gases stop increasing past around the 2030s, after which the world slowly transitions to a low carbon future.&lt;/li&gt;&lt;li style="margin:.7rem 0"&gt;&lt;b&gt;High emissions&lt;/b&gt; – RCP6.0: a future in which emissions of greenhouse gases continue to rise, peaking around 2060 and eventually stabilising by 2100.&lt;/li&gt;&lt;li style="margin:.7rem 0"&gt;&lt;b&gt;Very high emissions&lt;/b&gt; – RCP8.5: a future in which the world fails to commit to a low-carbon future, use of fossil fuels expands, and emissions rise rapidly up to and beyond 2100.&lt;/li&gt;&lt;/ul&gt;&lt;p&gt;No one scenario is described as more likely than any of the others, the spread reflects the uncertainty in future socioeconomic development and emissions of greenhouse gases. Each of the different scenarios were used to drive simulations of the Earths climate using state-of-the-art climate models for the IPCC fifth assessment report. The UKCP18 dataset combines the results of all of these models into one dataset with a range of percentiles based on the spread of model data. Here, we present three percentiles:&lt;/p&gt;&lt;ul&gt;&lt;li style="margin:.7rem 0"&gt;&lt;b&gt;10&lt;sup&gt;th&lt;/sup&gt; percentile&lt;/b&gt;: low estimate.&lt;/li&gt;&lt;li style="margin:.7rem 0"&gt;&lt;b&gt;50&lt;sup&gt;th&lt;/sup&gt; percentile&lt;/b&gt;: central estimate or median.&lt;/li&gt;&lt;li style="margin:.7rem 0"&gt;&lt;b&gt;90&lt;sup&gt;th&lt;/sup&gt; percentile&lt;/b&gt;: high estimate.&lt;/li&gt;&lt;/ul&gt;&lt;p&gt;Collectively, the range of percentiles represents the uncertainty in response of the climate for a given increase in greenhouse gases. The maps for the central (50th percentile) estimate of the moderate emissions scenario for mean summer maximum temperature in the 2050s is a recommended starting point. A more cautious approach may mean looking at the 90th percentile of one of the higher emission scenarios.&lt;/p&gt;&lt;p&gt;More information is available in the ClimateJust user guide, the main report, and the UKCP18 documentation on caveats and limitations.&lt;/p&gt;&lt;p&gt;Further information on the UKCP18 data can be found in following reports:&lt;/p&gt;&lt;ul&gt;&lt;li style="margin:.7rem 0"&gt;&lt;a href="https://www.metoffice.gov.uk/binaries/content/assets/metofficegovuk/pdf/research/ukcp/ukcp18-guidance-data-availability-access-and-formats.pdf" target="_blank"&gt;UKCP18 Guidance: Data Availability, Access and Formats&lt;/a&gt;.&lt;/li&gt;&lt;li style="margin:.7rem 0"&gt;&lt;a href="https://www.metoffice.gov.uk/binaries/content/assets/metofficegovuk/pdf/research/ukcp/ukcp18-guidance---caveats-and-limitations.pdf" target="_blank"&gt;UKCP18 Guidance: Caveats and Limitations&lt;/a&gt;.&lt;/li&gt;&lt;li style="margin:.7rem 0"&gt;&lt;a href="https://www.metoffice.gov.uk/pub/data/weather/uk/ukcp18/science-reports/UKCP18-Overview-report.pdf" target="_blank"&gt;UKCP18 Science Overview Report&lt;/a&gt;.&lt;/li&gt;&lt;/ul&gt;&lt;p class="text-h6 font-weight-bold mt-4"&gt;References&lt;/p&gt;&lt;p&gt;&lt;a href="https://catalogue.ceda.ac.uk/uuid/9f8dfaf790644dbcb2c3f69f409a70d6" target="_blank"&gt;[1]&lt;/a&gt; Met Office Hadley Centre (2018): UKCP18 Probabilistic Projections on a 25km grid over the UK for 1961-2100. Centre for Environmental Data Analysis, last updated: 2022-08-05. (Use of these data is covered by the &lt;a href="https://www.nationalarchives.gov.uk/doc/open-government-licence/version/3/" target="_blank"&gt;Open Government License version 3&lt;/a&gt;).&lt;/p&gt;&lt;p&gt;&lt;a href="https://www.ipcc.ch/site/assets/uploads/2017/09/WG1AR5_Frontmatter_FINAL.pdf" target="_blank"&gt;[2]&lt;/a&gt; IPCC, 2013: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1535 pp.&lt;/p&gt;&lt;/div&gt;&lt;/div&gt;</t>
  </si>
  <si>
    <t>Socio-Spatial Flood Vulnerability Index (England)</t>
  </si>
  <si>
    <t>&lt;div class="body-1"&gt;&lt;div class="panel-body"&gt;&lt;p&gt;&lt;b&gt;Socio-Spatial Flood Vulnerability Index&lt;/b&gt;(SSFVI) refers to mapped social vulnerability with respect to flood-related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SSFVI map shows the result of an equally-weighted combination of neighbourhood-level Z-scores for indicators within each of the five dimensions of socio-spatial vulnerability for each neighbourhood:&lt;/p&gt;&lt;ul&gt;&lt;li style="margin:.7rem 0"&gt;&lt;p&gt;&lt;b&gt;Sensitivity&lt;/b&gt;-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Sensitivity:&lt;/p&gt;&lt;ul&gt;&lt;li&gt;Age&lt;/li&gt;&lt;li&gt;Health&lt;/li&gt;&lt;/ul&gt;&lt;/li&gt;&lt;li style="margin:.7rem 0"&gt;&lt;p&gt;&lt;b&gt;(In)ability to Prepare&lt;/b&gt;-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floods:&lt;/p&gt;&lt;ul&gt;&lt;li&gt;Income&lt;/li&gt;&lt;li&gt;Tenure&lt;/li&gt;&lt;li&gt;Language&lt;/li&gt;&lt;li&gt;Internet&lt;/li&gt;&lt;li&gt;Local knowledge&lt;/li&gt;&lt;/ul&gt;&lt;/li&gt;&lt;li style="margin:.7rem 0"&gt;&lt;p&gt;&lt;b&gt;(In)ability to Respond&lt;/b&gt;- A person's or community's ability to respond to climate and extreme weather events is governed primarily by social factors. With respect to flood this includes factors such as social networks and mobility. The map shows the result of an equally-weighted combination of neighbourhood-level scores for indicators within the domains associated with respect to floods:&lt;/p&gt;&lt;ul&gt;&lt;li&gt;Income&lt;/li&gt;&lt;li&gt;Language&lt;/li&gt;&lt;li&gt;Internet&lt;/li&gt;&lt;li&gt;Social networks&lt;/li&gt;&lt;li&gt;Mobility&lt;/li&gt;&lt;li&gt;Crime&lt;/li&gt;&lt;/ul&gt;&lt;/li&gt;&lt;li style="margin:.7rem 0"&gt;&lt;p&gt;&lt;b&gt;(In)ability to Recover&lt;/b&gt;-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floods:&lt;/p&gt;&lt;ul&gt;&lt;li&gt;Income&lt;/li&gt;&lt;li&gt;Language&lt;/li&gt;&lt;li&gt;Internet&lt;/li&gt;&lt;li&gt;Social networks&lt;/li&gt;&lt;li&gt;Mobility&lt;/li&gt;&lt;li&gt;Pharmacy access&lt;/li&gt;&lt;li&gt;House prices&lt;/li&gt;&lt;/ul&gt;&lt;/li&gt;&lt;li style="margin:.7rem 0"&gt;&lt;p&gt;&lt;b&gt;Enhanced Exposure&lt;/b&gt;- Enhanced exposure refers to aspects of the physical environment, such as the availability of green space or housing characteristics, which tend to accentuate or offset the severity of flood events. The map shows the result of an equally-weighted combination of neighbourhood-level scores for indicators within the domains associated with enhanced exposure with respect to floods:&lt;/p&gt;&lt;ul&gt;&lt;li&gt;Physical environment&lt;/li&gt;&lt;li&gt;Housing characteristics&lt;/li&gt;&lt;/ul&gt;&lt;/li&gt;&lt;/ul&gt;&lt;p&gt;The calculated SSFVI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slight-flood"&gt;&lt;/td&gt;&lt;/tr&gt;&lt;/tbody&gt;&lt;/table&gt;&lt;/p&gt;&lt;br&gt;&lt;p&gt;Socio-Spatial Flood Vulnerability criteria, domains, indicators and the respective weightings of each indicator to derive the domains and criteria are summarised in the table below:&lt;/p&gt;&lt;table class="table_info"&gt;&lt;thead&gt;&lt;tr&gt;&lt;th class="th_info"&gt;Vulnerability Criteria&lt;/th&gt;&lt;th class="th_info"&gt;Domain&lt;/th&gt;&lt;th class="th_info"&gt;Indicator Name&lt;/th&gt;&lt;th class="th_info"&gt;Indicator Weight&lt;/th&gt;&lt;th class="th_info"&gt;Domain Weight&lt;/th&gt;&lt;/tr&gt;&lt;/thead&gt;&lt;tbody&gt;&lt;tr&gt;&lt;td class="td_info bold" rowspan="8"&gt;SENSITIVITY&lt;/td&gt;&lt;td class="td_info bold" rowspan="2"&gt;Age&lt;/td&gt;&lt;td class="td_info"&gt;Young children (% people under 5 years)&lt;/td&gt;&lt;td class="td_info"&gt;0.500&lt;/td&gt;&lt;td class="td_info bold" rowspan="2"&gt;0.500&lt;/td&gt;&lt;/tr&gt;&lt;tr&gt;&lt;td class="td_info"&gt;Older people (% people over 75 years)&lt;/td&gt;&lt;td class="td_info"&gt;0.500&lt;/td&gt;&lt;/tr&gt;&lt;tr&gt;&lt;td class="td_info bold" rowspan="6"&gt;Health&lt;/td&gt;&lt;td class="td_info"&gt;Emergency hospital admissions&lt;/td&gt;&lt;td class="td_info"&gt;0.143&lt;/td&gt;&lt;td class="td_info bold" rowspan="6"&gt;0.500&lt;/td&gt;&lt;/tr&gt;&lt;tr&gt;&lt;td class="td_info"&gt;Comparative illness and disability ratio&lt;/td&gt;&lt;td class="td_info"&gt;0.143&lt;/td&gt;&lt;/tr&gt;&lt;tr&gt;&lt;td class="td_info"&gt;Mood and Anxiety Disorder Indicator&lt;/td&gt;&lt;td class="td_info"&gt;0.143&lt;/td&gt;&lt;/tr&gt;&lt;tr&gt;&lt;td class="td_info"&gt;Medical and Care Residents (Score)&lt;/td&gt;&lt;td class="td_info"&gt;0.143&lt;/td&gt;&lt;/tr&gt;&lt;tr&gt;&lt;td class="td_info"&gt;Years of Potential Life Lost (Score)&lt;/td&gt;&lt;td class="td_info"&gt;0.143&lt;/td&gt;&lt;/tr&gt;&lt;tr&gt;&lt;td class="td_info"&gt;Homelessness rate (rate per 1000 households)&lt;/td&gt;&lt;td class="td_info"&gt;0.143&lt;/td&gt;&lt;/tr&gt;&lt;tr&gt;&lt;td class="td_info bold" rowspan="11"&gt;INABILITY TO PREPARE&lt;/td&gt;&lt;td class="td_info bold" rowspan="3"&gt;Income&lt;/td&gt;&lt;td class="td_info"&gt;Employment deprived people in an area (% of working population)&lt;/td&gt;&lt;td class="td_info"&gt;0.333&lt;/td&gt;&lt;td class="td_info bold" rowspan="3"&gt;0.200&lt;/td&gt;&lt;/tr&gt;&lt;tr&gt;&lt;td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 rowspan="2"&gt;Tenure&lt;/td&gt;&lt;td class="td_info"&gt;Social renters (% Households renting from Social or Council landlords)&lt;/td&gt;&lt;td class="td_info"&gt;0.500&lt;/td&gt;&lt;td class="td_info bold" rowspan="2"&gt;0.200&lt;/td&gt;&lt;/tr&gt;&lt;tr&gt;&lt;td class="td_info"&gt;Private renters (% Households)&lt;/td&gt;&lt;td class="td_info"&gt;0.500&lt;/td&gt;&lt;/tr&gt;&lt;tr&gt;&lt;td class="td_info bold"&gt;Language&lt;/td&gt;&lt;td class="td_info"&gt;Level of proficiency in English (% population)&lt;/td&gt;&lt;td class="td_info"&gt;1.000&lt;/td&gt;&lt;td class="td_info bold"&gt;0.200&lt;/td&gt;&lt;/tr&gt;&lt;tr&gt;&lt;td class="td_info bold" rowspan="2"&gt;Internet&lt;/td&gt;&lt;td class="td_info"&gt;Sub-standard Broadband (% premises below the Universal Service Obligation)&lt;/td&gt;&lt;td class="td_info"&gt;0.500&lt;/td&gt;&lt;td class="td_info bold" rowspan="2"&gt;0.200&lt;/td&gt;&lt;/tr&gt;&lt;tr&gt;&lt;td class="td_info"&gt;Availability of superfast broadband (% Premises)&lt;/td&gt;&lt;td class="td_info"&gt;0.500&lt;/td&gt;&lt;/tr&gt;&lt;tr&gt;&lt;td class="td_info bold" rowspan="3"&gt;Local knowledge&lt;/td&gt;&lt;td class="td_info"&gt;Population Transience (Residential Mobility Index)&lt;/td&gt;&lt;td class="td_info"&gt;0.333&lt;/td&gt;&lt;td class="td_info bold" rowspan="3"&gt;0.200&lt;/td&gt;&lt;/tr&gt;&lt;tr&gt;&lt;td class="td_info"&gt;Past experience due to exposure of properties to historical flooding (Score)&lt;/td&gt;&lt;td class="td_info"&gt;0.333&lt;/td&gt;&lt;/tr&gt;&lt;tr&gt;&lt;td class="td_info"&gt;Flood alert and warning areas (% area not covered)&lt;/td&gt;&lt;td class="td_info"&gt;0.333&lt;/td&gt;&lt;/tr&gt;&lt;tr&gt;&lt;td class="td_info bold" rowspan="17"&gt;INABILITY TO RESPOND&lt;/td&gt;&lt;td class="td_info bold" rowspan="3"&gt;Income&lt;/td&gt;&lt;td class="td_info"&gt;Employment deprived people in an area (% of working population)&lt;/td&gt;&lt;td class="td_info"&gt;0.333&lt;/td&gt;&lt;td class="td_info bold" rowspan="3"&gt;0.143&lt;/td&gt;&lt;/tr&gt;&lt;tr&gt;&lt;td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bold"&gt;0.143&lt;/td&gt;&lt;/tr&gt;&lt;tr&gt;&lt;td class="td_info bold" rowspan="2"&gt;Internet&lt;/td&gt;&lt;td class="td_info"&gt;Sub-standard Broadband (% premises below the Universal Service Obligation)&lt;/td&gt;&lt;td class="td_info"&gt;0.500&lt;/td&gt;&lt;td class="td_info bold" rowspan="2"&gt;0.143&lt;/td&gt;&lt;/tr&gt;&lt;tr&gt;&lt;td class="td_info"&gt;Availability of superfast broadband (% Premises)&lt;/td&gt;&lt;td class="td_info"&gt;0.500&lt;/td&gt;&lt;/tr&gt;&lt;tr&gt;&lt;td class="td_info bold" rowspan="3"&gt;Local knowledge&lt;/td&gt;&lt;td class="td_info"&gt;Population Transience (Residential Mobility Index)&lt;/td&gt;&lt;td class="td_info"&gt;0.333&lt;/td&gt;&lt;td class="td_info bold" rowspan="3"&gt;0.143&lt;/td&gt;&lt;/tr&gt;&lt;tr&gt;&lt;td class="td_info"&gt;Past experience due to exposure of properties to historical flooding (Score)&lt;/td&gt;&lt;td class="td_info"&gt;0.333&lt;/td&gt;&lt;/tr&gt;&lt;tr&gt;&lt;td class="td_info"&gt;Flood alert and warning areas (% area not covered)&lt;/td&gt;&lt;td class="td_info"&gt;0.333&lt;/td&gt;&lt;/tr&gt;&lt;tr&gt;&lt;td class="td_info bold" rowspan="2"&gt;Social networks&lt;/td&gt;&lt;td class="td_info"&gt;Single pensioner households (%)&lt;/td&gt;&lt;td class="td_info"&gt;0.500&lt;/td&gt;&lt;td class="td_info bold" rowspan="2"&gt;0.143&lt;/td&gt;&lt;/tr&gt;&lt;tr&gt;&lt;td class="td_info"&gt;Lack of school-related networks (% children not of primary school age)&lt;/td&gt;&lt;td class="td_info"&gt;0.500&lt;/td&gt;&lt;/tr&gt;&lt;tr&gt;&lt;td class="td_info bold" rowspan="5"&gt;Mobility&lt;/td&gt;&lt;td class="td_info"&gt;Comparative illness and disability ratio&lt;/td&gt;&lt;td class="td_info"&gt;0.200&lt;/td&gt;&lt;td class="td_info bold" rowspan="5"&gt;0.143&lt;/td&gt;&lt;/tr&gt;&lt;tr&gt;&lt;td class="td_info"&gt;Medical and Care Residents (Score)&lt;/td&gt;&lt;td class="td_info"&gt;0.200&lt;/td&gt;&lt;/tr&gt;&lt;tr&gt;&lt;td class="td_info"&gt;Lack of private transport (% households with no car or van)&lt;/td&gt;&lt;td class="td_info"&gt;0.200&lt;/td&gt;&lt;/tr&gt;&lt;tr&gt;&lt;td class="td_info"&gt;Workplace accessibility by walking or public transport (travel time, destination and origin indicators)&lt;/td&gt;&lt;td class="td_info"&gt;0.200&lt;/td&gt;&lt;/tr&gt;&lt;tr&gt;&lt;td class="td_info"&gt;Workplace accessibility by car (travel time, destination and origin indicators)&lt;/td&gt;&lt;td class="td_info"&gt;0.200&lt;/td&gt;&lt;/tr&gt;&lt;tr&gt;&lt;td class="td_info bold"&gt;Crime&lt;/td&gt;&lt;td class="td_info"&gt;Index of Multiple Deprivation crime score&lt;/td&gt;&lt;td class="td_info"&gt;1.000&lt;/td&gt;&lt;td class="td_info"&gt;0.143&lt;/td&gt;&lt;/tr&gt;&lt;tr&gt;&lt;td class="td_info bold" rowspan="15"&gt;INABILITY TO RECOVER&lt;/td&gt;&lt;td class="td_info bold" rowspan="3"&gt;Income&lt;/td&gt;&lt;td class="td_info"&gt;Employment deprived people in an area (% of working population)&lt;/td&gt;&lt;td class="td_info"&gt;0.333&lt;/td&gt;&lt;td class="td_info bold" rowspan="3"&gt;0.143&lt;/td&gt;&lt;/tr&gt;&lt;tr&gt;&lt;td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bold"&gt;0.143&lt;/td&gt;&lt;/tr&gt;&lt;tr&gt;&lt;td class="td_info bold" rowspan="2"&gt;Internet&lt;/td&gt;&lt;td class="td_info"&gt;Sub-standard Broadband (% premises below the Universal Service Obligation)&lt;/td&gt;&lt;td class="td_info"&gt;0.500&lt;/td&gt;&lt;td class="td_info bold" rowspan="2"&gt;0.143&lt;/td&gt;&lt;/tr&gt;&lt;tr&gt;&lt;td class="td_info"&gt;Availability of superfast broadband (% Premises)&lt;/td&gt;&lt;td class="td_info"&gt;0.500&lt;/td&gt;&lt;/tr&gt;&lt;tr&gt;&lt;td class="td_info bold" rowspan="2"&gt;Social networks&lt;/td&gt;&lt;td class="td_info"&gt;Single pensioner households (%)&lt;/td&gt;&lt;td class="td_info"&gt;0.500&lt;/td&gt;&lt;td class="td_info bold" rowspan="2"&gt;0.143&lt;/td&gt;&lt;/tr&gt;&lt;tr&gt;&lt;td class="td_info"&gt;Lack of school-related networks (% children not of primary school age)&lt;/td&gt;&lt;td class="td_info"&gt;0.500&lt;/td&gt;&lt;/tr&gt;&lt;tr&gt;&lt;td class="td_info bold" rowspan="5"&gt;Mobility&lt;/td&gt;&lt;td class="td_info"&gt;Comparative illness and disability ratio&lt;/td&gt;&lt;td class="td_info"&gt;0.200&lt;/td&gt;&lt;td class="td_info bold" rowspan="5"&gt;0.143&lt;/td&gt;&lt;/tr&gt;&lt;tr&gt;&lt;td class="td_info"&gt;Medical and Care Residents (Score)&lt;/td&gt;&lt;td class="td_info"&gt;0.200&lt;/td&gt;&lt;/tr&gt;&lt;tr&gt;&lt;td class="td_info"&gt;Lack of private transport (% households with no car or van)&lt;/td&gt;&lt;td class="td_info"&gt;0.200&lt;/td&gt;&lt;/tr&gt;&lt;tr&gt;&lt;td class="td_info"&gt;Workplace accessibility by walking or public transport (travel time, destination and origin indicators)&lt;/td&gt;&lt;td class="td_info"&gt;0.200&lt;/td&gt;&lt;/tr&gt;&lt;tr&gt;&lt;td class="td_info"&gt;Workplace accessibility by car (travel time, destination and origin indicators)&lt;/td&gt;&lt;td class="td_info"&gt;0.200&lt;/td&gt;&lt;/tr&gt;&lt;tr&gt;&lt;td class="td_info bold"&gt;Pharmacy Access&lt;/td&gt;&lt;td class="td_info"&gt;Mean distance to a pharmacy (km)&lt;/td&gt;&lt;td class="td_info"&gt;1.000&lt;/td&gt;&lt;td class="td_info bold"&gt;0.143&lt;/td&gt;&lt;/tr&gt;&lt;tr&gt;&lt;td class="td_info bold"&gt;House Prices&lt;/td&gt;&lt;td class="td_info"&gt;Median price paid for residential properties (£)&lt;/td&gt;&lt;td class="td_info"&gt;1.000&lt;/td&gt;&lt;td class="td_info bold"&gt;0.143&lt;/td&gt;&lt;/tr&gt;&lt;tr&gt;&lt;td class="td_info bold" rowspan="5"&gt;ENHANCED EXPOSURE&lt;/td&gt;&lt;td class="td_info bold" rowspan="3"&gt;Physical Environment&lt;/td&gt;&lt;td class="td_info"&gt;Built up area (% not greenspace)&lt;/td&gt;&lt;td class="td_info"&gt;0.330&lt;/td&gt;&lt;td class="td_info bold" rowspan="3"&gt;0.500&lt;/td&gt;&lt;/tr&gt;&lt;tr&gt;&lt;td class="td_info"&gt;Lack of domestic gardens (% dwellings without gardens)&lt;/td&gt;&lt;td class="td_info"&gt;0.330&lt;/td&gt;&lt;/tr&gt;&lt;tr&gt;&lt;td class="td_info"&gt;Median combined size of parks and public gardens and playing fields within 1,000 m radius (m2)&lt;/td&gt;&lt;td class="td_info"&gt;0.330&lt;/td&gt;&lt;/tr&gt;&lt;tr&gt;&lt;td class="td_info bold" rowspan="2"&gt;Housing Characteristics&lt;/td&gt;&lt;td class="td_info"&gt;Caravan or other mobile or temporary structures (% of all households)&lt;/td&gt;&lt;td class="td_info"&gt;0.500&lt;/td&gt;&lt;td class="td_info bold" rowspan="2"&gt;0.500&lt;/td&gt;&lt;/tr&gt;&lt;tr&gt;&lt;td class="td_info"&gt;Homelessness rate (rate per 1000 households)&lt;/td&gt;&lt;td class="td_info"&gt;0.500&lt;/td&gt;&lt;/tr&gt;&lt;/tbody&gt;&lt;/table&gt;&lt;br&gt;&lt;p&gt;&lt;b&gt;Disclaimers:&lt;/b&gt;The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</si>
  <si>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class="panel-body"&gt;&lt;p&gt;&lt;b&gt;Population Exposure and Disadvantage&lt;/b&gt; - combines population-based exposure to risk of flooding with Socio-Spatial Flood Vulnerability Index (SSFVI) to provide disadvantage with respect to flood risk mapped on to Lower Super Output Area (LSOAs). Disadvantage is calculated as an equally weighted combination of the degree of exposure in the LSOA and the SSFVI for the LSOA as a whole.&lt;/p&gt;&lt;br&gt;&lt;p&gt;The table below summarises the indicators shown and their descriptions:&lt;/p&gt;&lt;table class="table_info"&gt;&lt;thead&gt;&lt;tr&gt;&lt;th class="th_info"&gt;Indicator Name&lt;/th&gt;&lt;th class="th_info"&gt;Further Information&lt;/th&gt;&lt;/tr&gt;&lt;/thead&gt;&lt;tbody&gt;&lt;tr&gt;&lt;td class="td_info"&gt;Population&lt;/td&gt;&lt;td class="td_info"&gt;Lower Super Output Area Population (2011), confirmed match for the population data used&lt;/td&gt;&lt;/tr&gt;&lt;tr&gt;&lt;td class="td_info"&gt;Population Exposed (Count)&lt;/td&gt;&lt;td class="td_info"&gt;Estimated count of population living within a flood zone (irrespective of defences)&lt;/td&gt;&lt;/tr&gt;&lt;tr&gt;&lt;td class="td_info"&gt;Exposed Population Defended (Count)&lt;/td&gt;&lt;td class="td_info"&gt;Estimated count of population living within defended areas. Estimate only: not all defended areas are mapped, e.g. for small river and coastal defences and surface water interventions&lt;/td&gt;&lt;/tr&gt;&lt;tr&gt;&lt;td class="td_info"&gt;Exposed Population Undefended (Count)&lt;/td&gt;&lt;td class="td_info"&gt;Estimated count of population living within undefended areas. Estimate only: not all defended areas are mapped, e.g. for small river and coastal defences and surface water interventions&lt;/td&gt;&lt;/tr&gt;&lt;tr&gt;&lt;td class="td_info"&gt;Population Exposed (Z-Score)&lt;/td&gt;&lt;td class="td_info"&gt;Z-score of Population Exposed&lt;/td&gt;&lt;/tr&gt;&lt;tr&gt;&lt;td class="td_info"&gt;Exposed Population Undefended (Z-Score)&lt;/td&gt;&lt;td class="td_info"&gt;Z-score of Exposed Population Undefended&lt;/td&gt;&lt;/tr&gt;&lt;tr&gt;&lt;td class="td_info"&gt;Disadvantage (all potentially exposed, Z-Score)&lt;/td&gt;&lt;td class="td_info"&gt;Final Flood Disadvantage taking account of all potentially exposed people (irrespective of whether defended or not). Null = not exposed&lt;/td&gt;&lt;/tr&gt;&lt;tr&gt;&lt;td class="td_info"&gt;Disadvantage (all potentially undefended, Z-Score)&lt;/td&gt;&lt;td class="td_info"&gt;Final Flood Disadvantage taking account of all potentially undefended poeple (i.e., taking account of published data on areas protected by river and coastal defences). Null = not exposed or all the population of the LSOA is defended&lt;/td&gt;&lt;/tr&gt;&lt;/tbody&gt;&lt;/table&gt;&lt;br&gt;&lt;p&gt;Z-Scores for Population Exposed and Disadvantage are plotted using the following classification scheme. Positive values denote more people potentially exposed/disadvantaged than average, values around 0 denote the population potentially exposed/disadvantaged is around the average for England, negative values denote fewer people than average potentially exposed/disadvantaged:&lt;/p&gt;&lt;p&gt;&lt;table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slight-flood"&gt;&lt;/td&gt;&lt;/tr&gt;&lt;/tbody&gt;&lt;/table&gt;&lt;/p&gt;&lt;br&gt;&lt;p&gt;The table provides the data sources, version and license information for the data used to calculate the exposed population (defended and undefended):&lt;/p&gt;&lt;table class="table_info"&gt;&lt;thead&gt;&lt;tr&gt;&lt;th class="th_info"&gt;Data&lt;/th&gt;&lt;th class="th_info"&gt;Version&lt;/th&gt;&lt;th class="th_info"&gt;Licence information&lt;/th&gt;&lt;/tr&gt;&lt;/thead&gt;&lt;tbody&gt;&lt;tr&gt;&lt;td class="td_info"&gt;&lt;a href="https://www.data.gov.uk/dataset/bed63fc1-dd26-4685-b143-2941088923b3/flood-map-for-planning-rivers-and-sea-flood-zone-3" target="_blank"&gt;Flood Map for Planning (Rivers and Sea) - Flood Zone 3&lt;/a&gt;&lt;/td&gt;&lt;td class="td_info"&gt;01-Aug-22&lt;/td&gt;&lt;td class="td_info"&gt;There are no public access constraints to this data. Use of this data is subject to the licence identified. © Environment Agency copyright and/or database right 2018. All rights reserved. Some features of this map are based on digital spatial data from the Centre for Ecology &amp;amp; Hydrology, © NERC (CEH). © Crown copyright and database rights 2018 Ordnance Survey 100024198&lt;/td&gt;&lt;/tr&gt;&lt;tr&gt;&lt;td class="td_info"&gt;&lt;a href="https://www.data.gov.uk/dataset/cf494c44-05cd-4060-a029-35937970c9c6/flood-map-for-planning-rivers-and-sea-flood-zone-2" target="_blank"&gt;Flood Map for Planning (Rivers and Sea) - Flood Zone 2&lt;/a&gt;&lt;/td&gt;&lt;td class="td_info"&gt;01-Aug-22&lt;/td&gt;&lt;td class="td_info"&gt;There are no public access constraints to this data. Use of this data is subject to the licence identified. © Environment Agency copyright and/or database right 2018. All rights reserved. Attribution Statement: Some features of this map are based on digital spatial data from the Centre for Ecology &amp;amp; Hydrology, © NERC (CEH) Attribution Statement: © Crown copyright and database rights 2018 Ordnance Survey 100024198&lt;/td&gt;&lt;/tr&gt;&lt;tr&gt;&lt;td class="td_info"&gt;&lt;a href="https://www.data.gov.uk/dataset/eaa328e7-2eea-4cbf-bd6b-c66121981ba1/flood-map-for-planning-rivers-and-sea-areas-benefiting-from-defences" target="_blank"&gt;Flood Map for Planning (Rivers and Sea) - Areas Benefiting from Defences&lt;/a&gt;&lt;/td&gt;&lt;td class="td_info"&gt;01-Aug-22&lt;/td&gt;&lt;td class="td_info"&gt;There are no public access constraints to this data. Use of this data is subject to the licence identified. Notes read that the dataset will be retired and superseded by a new dataset called ‘Reduction in Risk of Flooding from Rivers and Sea due to Defences’ in December 2022 © Environment Agency copyright and/or database right 2018. All rights reserved. Some features of this map are based on digital spatial data from the Centre for Ecology &amp;amp; Hydrology, © NERC (CEH) © Crown copyright and database rights 2018 Ordnance Survey 100024198&lt;/td&gt;&lt;/tr&gt;&lt;tr&gt;&lt;td class="td_info"&gt;&lt;a href="https://www.data.gov.uk/dataset/1f3d6e13-40f1-4d12-99de-77132bc19c47/risk-of-flooding-from-surface-water-extent-0-1-percent-annual-chance" target="_blank"&gt;Risk of Flooding from Surface Water Extent: 0.1 percent annual chance&lt;/a&gt;&lt;/td&gt;&lt;td class="td_info"&gt;21-May-22&lt;/td&gt;&lt;td class="td_info"&gt;There are no public access constraints to this data. Use of this data is subject to the licence identified. Some features of this information are based on digital spatial data licensed from the Centre for Ecology &amp;amp; Hydrology © NERC (CEH). Defra, Met Office and DARD Rivers Agency © Crown copyright. © Cranfield University. © James Hutton Institute. Contains OS data © Crown copyright and database right 2015. Land &amp;amp; Property Services © Crown copyright and database right.&lt;/td&gt;&lt;/tr&gt;&lt;tr&gt;&lt;td class="td_info"&gt;&lt;a href="https://www.data.gov.uk/dataset/8b82987d-3616-4e46-8edb-2973e8b82ad7/risk-of-flooding-from-surface-water-extent-1-percent-annual-chance" target="_blank"&gt;Risk of Flooding from Surface Water Extent: 1 percent annual chance&lt;/a&gt;&lt;/td&gt;&lt;td class="td_info"&gt;21-May-22&lt;/td&gt;&lt;td class="td_info"&gt;There are no public access constraints to this data. Use of this data is subject to the licence identified. Some features of this information are based on digital spatial data licensed from the Centre for Ecology &amp;amp; Hydrology © NERC (CEH). Defra, Met Office and DARD Rivers Agency © Crown copyright. © Cranfield University. © James Hutton Institute. Contains OS data © Crown copyright and database right 2015. Land &amp;amp; Property Services © Crown copyright and database right.&lt;/td&gt;&lt;/tr&gt;&lt;tr&gt;&lt;td class="td_info"&gt;&lt;a href="http://openpopgrid.geodata.soton.ac.uk/" target="_blank"&gt;OpenPopGrid&lt;/a&gt;&lt;/td&gt;&lt;td class="td_info"&gt;2011&lt;/td&gt;&lt;td class="td_info"&gt;Licensed under the Open Database License. You are free to use under the terms of the OdBL licence subject to citation. Any rights in individual contents of the database are licensed under the Database Contents License. Reference: Murdock, A.P., Harfoot, A.J.P., Martin, D., Cockings, S. and Hill, C. (2015) OpenPopGrid: an open gridded population dataset for England and Wales. GeoData, University of Southampton.&lt;/td&gt;&lt;/tr&gt;&lt;/tbody&gt;&lt;/table&gt;&lt;br&gt;&lt;p&gt;&lt;b&gt;Notes:&lt;/b&gt;Data are the latest available from the Environment Agency (data.gov) as of Nov 2022. Data are considered the best available. Data have not been used to assess property level exposure though have been overlaid with a 10m population grid as a broad indicator of population exposure. There is some data cleaning (min population value 2) and data are aggregated to LSOA level. All flood types and return periods have been merged. Uses data from the Flood Map for Flood Zones 2 and 3 for river and coastal flooding and surface water flooding. Method has involved attributing 10m population estimates 2011 into the flood zones. Some of the figures do not match perfectly due to removal of population counts &amp;lt; 2 people which are likely to be spurious due to matching 10m cells to LSOAs. Defences relate to River and coastal flooding only. Note that these data were due to be superceded in Dec 2022 therefore improved datasets may now be available for estimating flood exposure.&lt;/p&gt;&lt;p&gt;&lt;b&gt;Disclaimers:&lt;/b&gt;The supply of these data in no way implies or leads to an expectation of support in the use of these data. No updates or modifications will necessarily be made available. All data are as provided from the authors of the report identified above.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the indicator metadata of the associated social vulnerability spreadsheet for relevant data acknowledgements for the inputs to this dataset.&lt;br&gt;Climate Just (2022)&lt;a href="www.climatejust.org.uk" target="_blank"&gt;www.climatejust.org.uk&lt;/a&gt;. 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 Environment Agency copyright and/or database right 2018. All rights reserved. Attribution Statement: Some features of this map are based on digital spatial data from the Centre for Ecology &amp; Hydrology, © NERC (CEH) Attribution Statement: © Crown copyright and database rights 2018 Ordnance Survey 100024198 (Nov 2022)&lt;br&gt;Some features of this information are based on digital spatial data licensed from the Centre for Ecology &amp; Hydrology © NERC (CEH). Defra, Met Office and DARD Rivers Agency © Crown copyright. © Cranfield University. © James Hutton Institute. Contains OS data © Crown copyright and database right 2015. Land &amp; Property Services © Crown copyright and database right.&lt;br&gt;Murdock, A.P., Harfoot, A.J.P., Martin, D., Cockings, S. and Hill, C. (2015) OpenPopGrid: an open gridded population dataset for England and Wales. GeoData, University of Southampton.&lt;br&gt;This work was funded by Friends of the Earth. Research conducted by University of Manchester.&lt;br&gt;October 2023 (2022 Update)&lt;/p&gt;&lt;/div&gt;&lt;/div&gt;</t>
  </si>
  <si>
    <t>&lt;div class="body-1"&gt;&lt;div class="panel-body"&gt;&lt;p&gt;&lt;b&gt;Sensitivity&lt;/b&gt; -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Sensitivity:&lt;/p&gt;&lt;li style="margin:.7rem 0"&gt;Age&lt;/li&gt;&lt;li&gt;Health&lt;/li&gt;&lt;br&gt;&lt;p&gt;The calculated Sensitivity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slight-flood"&gt;&lt;/td&gt;&lt;/tr&gt;&lt;/tbody&gt;&lt;/table&gt;&lt;/p&gt;&lt;br&gt;&lt;p&gt;Sensitivity Index criteria, domains, indicators, data source, processing details and the respective weightings of each indicator to derive the domains and criteria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rowspan="2"&gt;Age&lt;/td&gt;&lt;td class="td_info"&gt;Young children (% people under 5 years)&lt;/td&gt;&lt;td class="td_info"&gt;Population estimation ONS 2020&lt;/td&gt;&lt;td class="td_info"&gt;Population estimation ONS Table SAPE22DT2: Mid-2019 Population Estimates for Lower Layer Super Output Areas in England and Wales by Single Year of Age and Sex, Persons &lt;/td&gt;&lt;td class="td_info"&gt;0.500&lt;/td&gt;&lt;/tr&gt;&lt;tr&gt;&lt;td class="td_info"&gt;Older people (% people over 75 years)&lt;/td&gt;&lt;td class="td_info"&gt;Population estimation ONS 2020&lt;/td&gt;&lt;td class="td_info"&gt;Population estimation ONS Table SAPE22DT2: Mid-2019 Population Estimates for Lower Layer Super Output Areas in England and Wales by Single Year of Age and Sex, Persons &lt;/td&gt;&lt;td class="td_info"&gt;0.500&lt;/td&gt;&lt;/tr&gt;&lt;tr&gt;&lt;td class="td_info bold" rowspan="6"&gt;Health&lt;/td&gt;&lt;td class="td_info"&gt;Emergency hospital admissions&lt;/td&gt;&lt;td class="td_info"&gt;IMD 2019&lt;/td&gt;&lt;td class="td_info"&gt;IMD 2019 Health Deprivation and Disability Domain: Acute Morbidity- Health and Social Care Information Centre&lt;/td&gt;&lt;td class="td_info"&gt;0.143&lt;/td&gt;&lt;/tr&gt;&lt;tr&gt;&lt;td class="td_info"&gt;Comparative illness and disability ratio&lt;/td&gt;&lt;td class="td_info"&gt;IMD 2019&lt;/td&gt;&lt;td class="td_info"&gt;IMD 2019 Health Deprivation and Disability Domain: Comparative Illness and Disability Ratio - Department for Work and Pensions&lt;/td&gt;&lt;td class="td_info"&gt;0.143&lt;/td&gt;&lt;/tr&gt;&lt;tr&gt;&lt;td class="td_info"&gt;Mood and Anxiety Disorder Indicator&lt;/td&gt;&lt;td class="td_info"&gt;IMD 2019&lt;/td&gt;&lt;td class="td_info"&gt;IMD 2019 Health Deprivation and Disability Domain: Mood and Anxiety Disorders Indicator - Office for National Statistics&lt;/td&gt;&lt;td class="td_info"&gt;0.143&lt;/td&gt;&lt;/tr&gt;&lt;tr&gt;&lt;td class="td_info"&gt;Medical and Care Residents (Score)&lt;/td&gt;&lt;td class="td_info"&gt;IMD 2019&lt;/td&gt;&lt;td class="td_info"&gt;Census 2011 (no direct update available)&lt;/td&gt;&lt;td class="td_info"&gt;0.143&lt;/td&gt;&lt;/tr&gt;&lt;tr&gt;&lt;td class="td_info"&gt;Years of Potential Life Lost (Score)&lt;/td&gt;&lt;td class="td_info"&gt;IMD 2019&lt;/td&gt;&lt;td class="td_info"&gt;IMD 2019 Health Deprivation and Disability Domain: Years of Potential Life Lost - Office for National Statistics&lt;/td&gt;&lt;td class="td_info"&gt;0.143&lt;/td&gt;&lt;/tr&gt;&lt;tr&gt;&lt;td class="td_info"&gt;Homelessness rate (rate per 1000 households)&lt;/td&gt;&lt;td class="td_info"&gt;IMD 2019&lt;/td&gt;&lt;td class="td_info"&gt;IMD 2019 Barriers Domain: Homelessness rate (rate per 1000 households)&lt;/td&gt;&lt;td class="td_info"&gt;0.143&lt;/td&gt;&lt;/tr&gt;&lt;/tbody&gt;&lt;/table&gt;&lt;br&gt;&lt;p&gt;&lt;b&gt;Disclaimers:&lt;/b&gt;The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</si>
  <si>
    <t>&lt;div class="body-1"&gt;&lt;div class="panel-body"&gt;&lt;p&gt;&lt;b&gt;(In)ability to Prepare&lt;/b&gt; -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floods:&lt;/p&gt;&lt;li&gt;Income&lt;/li&gt;&lt;li&gt;Tenure&lt;/li&gt;&lt;li&gt;Language&lt;/li&gt;&lt;li&gt;Internet&lt;/li&gt;&lt;li&gt;Local knowledge&lt;/li&gt;&lt;br&gt;&lt;p&gt;The calculated Inability to Prepare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Prepare Index domains, indicators, data sources, processing details and the respective weightings of each indicator to derive the domains and criteria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2019&lt;/td&gt;&lt;td class="td_info"&gt;IMD 2019 Employment Deprivation Domain - number of employment deprived people in an area (converted to % of working population) Department for Work and Pensions&lt;/td&gt;&lt;td class="td_info"&gt;0.333&lt;/td&gt;&lt;/tr&gt;&lt;tr&gt;&lt;td class="td_info"&gt;Income deprived people in an area (% of zone population)&lt;/td&gt;&lt;td class="td_info"&gt;IMD 2019&lt;/td&gt;&lt;td class="td_info"&gt;IMD 2019 Income Deprivation Domain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class="td_info"&gt;IMD 2019&lt;/td&gt;&lt;td class="td_info"&gt;IMD 2019 Income Deprivation Affecting Older People - number of income deprived older people in an area (converted to % of people 60 or over) Department for Work and Pensions&lt;/td&gt;&lt;td class="td_info"&gt;0.333&lt;/td&gt;&lt;/tr&gt;&lt;tr&gt;&lt;td class="td_info bold" rowspan="2"&gt;Tenure&lt;/td&gt;&lt;td class="td_info"&gt;Social renters (% Households renting from Social or Council landlords)&lt;/td&gt;&lt;td class="td_info"&gt;Census 2011&lt;/td&gt;&lt;td class="td_info"&gt;Census 2011 (no direct update available) &lt;/td&gt;&lt;td class="td_info"&gt;0.500&lt;/td&gt;&lt;/tr&gt;&lt;tr&gt;&lt;td class="td_info"&gt;Private renters (% Households)&lt;/td&gt;&lt;td class="td_info"&gt;Census 2011&lt;/td&gt;&lt;td class="td_info"&gt;Census 2011 (no direct update available) &lt;/td&gt;&lt;td class="td_info"&gt;0.500&lt;/td&gt;&lt;/tr&gt;&lt;tr&gt;&lt;td class="td_info bold"&gt;Language&lt;/td&gt;&lt;td class="td_info"&gt;Level of proficiency in English (% population)&lt;/td&gt;&lt;td class="td_info"&gt;Census 2011&lt;/td&gt;&lt;td class="td_info"&gt;Census 2011 (no direct update available) Census table QS205EW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 rowspan="3"&gt;Local knowledge&lt;/td&gt;&lt;td class="td_info"&gt;Population Transience (Residential Mobility Index)&lt;/td&gt;&lt;td class="td_info"&gt;CDRC 2021&lt;/td&gt;&lt;td class="td_info"&gt;CDRC Residential Mobility Index (average 2012-2020)&lt;/td&gt;&lt;td class="td_info"&gt;0.333&lt;/td&gt;&lt;/tr&gt;&lt;tr&gt;&lt;td class="td_info"&gt;Reversed percentage of properties within historical flood boundaries (-%)&lt;/td&gt;&lt;td class="td_info"&gt;Sayers et al (2017)&lt;/td&gt;&lt;td class="td_info"&gt;E1 from Sayers et al's estimates of properties in historical flood zones - reversed to represent local knowledge from previous events. More properties previously affected represents more abilty to prepare therefore lower vulnerability. See http://www.sayersandpartners.co.uk/flood-disadvantage.html&lt;/td&gt;&lt;td class="td_info"&gt;0.333&lt;/td&gt;&lt;/tr&gt;&lt;tr&gt;&lt;td class="td_info"&gt;Flood alert and warning areas (% area not covered)&lt;/td&gt;&lt;td class="td_info"&gt;Environment Agency 2020&lt;/td&gt;&lt;td class="td_info"&gt;Flood Alert &amp;amp;amp;amp;amp; Warning Areas Published by: Environment Agency Last updated: 26 and 19th August 2021 respectively. Higher proportions of cover represents more ability to prepare, therefore lower vulnerability. Indicator data processed to show proportion of area not covered, therefore higher vulnerability. &lt;/td&gt;&lt;td class="td_info"&gt;0.333&lt;/td&gt;&lt;/tr&gt;&lt;/tbody&gt;&lt;/table&gt;&lt;br&gt;&lt;p&gt;&lt;b&gt;Note:&lt;/b&gt;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</si>
  <si>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class="panel-body"&gt;&lt;p&gt;&lt;b&gt;(In)ability to Respond&lt;/b&gt; - A person’s or community’s ability to respond to climate and extreme weather events is governed primarily by social factors. With respect to flood this includes factors such as social networks and mobility. The map shows the result of an equally-weighted combination of neighbourhood-level scores for indicators within the domains associated with respect to floods:&lt;/p&gt;&lt;li&gt;Income&lt;/li&gt;&lt;li&gt;Language&lt;/li&gt;&lt;li&gt;Internet&lt;/li&gt;&lt;li&gt;Social networks&lt;/li&gt;&lt;li&gt;Mobility&lt;/li&gt;&lt;li&gt;Crime&lt;/li&gt;&lt;br&gt;&lt;p&gt;The calculated Inability to Respond Index Z-Score is plotted using the folowing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Respond Index domains, indicators, data sources, processing details and the respective weightings of each indicator to derive the domains and criteria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2019&lt;/td&gt;&lt;td class="td_info"&gt;IMD 2019 Employment Deprivation Domain - number of employment deprived people in an area (converted to % of working population) Department for Work and Pensions&lt;/td&gt;&lt;td class="td_info"&gt;0.333&lt;/td&gt;&lt;/tr&gt;&lt;tr&gt;&lt;td class="td_info"&gt;Income deprived people in an area (% of zone population)&lt;/td&gt;&lt;td class="td_info"&gt;IMD 2019&lt;/td&gt;&lt;td class="td_info"&gt;IMD 2019 Income Deprivation Domain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class="td_info"&gt;IMD 2019&lt;/td&gt;&lt;td class="td_info"&gt;IMD 2019 Income Deprivation Affecting Older People - number of income deprived older people in an area (to be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Census table QS205SC&lt;/td&gt;&lt;td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 rowspan="3"&gt;Local knowledge&lt;/td&gt;&lt;td class="td_info"&gt;Population Transience (Residential Mobility Index)&lt;/td&gt;&lt;td class="td_info"&gt;CDRC 2021&lt;/td&gt;&lt;td class="td_info"&gt;CDRC Residential Mobility Index (average 2012-2020)&lt;/td&gt;&lt;td class="td_info"&gt;0.333&lt;/td&gt;&lt;/tr&gt;&lt;tr&gt;&lt;td class="td_info"&gt;Reversed percentage of properties within historical flood boundaries (-%)&lt;/td&gt;&lt;td class="td_info"&gt;Sayers et al (2017)&lt;/td&gt;&lt;td class="td_info"&gt;E1 from Sayers et al's estimates of properties in historical flood zones - reversed to represent local knowledge from previous events. More properties previously affected represents more abilty to prepare therefore lower vulnerability. See http://www.sayersandpartners.co.uk/flood-disadvantage.html&lt;/td&gt;&lt;td class="td_info"&gt;0.333&lt;/td&gt;&lt;/tr&gt;&lt;tr&gt;&lt;td class="td_info"&gt;Flood alert and warning areas (% area not covered)&lt;/td&gt;&lt;td class="td_info"&gt;Environment Agency 2020&lt;/td&gt;&lt;td class="td_info"&gt;Flood Alert and Warning Areas Published by: Environment Agency Last updated: 26 and 19th August 2021 respectively. Higher proportions of cover represents more ability to prepare, therefore lower vulnerability. Indicator data processed to show proportion of area not covered, therefore higher vulnerability. &lt;/td&gt;&lt;td class="td_info"&gt;0.333&lt;/td&gt;&lt;/tr&gt;&lt;tr&gt;&lt;td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&lt;/td&gt;&lt;td class="td_info"&gt;0.500&lt;/td&gt;&lt;/tr&gt;&lt;tr&gt;&lt;td class="td_info bold" rowspan="5"&gt;Mobility &lt;/td&gt;&lt;td class="td_info"&gt;Comparative illness and disability ratio&lt;/td&gt;&lt;td class="td_info"&gt;IMD 2019&lt;/td&gt;&lt;td class="td_info"&gt;IMD 2019 Health Deprivation and Disability Domain: Comparative Illness and Disability Ratio - Department for Work and Pensions&lt;/td&gt;&lt;td class="td_info"&gt;0.200&lt;/td&gt;&lt;/tr&gt;&lt;tr&gt;&lt;td class="td_info"&gt;Medical and Care Residents (Score)&lt;/td&gt;&lt;td class="td_info"&gt;Census 2011&lt;/td&gt;&lt;td class="td_info"&gt;Census 2011 (no direct update available)&lt;/td&gt;&lt;td class="td_info"&gt;0.200&lt;/td&gt;&lt;/tr&gt;&lt;tr&gt;&lt;td class="td_info"&gt;Lack of private transport (% households with no car or van)&lt;/td&gt;&lt;td class="td_info"&gt;Census 2011&lt;/td&gt;&lt;td class="td_info"&gt;Census 2011 (no direct update available) % households with no car/van&lt;/td&gt;&lt;td class="td_info"&gt;0.200&lt;/td&gt;&lt;/tr&gt;&lt;tr&gt;&lt;td class="td_info"&gt;Workplace accessibility by walking or public transport (travel time, destination and origin indicators)&lt;/td&gt;&lt;td class="td_info"&gt;Journey Time Statistics, 2017&lt;/td&gt;&lt;td class="td_info"&gt;JTS0501: Travel time, destination and origin indicators for Employment centres by mode of travel, Lower Super Output Area (LSOA) Higher travel times equates to higher vulnerability&lt;/td&gt;&lt;td class="td_info"&gt;0.200&lt;/td&gt;&lt;/tr&gt;&lt;tr&gt;&lt;td class="td_info"&gt;Workplace accessibility by car (travel time, destination and origin indicators)&lt;/td&gt;&lt;td class="td_info"&gt;Journey Time Statistics, 2017&lt;/td&gt;&lt;td class="td_info"&gt;JTS0501: Travel time, destination and origin indicators for Employment centres by mode of travel, Lower Super Output Area (LSOA) Higher travel times equates to higher vulnerability&lt;/td&gt;&lt;td class="td_info"&gt;0.200&lt;/td&gt;&lt;/tr&gt;&lt;tr&gt;&lt;td class="td_info bold"&gt;Crime&lt;/td&gt;&lt;td class="td_info"&gt;Index of Multiple Deprivation crime score&lt;/td&gt;&lt;td class="td_info"&gt;IMD 2019&lt;/td&gt;&lt;td class="td_info"&gt;English indices of deprivation 2019&lt;/td&gt;&lt;td class="td_info"&gt;1.000&lt;/td&gt;&lt;/tr&gt;&lt;/tbody&gt;&lt;/table&gt;&lt;br&gt;&lt;p&gt;&lt;b&gt;Note:&lt;/b&gt; The availability of superfast broadband indicator does not take account of the availability of ultrafast broadband. It is recommended that users refer to the latest data from Ofcom.&lt;/p&gt;&lt;p&gt;&lt;b&gt;Disclaimers:&lt;/b&gt; 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</si>
  <si>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class="panel-body"&gt;&lt;p&gt;&lt;b&gt;(In)ability to Recover&lt;/b&gt; - A person’s or community’s ability to recover from climate and extreme weather events is governed primarily by social factors. With respect to flood this includes factors such as social networks, mobility and the availability of services. The map shows the result of an equally-weighted combination of neighbourhood-level scores for indicators within the domains associated with respect to floods:&lt;/p&gt;&lt;li&gt;Income&lt;/li&gt;&lt;li&gt;Language&lt;/li&gt;&lt;li&gt;Internet&lt;/li&gt;&lt;li&gt;Social networks&lt;/li&gt;&lt;li&gt;Mobility&lt;/li&gt;&lt;li&gt;Pharmacy access&lt;/li&gt;&lt;li&gt;House prices&lt;/li&gt;&lt;br&gt;&lt;p&gt;The calculated Inability to Recover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Recover Index domains, indicators, data sources, processing details and the respective weightings of each indicator to derive the domains and criteria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2019&lt;/td&gt;&lt;td class="td_info"&gt;IMD 2019 Employment Deprivation Domain - number of employment deprived people in an area (converted to % of working population) Department for Work and Pensions&lt;/td&gt;&lt;td class="td_info"&gt;0.333&lt;/td&gt;&lt;/tr&gt;&lt;tr&gt;&lt;td class="td_info"&gt;Income deprived people in an area (% of zone population)&lt;/td&gt;&lt;td class="td_info"&gt;IMD 2019&lt;/td&gt;&lt;td class="td_info"&gt;IMD 2019 Income Deprivation Domain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class="td_info"&gt;IMD 2019&lt;/td&gt;&lt;td class="td_info"&gt;IMD 2019 Income Deprivation Affecting Older People -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Census table QS205SC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&lt;/td&gt;&lt;td class="td_info"&gt;0.500&lt;/td&gt;&lt;/tr&gt;&lt;tr&gt;&lt;td class="td_info bold" rowspan="5"&gt;Mobility &lt;/td&gt;&lt;td class="td_info"&gt;Comparative illness and disability ratio&lt;/td&gt;&lt;td class="td_info"&gt;IMD 2019&lt;/td&gt;&lt;td class="td_info"&gt;IMD 2019 Health Deprivation and Disability Domain: Comparative Illness and Disability Ratio - Department for Work and Pensions&lt;/td&gt;&lt;td class="td_info"&gt;0.200&lt;/td&gt;&lt;/tr&gt;&lt;tr&gt;&lt;td class="td_info"&gt;Medical and Care Residents (Score)&lt;/td&gt;&lt;td class="td_info"&gt;Census 2011&lt;/td&gt;&lt;td class="td_info"&gt;Census 2011 (no direct update available) Taken from Sayers et al (2017).&lt;/td&gt;&lt;td class="td_info"&gt;0.200&lt;/td&gt;&lt;/tr&gt;&lt;tr&gt;&lt;td class="td_info"&gt;Lack of private transport (% households with no car or van)&lt;/td&gt;&lt;td class="td_info"&gt;Census 2011&lt;/td&gt;&lt;td class="td_info"&gt;Census 2011 (no direct update available) % households with no car/van. &lt;/td&gt;&lt;td class="td_info"&gt;0.200&lt;/td&gt;&lt;/tr&gt;&lt;tr&gt;&lt;td class="td_info"&gt;Workplace accessibility by walking or public transport (travel time, destination and origin indicators)&lt;/td&gt;&lt;td class="td_info"&gt;Journey Time Statistics, 2017&lt;/td&gt;&lt;td class="td_info"&gt;JTS0501: Travel time, destination and origin indicators for Employment centres by mode of travel, Lower Super Output Area (LSOA). Higher travel times equates to higher vulnerability&lt;/td&gt;&lt;td class="td_info"&gt;0.200&lt;/td&gt;&lt;/tr&gt;&lt;tr&gt;&lt;td class="td_info"&gt;Workplace accessibility by car (travel time, destination and origin indicators)&lt;/td&gt;&lt;td class="td_info"&gt;Journey Time Statistics, 2017&lt;/td&gt;&lt;td class="td_info"&gt;JTS0501: Travel time, destination and origin indicators for Employment centres by mode of travel, Lower Super Output Area (LSOA). Higher travel times equates to higher vulnerability&lt;/td&gt;&lt;td class="td_info"&gt;0.200&lt;/td&gt;&lt;/tr&gt;&lt;tr&gt;&lt;td class="td_info bold"&gt;Pharmacy Access&lt;/td&gt;&lt;td class="td_info"&gt;Mean distance to a pharmacy (km)&lt;/td&gt;&lt;td class="td_info"&gt;CDRC Data 2021&lt;/td&gt;&lt;td class="td_info"&gt;AHAH2 (pharm_dist) Mean distance (km) to a pharmacy. Higher distances equates to higher vulnerability. &lt;/td&gt;&lt;td class="td_info"&gt;1.000&lt;/td&gt;&lt;/tr&gt;&lt;tr&gt;&lt;td class="td_info bold"&gt;House Prices&lt;/td&gt;&lt;td class="td_info"&gt;Median price paid for residential properties (£)&lt;/td&gt;&lt;td class="td_info"&gt;HPSSA Dataset&lt;/td&gt;&lt;td class="td_info"&gt;HPSSA Dataset 46: Median price paid for residential properties by LSOA Median price paid for residential properties by LSOA, England and Wales, year ending Dec 1995 to year ending Dec 2020. Reversed to indicate higher prices associated with greater ability to recover&lt;/td&gt;&lt;td class="td_info"&gt;1.000&lt;/td&gt;&lt;/tr&gt;&lt;/tbody&gt;&lt;/table&gt;&lt;br&gt;&lt;p&gt;&lt;b&gt;Note:&lt;/b&gt; The availability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</si>
  <si>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class="panel-body"&gt;&lt;p&gt;&lt;b&gt;Enhanced Exposure&lt;/b&gt; - Enhanced exposure refers to aspects of the physical environment, such as the availability of green space or housing characteristics, which tend to accentuate or offset the severity of flood events. The map shows the result of an equally-weighted combination of neighbourhood-level scores for indicators within the domains associated with enhanced exposure with respect to floods:&lt;/p&gt;&lt;li&gt;Physical environment&lt;/li&gt;&lt;li&gt;Housing characteristics&lt;/li&gt;&lt;br&gt;&lt;p&gt;The calculated Enhanced Exposure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slight-flood"&gt;&lt;/td&gt;&lt;/tr&gt;&lt;/tbody&gt;&lt;/table&gt;&lt;/p&gt;&lt;br&gt;&lt;p&gt;Enhanced Exposure Index domains, indicators, data sources, processing details and the respective weightings of each indicator to derive the domains and criteria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rowspan="3"&gt;Physical Environment&lt;/td&gt;&lt;td class="td_info"&gt;Built up area (% not greenspace)&lt;/td&gt;&lt;td class="td_info"&gt;UKCEH 2021&lt;/td&gt;&lt;td class="td_info"&gt;Indicator calculated by subtracting the area of greenspace from 100%. Recalculated from 2011 LSOA spatial units (2011 data) by area-weighted averages for 2011 LSOAs. high value = high enhanced exposure.&lt;/td&gt;&lt;td class="td_info"&gt;0.330&lt;/td&gt;&lt;/tr&gt;&lt;tr&gt;&lt;td class="td_info"&gt;Lack of domestic gardens (% dwellings without gardens)&lt;/td&gt;&lt;td class="td_info"&gt;ONS Greenspace&lt;/td&gt;&lt;td class="td_info"&gt;ONS Greenspace - % dwellings without gardens&lt;/td&gt;&lt;td class="td_info"&gt;0.330&lt;/td&gt;&lt;/tr&gt;&lt;tr&gt;&lt;td class="td_info"&gt;Median combined size of parks and public gardens and playing fields within 1,000 m radius (m2)&lt;/td&gt;&lt;td class="td_info"&gt;ONS Greenspace&lt;/td&gt;&lt;td class="td_info"&gt;ONS Greenspace - Median combined size of parks and public gardens and playing fields within 1,000 m radius (m2). Reversed as more greenspace results in higher infiltration. &lt;/td&gt;&lt;td class="td_info"&gt;0.330&lt;/td&gt;&lt;/tr&gt;&lt;tr&gt;&lt;td class="td_info bold" rowspan="2"&gt;Housing Characteristics&lt;/td&gt;&lt;td class="td_info"&gt;Caravan or other mobile or temporary structures (% of all households)&lt;/td&gt;&lt;td class="td_info"&gt;Census 2011&lt;/td&gt;&lt;td class="td_info"&gt;Census 2011 (no direct update available) Taken from Sayers et al., (2017)&lt;/td&gt;&lt;td class="td_info"&gt;0.500&lt;/td&gt;&lt;/tr&gt;&lt;tr&gt;&lt;td class="td_info"&gt;Homelessness rate (rate per 1000 households)&lt;/td&gt;&lt;td class="td_info"&gt;IMD 2019&lt;/td&gt;&lt;td class="td_info"&gt;Homelessness indicator (rate per 1000 households) &lt;/td&gt;&lt;td class="td_info"&gt;0.500&lt;/td&gt;&lt;/tr&gt;&lt;/tbody&gt;&lt;/table&gt;&lt;br&gt;&lt;p&gt;&lt;b&gt;Disclaimers:&lt;/b&gt;The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</si>
  <si>
    <t>Socio-Spatial Flood Vulnerability Index (Wales)</t>
  </si>
  <si>
    <t>&lt;div class="body-1"&gt;&lt;div class="panel-body"&gt;&lt;p&gt;&lt;b&gt;Socio-Spatial Flood Vulnerability Index&lt;/b&gt;(SSFVI) refers to mapped social vulnerability with respect to flood-related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SSFVI map shows the result of an equally-weighted combination of neighbourhood-level Z-scores for indicators within each of the five dimensions of socio-spatial vulnerability for each neighbourhood:&lt;/p&gt;&lt;ul&gt;&lt;li style="margin:.7rem 0"&gt;&lt;p&gt;&lt;b&gt;Sensitivity&lt;/b&gt;-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Sensitivity:&lt;/p&gt;&lt;ul&gt;&lt;li&gt;Age&lt;/li&gt;&lt;li&gt;Health&lt;/li&gt;&lt;/ul&gt;&lt;/li&gt;&lt;li style="margin:.7rem 0"&gt;&lt;p&gt;&lt;b&gt;(In)ability to Prepare&lt;/b&gt;-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floods:&lt;/p&gt;&lt;ul&gt;&lt;li&gt;Income&lt;/li&gt;&lt;li&gt;Tenure&lt;/li&gt;&lt;li&gt;Language&lt;/li&gt;&lt;li&gt;Internet&lt;/li&gt;&lt;li&gt;Local knowledge&lt;/li&gt;&lt;/ul&gt;&lt;/li&gt;&lt;li style="margin:.7rem 0"&gt;&lt;p&gt;&lt;b&gt;(In)ability to Respond&lt;/b&gt;- A person's or community's ability to respond to climate and extreme weather events is governed primarily by social factors. With respect to flood this includes factors such as social networks and mobility. The map shows the result of an equally-weighted combination of neighbourhood-level scores for indicators within the domains associated with respect to floods:&lt;/p&gt;&lt;ul&gt;&lt;li&gt;Income&lt;/li&gt;&lt;li&gt;Language&lt;/li&gt;&lt;li&gt;Internet&lt;/li&gt;&lt;li&gt;Local Knowledge&lt;/li&gt;&lt;li&gt;Social networks&lt;/li&gt;&lt;li&gt;Mobility&lt;/li&gt;&lt;li&gt;Crime&lt;/li&gt;&lt;/ul&gt;&lt;/li&gt;&lt;li style="margin:.7rem 0"&gt;&lt;p&gt;&lt;b&gt;(In)ability to Recover&lt;/b&gt;-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floods:&lt;/p&gt;&lt;ul&gt;&lt;li&gt;Income&lt;/li&gt;&lt;li&gt;Language&lt;/li&gt;&lt;li&gt;Internet&lt;/li&gt;&lt;li&gt;Social networks&lt;/li&gt;&lt;li&gt;Mobility&lt;/li&gt;&lt;li&gt;Pharmacy access&lt;/li&gt;&lt;li&gt;House prices&lt;/li&gt;&lt;/ul&gt;&lt;/li&gt;&lt;li style="margin:.7rem 0"&gt;&lt;p&gt;&lt;b&gt;Enhanced Exposure&lt;/b&gt;- Enhanced exposure refers to aspects of the physical environment, such as the availability of green space or housing characteristics, which tend to accentuate or offset the severity of flood events. The map shows the result of an equally-weighted combination of neighbourhood-level scores for indicators within the domains associated with enhanced exposure with respect to floods:&lt;/p&gt;&lt;ul&gt;&lt;li&gt;Physical environment&lt;/li&gt;&lt;li&gt;Housing characteristics&lt;/li&gt;&lt;/ul&gt;&lt;/li&gt;&lt;/ul&gt;&lt;br&gt;&lt;p&gt;The calculated SSFVI Z-Score is plotted using the following classification scheme:&lt;/p&gt;&lt;p&gt;&lt;table class="table_info"&gt;&lt;thead&gt;&lt;tr&gt;&lt;th class="th_info"&gt;Flood Vulnerability Index 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slight-flood"&gt;&lt;/td&gt;&lt;/tr&gt;&lt;/tbody&gt;&lt;/table&gt;&lt;/p&gt;&lt;br&gt;&lt;p&gt;Socio-Spatial Flood Vulnerability criteria, domains, indicators and the respective weightings of each indicator to derive the domains and criteria are summarised in the table below:&lt;/p&gt;&lt;table class="table_info"&gt;&lt;thead&gt;&lt;tr&gt;&lt;th class="th_info"&gt;Vulnerability Criteria&lt;/th&gt;&lt;th class="th_info"&gt;Domain&lt;/th&gt;&lt;th class="th_info"&gt;Indicator Name&lt;/th&gt;&lt;th class="th_info"&gt;Indicator Weight&lt;/th&gt;&lt;th class="th_info"&gt;Domain Weight&lt;/th&gt;&lt;/tr&gt;&lt;/thead&gt;&lt;tbody&gt;&lt;tr&gt;&lt;td class="td_info bold" rowspan="6"&gt;SENSITIVITY&lt;/td&gt;&lt;td class="td_info bold" rowspan="2"&gt;Age&lt;/td&gt;&lt;td class="td_info"&gt;Young children (% people under 5 years)&lt;/td&gt;&lt;td class="td_info"&gt;0.500&lt;/td&gt;&lt;td class="td_info bold" rowspan="2"&gt;0.500&lt;/td&gt;&lt;/tr&gt;&lt;tr&gt;&lt;td class="td_info"&gt;Older people (% people over 75 years)&lt;/td&gt;&lt;td class="td_info"&gt;0.500&lt;/td&gt;&lt;/tr&gt;&lt;tr&gt;&lt;td class="td_info bold" rowspan="4"&gt;Health&lt;/td&gt;&lt;td class="td_info"&gt;Premature death (rate per 100,000)&lt;/td&gt;&lt;td class="td_info"&gt;0.250&lt;/td&gt;&lt;td class="td_info bold" rowspan="4"&gt;0.500&lt;/td&gt;&lt;/tr&gt;&lt;tr&gt;&lt;td class="td_info"&gt;GP-recorded chronic condition (rate per 100)&lt;/td&gt;&lt;td class="td_info"&gt;0.250&lt;/td&gt;&lt;/tr&gt;&lt;tr&gt;&lt;td class="td_info"&gt;GP-recorded mental health condition (rate per 100)&lt;/td&gt;&lt;td class="td_info"&gt;0.250&lt;/td&gt;&lt;/tr&gt;&lt;tr&gt;&lt;td class="td_info"&gt;Medical and Care Residents (Score)&lt;/td&gt;&lt;td class="td_info"&gt;0.250&lt;/td&gt;&lt;/tr&gt;&lt;tr&gt;&lt;td class="td_info bold" rowspan="11"&gt;INABILITY TO PREPARE&lt;br&gt;&lt;/td&gt;&lt;td class="td_info bold" rowspan="3"&gt;Income&lt;/td&gt;&lt;td class="td_info"&gt;Employment deprived people in an area (% of working population)&lt;/td&gt;&lt;td class="td_info"&gt;0.333&lt;/td&gt;&lt;td class="td_info bold" rowspan="3"&gt;0.200&lt;/td&gt;&lt;/tr&gt;&lt;tr&gt;&lt;td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 rowspan="2"&gt;Tenure&lt;/td&gt;&lt;td class="td_info"&gt;Social renters (% Households renting from Social or Council landlords)&lt;/td&gt;&lt;td class="td_info"&gt;0.500&lt;/td&gt;&lt;td class="td_info bold" rowspan="2"&gt;0.200&lt;/td&gt;&lt;/tr&gt;&lt;tr&gt;&lt;td class="td_info"&gt;Private renters (% Households)&lt;/td&gt;&lt;td class="td_info"&gt;0.500&lt;/td&gt;&lt;/tr&gt;&lt;tr&gt;&lt;td class="td_info bold"&gt;Language&lt;/td&gt;&lt;td class="td_info"&gt;Level of proficiency in English (% population)&lt;/td&gt;&lt;td class="td_info"&gt;1.000&lt;/td&gt;&lt;td class="td_info bold"&gt;0.200&lt;/td&gt;&lt;/tr&gt;&lt;tr&gt;&lt;td class="td_info bold" rowspan="2"&gt;Internet&lt;/td&gt;&lt;td class="td_info"&gt;Sub-standard Broadband (% premises below the Universal Service Obligation)&lt;/td&gt;&lt;td class="td_info"&gt;0.500&lt;/td&gt;&lt;td class="td_info bold" rowspan="2"&gt;0.200&lt;/td&gt;&lt;/tr&gt;&lt;tr&gt;&lt;td class="td_info"&gt;Lack of superfast broadband (% Premises)&lt;/td&gt;&lt;td class="td_info"&gt;0.500&lt;/td&gt;&lt;/tr&gt;&lt;tr&gt;&lt;td class="td_info bold" rowspan="3"&gt;Local knowledge&lt;/td&gt;&lt;td class="td_info"&gt;Population Transience (Residential Mobility Index)&lt;/td&gt;&lt;td class="td_info"&gt;0.333&lt;/td&gt;&lt;td class="td_info bold" rowspan="3"&gt;0.200&lt;/td&gt;&lt;/tr&gt;&lt;tr&gt;&lt;td class="td_info"&gt;Past experience due to exposure of properties to historical flooding (Score)&lt;/td&gt;&lt;td class="td_info"&gt;0.333&lt;/td&gt;&lt;/tr&gt;&lt;tr&gt;&lt;td class="td_info"&gt;Flood alert and warning areas (% area not covered)&lt;/td&gt;&lt;td class="td_info"&gt;0.333&lt;/td&gt;&lt;/tr&gt;&lt;tr&gt;&lt;td class="td_info bold" rowspan="15"&gt;INABILITY TO RESPOND&lt;/td&gt;&lt;td class="td_info bold" rowspan="3"&gt;Income&lt;/td&gt;&lt;td class="td_info"&gt;Employment deprived people in an area (% of working population)&lt;/td&gt;&lt;td class="td_info"&gt;0.333&lt;/td&gt;&lt;td class="td_info bold" rowspan="3"&gt;0.143&lt;/td&gt;&lt;/tr&gt;&lt;tr&gt;&lt;td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bold"&gt;0.143&lt;/td&gt;&lt;/tr&gt;&lt;tr&gt;&lt;td class="td_info bold" rowspan="2"&gt;Internet&lt;/td&gt;&lt;td class="td_info"&gt;Sub-standard Broadband (% premises below the Universal Service Obligation)&lt;/td&gt;&lt;td class="td_info"&gt;0.500&lt;/td&gt;&lt;td class="td_info bold" rowspan="2"&gt;0.143&lt;/td&gt;&lt;/tr&gt;&lt;tr&gt;&lt;td class="td_info"&gt;Lack of superfast broadband (% Premises)&lt;/td&gt;&lt;td class="td_info"&gt;0.500&lt;/td&gt;&lt;/tr&gt;&lt;tr&gt;&lt;td class="td_info bold" rowspan="3"&gt;Local knowledge&lt;/td&gt;&lt;td class="td_info"&gt;Population Transience (Residential Mobility Index)&lt;/td&gt;&lt;td class="td_info"&gt;0.333&lt;/td&gt;&lt;td class="td_info bold" rowspan="3"&gt;0.143&lt;/td&gt;&lt;/tr&gt;&lt;tr&gt;&lt;td class="td_info"&gt;Past experience due to exposure of properties to historical flooding (Score)&lt;/td&gt;&lt;td class="td_info"&gt;0.333&lt;/td&gt;&lt;/tr&gt;&lt;tr&gt;&lt;td class="td_info"&gt;Flood alert and warning areas (% area not covered)&lt;/td&gt;&lt;td class="td_info"&gt;0.333&lt;/td&gt;&lt;/tr&gt;&lt;tr&gt;&lt;td class="td_info bold" rowspan="2"&gt;Social networks&lt;/td&gt;&lt;td class="td_info"&gt;Single pensioner households (%)&lt;/td&gt;&lt;td class="td_info"&gt;0.500&lt;/td&gt;&lt;td class="td_info bold" rowspan="2"&gt;0.143&lt;/td&gt;&lt;/tr&gt;&lt;tr&gt;&lt;td class="td_info"&gt;Lack of school-related networks (% children not of primary school age)&lt;/td&gt;&lt;td class="td_info"&gt;0.500&lt;/td&gt;&lt;/tr&gt;&lt;tr&gt;&lt;td class="td_info bold" rowspan="3"&gt;Mobility&lt;/td&gt;&lt;td class="td_info"&gt;GP-recorded chronic condition (rate per 100)&lt;/td&gt;&lt;td class="td_info"&gt;0.333&lt;/td&gt;&lt;td class="td_info bold" rowspan="3"&gt;0.143&lt;/td&gt;&lt;/tr&gt;&lt;tr&gt;&lt;td class="td_info"&gt;Medical and Care Residents (Score)&lt;/td&gt;&lt;td class="td_info"&gt;0.333&lt;/td&gt;&lt;/tr&gt;&lt;tr&gt;&lt;td class="td_info"&gt;Lack of private transport (% households with no car or van)&lt;/td&gt;&lt;td class="td_info"&gt;0.333&lt;/td&gt;&lt;/tr&gt;&lt;tr&gt;&lt;td class="td_info bold"&gt;Crime&lt;/td&gt;&lt;td class="td_info"&gt;Index of Multiple Deprivation crime&lt;/td&gt;&lt;td class="td_info"&gt;1.000&lt;/td&gt;&lt;td class="td_info bold"&gt;0.143&lt;/td&gt;&lt;/tr&gt;&lt;tr&gt;&lt;td class="td_info bold" rowspan="14"&gt;INABILITY TO RECOVER&lt;/td&gt;&lt;td class="td_info bold" rowspan="3"&gt;Income&lt;/td&gt;&lt;td class="td_info"&gt;Employment deprived people in an area (% of working population)&lt;/td&gt;&lt;td class="td_info"&gt;0.333&lt;/td&gt;&lt;td class="td_info bold" rowspan="3"&gt;0.143&lt;/td&gt;&lt;/tr&gt;&lt;tr&gt;&lt;td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bold"&gt;0.143&lt;/td&gt;&lt;/tr&gt;&lt;tr&gt;&lt;td class="td_info bold" rowspan="2"&gt;Internet&lt;/td&gt;&lt;td class="td_info"&gt;Sub-standard Broadband (% premises below the Universal Service Obligation)&lt;/td&gt;&lt;td class="td_info"&gt;0.500&lt;/td&gt;&lt;td class="td_info bold" rowspan="2"&gt;0.143&lt;/td&gt;&lt;/tr&gt;&lt;tr&gt;&lt;td class="td_info"&gt;Lack of superfast broadband (% Premises)&lt;/td&gt;&lt;td class="td_info"&gt;0.500&lt;/td&gt;&lt;/tr&gt;&lt;tr&gt;&lt;td class="td_info bold" rowspan="2"&gt;Social networks&lt;/td&gt;&lt;td class="td_info"&gt;Single pensioner households (%)&lt;/td&gt;&lt;td class="td_info"&gt;0.500&lt;/td&gt;&lt;td class="td_info bold" rowspan="2"&gt;0.143&lt;/td&gt;&lt;/tr&gt;&lt;tr&gt;&lt;td class="td_info"&gt;Lack of school-related networks (% children not of primary school age)&lt;/td&gt;&lt;td class="td_info"&gt;0.500&lt;/td&gt;&lt;/tr&gt;&lt;tr&gt;&lt;td class="td_info bold" rowspan="3"&gt;Mobility&lt;/td&gt;&lt;td class="td_info"&gt;GP-recorded chronic condition (rate per 100)&lt;/td&gt;&lt;td class="td_info"&gt;0.333&lt;/td&gt;&lt;td class="td_info bold" rowspan="3"&gt;0.143&lt;/td&gt;&lt;/tr&gt;&lt;tr&gt;&lt;td class="td_info"&gt;Medical and Care Residents (Score)&lt;/td&gt;&lt;td class="td_info"&gt;0.333&lt;/td&gt;&lt;/tr&gt;&lt;tr&gt;&lt;td class="td_info"&gt;Lack of private transport (% households with no car or van)&lt;/td&gt;&lt;td class="td_info"&gt;0.333&lt;/td&gt;&lt;/tr&gt;&lt;tr&gt;&lt;td class="td_info bold" rowspan="2"&gt;Pharmacy Access&lt;/td&gt;&lt;td class="td_info"&gt;Average return travel time to a Pharmacy by public transport (minutes)&lt;/td&gt;&lt;td class="td_info"&gt;0.500&lt;/td&gt;&lt;td class="td_info bold" rowspan="2"&gt;0.143&lt;/td&gt;&lt;/tr&gt;&lt;tr&gt;&lt;td class="td_info"&gt;Average return travel time to a Pharmacy by private transport (minutes)&lt;/td&gt;&lt;td class="td_info"&gt;0.500&lt;/td&gt;&lt;/tr&gt;&lt;tr&gt;&lt;td class="td_info bold"&gt;House Prices&lt;/td&gt;&lt;td class="td_info"&gt;Median price paid for residential properties (£)&lt;/td&gt;&lt;td class="td_info"&gt;1.000&lt;/td&gt;&lt;td class="td_info bold"&gt;0.143&lt;/td&gt;&lt;/tr&gt;&lt;tr&gt;&lt;td class="td_info bold" rowspan="4"&gt;ENHANCED EXPOSURE&lt;/td&gt;&lt;td class="td_info bold" rowspan="3"&gt;Physical Environment&lt;/td&gt;&lt;td class="td_info"&gt;Built up area (% not greenspace)&lt;/td&gt;&lt;td class="td_info"&gt;0.330&lt;/td&gt;&lt;td class="td_info bold" rowspan="3"&gt;0.500&lt;/td&gt;&lt;/tr&gt;&lt;tr&gt;&lt;td class="td_info"&gt;Lack of domestic gardens (% dwellings without gardens)&lt;/td&gt;&lt;td class="td_info"&gt;0.330&lt;/td&gt;&lt;/tr&gt;&lt;tr&gt;&lt;td class="td_info"&gt;Median combined size of parks and public gardens and playing fields within 1,000 m radius (m2)&lt;/td&gt;&lt;td class="td_info"&gt;0.330&lt;/td&gt;&lt;/tr&gt;&lt;tr&gt;&lt;td class="td_info bold"&gt;Housing Characteristics&lt;/td&gt;&lt;td class="td_info"&gt;Caravan or other mobile or temporary structures (% of all households)&lt;/td&gt;&lt;td class="td_info"&gt;1.000&lt;/td&gt;&lt;td class="td_info bold"&gt;0.500&lt;/td&gt;&lt;/tr&gt;&lt;/tbody&gt;&lt;/table&gt;&lt;br&gt;&lt;p&gt;&lt;b&gt;Note:&lt;/b&gt;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</si>
  <si>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class="panel-body"&gt;&lt;p&gt;&lt;b&gt;Population Exposure and Disadvantage&lt;/b&gt;- combines population-based exposure to risk of flooding with Socio-Spatial Flood Vulnerability Index (SSFVI) to provide disadvantage with respect to flood risk mapped on to Lower Super Output Area (LSOAs). Disadvantage is calculated as an equally weighted combination of the degree of exposure in the LSOA and the SSFVI for the LSOA as a whole.&lt;/p&gt;&lt;br&gt;&lt;p&gt;The table below summarises the indicators shown and their descriptions:&lt;/p&gt;&lt;table class="table_info"&gt;&lt;thead&gt;&lt;tr&gt;&lt;th class="th_info"&gt;Indicator Name&lt;/th&gt;&lt;th class="th_info"&gt;Further Information&lt;/th&gt;&lt;/tr&gt;&lt;/thead&gt;&lt;tbody&gt;&lt;tr&gt;&lt;td class="td_info"&gt;Population&lt;/td&gt;&lt;td class="td_info"&gt;Lower Super Output Area Population (2011), confirmed match for the population data used&lt;/td&gt;&lt;/tr&gt;&lt;tr&gt;&lt;td class="td_info"&gt;Population Exposed (Count)&lt;/td&gt;&lt;td class="td_info"&gt;Estimated count of population living within a flood zone (irrespective of defences)&lt;/td&gt;&lt;/tr&gt;&lt;tr&gt;&lt;td class="td_info"&gt;Exposed Population Defended (Count)&lt;/td&gt;&lt;td class="td_info"&gt;Estimated count of population living within defended areas. Estimate only: not all defended areas are mapped, e.g. for small river and coastal defences and surface water interventions&lt;/td&gt;&lt;/tr&gt;&lt;tr&gt;&lt;td class="td_info"&gt;Exposed Population Undefended (Count)&lt;/td&gt;&lt;td class="td_info"&gt;Estimated count of population living within undefended areas. Estimate only: not all defended areas are mapped, e.g. for small river and coastal defences and surface water interventions&lt;/td&gt;&lt;/tr&gt;&lt;tr&gt;&lt;td class="td_info"&gt;Population Exposed (Z-Score)&lt;/td&gt;&lt;td class="td_info"&gt;Z-score of Population Exposed&lt;/td&gt;&lt;/tr&gt;&lt;tr&gt;&lt;td class="td_info"&gt;Exposed Population Undefended (Z-Score)&lt;/td&gt;&lt;td class="td_info"&gt;Z-score of Exposed Population Undefended&lt;/td&gt;&lt;/tr&gt;&lt;tr&gt;&lt;td class="td_info"&gt;Disadvantage (all potentially exposed, Z-Score)&lt;/td&gt;&lt;td class="td_info"&gt;Final Flood Disadvantage taking account of all potentially exposed people (irrespective of whether defended or not). Null = not exposed&lt;/td&gt;&lt;/tr&gt;&lt;tr&gt;&lt;td class="td_info"&gt;Disadvantage (all potentially undefended, Z-Score)&lt;/td&gt;&lt;td class="td_info"&gt;Final Flood Disadvantage taking account of all potentially undefended poeple (i.e., taking account of published data on areas protected by river and coastal defences). Null = not exposed or all the population of the LSOA is defended&lt;/td&gt;&lt;/tr&gt;&lt;/tbody&gt;&lt;/table&gt;&lt;br&gt;&lt;p&gt;Z-Scores for Population Exposed and Disadvantage are plotted using the following classification scheme. Positive values denote more people potentially exposed/disadvantaged than average, values around 0 denote the population potentially exposed/disadvantaged is around the average for Wales, negative values denote fewer people than average potentially exposed/disadvantaged:&lt;/p&gt;&lt;p&gt;&lt;table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slight-flood"&gt;&lt;/td&gt;&lt;/tr&gt;&lt;/tbody&gt;&lt;/table&gt;&lt;/p&gt;&lt;br&gt;&lt;p&gt;The table provides the data sources, version and license information for the data used to calculate the exposed population (defended and undefended):&lt;/p&gt;&lt;table class="table_info"&gt;&lt;thead&gt;&lt;tr&gt;&lt;th class="th_info"&gt;Data&lt;/th&gt;&lt;th class="th_info"&gt;Version&lt;/th&gt;&lt;th class="th_info"&gt;Licence information&lt;/th&gt;&lt;/tr&gt;&lt;/thead&gt;&lt;tbody&gt;&lt;tr&gt;&lt;td class="td_info"&gt;&lt;a href="https://naturalresources.wales/flooding/flood-map-for-planning-development-advice-map/" target="_blank"&gt;Flood Map for Planning&lt;/a&gt;: Flood Zones 2 and 3; TAN15 Defended Zones&lt;/td&gt;&lt;td class="td_info"&gt;May 22&lt;/td&gt;&lt;td class="td_info"&gt;Contains Natural Resources Wales information © Natural Resources Wales and database right. All rights reserved. Some features of this information are based on digital spatial data licensed from the UK Centre for Ecology &amp; Hydrology © UKCEH, the Environment Agency © EA and Getmapping Plc and Bluesky International Limited [2015]. Defra, Met Office and DARD Rivers Agency © Crown copyright. © Cranfield University. © James Hutton Institute. Contains OS data © Crown copyright and database right. Land &amp; Property Services © Crown copyright and database r&lt;/td&gt;&lt;/tr&gt;&lt;tr&gt;&lt;td class="td_info"&gt;&lt;a href="http://openpopgrid.geodata.soton.ac.uk/" target="_blank"&gt;OpenPopGrid&lt;/a&gt;&lt;/td&gt;&lt;td class="td_info"&gt;2011&lt;/td&gt;&lt;td class="td_info"&gt;Licensed under the Open Database License. You are free to use under the terms of the OdBL licence subject to citation. Any rights in individual contents of the database are licensed under the Database Contents License. Reference: Murdock, A.P., Harfoot, A.J.P., Martin, D., Cockings, S. and Hill, C. (2015) OpenPopGrid: an open gridded population dataset for England and Wales. GeoData, University of Southampton.&lt;/td&gt;&lt;/tr&gt;&lt;/tbody&gt;&lt;/table&gt;&lt;br&gt;&lt;p&gt;&lt;b&gt;Notes:&lt;/b&gt;Uses data from the Flood Map for Planning (FMfP) (last updated July 2022). It includes climate change information to show how this will affect flood risk extents for rivers, the sea and surface water and small watercourses over the next century. Data are considered the best available as of time of production "The FMfP can be considered as the best available information on flood risk and will replace the Development Advice Map for planning purposes in June 2023. Although it currently has no official status for planning purposes it is a useful data source when considering flood risks." Data include climate change information but does not have a set of scenarios which can be compared. No version without climate change was found but may be available. All flood types and return periods have been merged. Method has involved attributing 10m population estimates 2011 into the flood zones. Some of the figures do not match perfectly due to removal of population counts &amp;lt;2 people which are likely to be spurious due to matching 10m cells to LSOAs. Some LSOAs had count of those defended as slightly higher than those exposed, so this was corrected to the exposed total. Defences relate to River and coastal flooding only.&lt;/p&gt;&lt;p&gt;&lt;b&gt;Disclaimers:&lt;/b&gt;The supply of these data in no way implies or leads to an expectation of support in the use of these data. No updates or modifications will necessarily be made available. All data are as provided from the authors of the report identified above.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the indicator metadata of the associated social vulnerability spreadsheet for relevant data acknowledgements for the inputs to this dataset.&lt;br&gt;Climate Just (2022)&lt;a href="www.climatejust.org.uk" target="_blank"&gt;www.climatejust.org.uk&lt;/a&gt;. 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target="_blank"&gt;https://data.gov.uk/dataset/lower_layer_super_output_area_lsoa_boundaries/&lt;/a&gt;.&lt;br&gt;Natural Resources Wales - Flood Map for Planning (FMfP) (July 2022)&lt;br&gt;Murdock, A.P., Harfoot, A.J.P., Martin, D., Cockings, S. and Hill, C. (2015) OpenPopGrid: an open gridded population dataset for England and Wales. GeoData, University of Southampton.&lt;br&gt;This work was funded by Friends of the Earth. Research conducted by University of Manchester.&lt;br&gt;October 2023 (2022 Update)&lt;/p&gt;&lt;/div&gt;&lt;/div&gt;</t>
  </si>
  <si>
    <t>&lt;div class="body-1"&gt;&lt;div class="panel-body"&gt;&lt;p&gt;&lt;b&gt;Sensitivity&lt;/b&gt; -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Sensitivity:&lt;/p&gt;&lt;li&gt;Age&lt;/li&gt;&lt;li&gt;Health&lt;/li&gt;&lt;br&gt;&lt;p&gt;The calculated Sensitivity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slight-flood"&gt;&lt;/td&gt;&lt;/tr&gt;&lt;/tbody&gt;&lt;/table&gt;&lt;/p&gt;&lt;br&gt;&lt;p&gt;Sensitivity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rowspan="2"&gt;Age&lt;/td&gt;&lt;td class="td_info"&gt;Young children (% people under 5 years)&lt;/td&gt;&lt;td class="td_info"&gt;Population estimation ONS 2020&lt;/td&gt;&lt;td class="td_info"&gt;Mid-2019 Population Estimates for Lower Layer Super Output Areas in England and Wales by Single Year of Age and Sex, Persons &lt;/td&gt;&lt;td class="td_info"&gt;0.500&lt;/td&gt;&lt;/tr&gt;&lt;tr&gt;&lt;td class="td_info"&gt;Older people (% people over 75 years)&lt;/td&gt;&lt;td class="td_info"&gt;Population estimation ONS 2020&lt;/td&gt;&lt;td class="td_info"&gt;Mid-2019 Population Estimates for Lower Layer Super Output Areas in England and Wales by Single Year of Age and Sex, Persons &lt;/td&gt;&lt;td class="td_info"&gt;0.500&lt;/td&gt;&lt;/tr&gt;&lt;tr&gt;&lt;td class="td_info bold"" rowspan="4"&gt;Health&lt;/td&gt;&lt;td class="td_info"&gt;Premature death (rate per 100,000)&lt;/td&gt;&lt;td class="td_info"&gt;Welsh Index of Multiple Deprivation, Welsh Government 2019&lt;/td&gt;&lt;td class="td_info"&gt;Health Deprivation and Disability Domain: Premature death (rate per 100,000)&lt;/td&gt;&lt;td class="td_info"&gt;0.250&lt;/td&gt;&lt;/tr&gt;&lt;tr&gt;&lt;td class="td_info"&gt;GP-recorded chronic condition (rate per 100)&lt;/td&gt;&lt;td class="td_info"&gt;Welsh Index of Multiple Deprivation, Welsh Government 2019&lt;/td&gt;&lt;td class="td_info"&gt;Health Deprivation and Disability Domain: GP-recorded chronic condition (rate per 100)&lt;/td&gt;&lt;td class="td_info"&gt;0.250&lt;/td&gt;&lt;/tr&gt;&lt;tr&gt;&lt;td class="td_info"&gt;GP-recorded mental health condition (rate per 100)&lt;/td&gt;&lt;td class="td_info"&gt;Welsh Index of Multiple Deprivation, Welsh Government 2019&lt;/td&gt;&lt;td class="td_info"&gt;Health Deprivation and Disability Domain: GP-recorded mental health condition (rate per 100). New Indicator&lt;/td&gt;&lt;td class="td_info"&gt;0.250&lt;/td&gt;&lt;/tr&gt;&lt;tr&gt;&lt;td class="td_info"&gt;Medical and Care Residents (Score)&lt;/td&gt;&lt;td class="td_info"&gt;Census table QS421SC&lt;/td&gt;&lt;td class="td_info"&gt;(uses indicator m2 from Sayers et al). Dated information, less reliable&lt;/td&gt;&lt;td class="td_info"&gt;0.250&lt;/td&gt;&lt;/tr&gt;&lt;/tbody&gt;&lt;/table&gt;&lt;br&gt;&lt;p&gt;&lt;b&gt;Disclaimers:&lt;/b&gt;The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</si>
  <si>
    <t>&lt;div class="body-1"&gt;&lt;div class="panel-body"&gt;&lt;p&gt;&lt;b&gt;(In)ability to Prepare&lt;/b&gt; - A person’s or community’s ability to prepare for climate and extreme weather events is governed primarily by social factors. With respect to flood this includes factors such as income and tenure. The map shows the result of an equally-weighted combination of neighbourhood-level scores for indicators within the domains associated with respect to floods:&lt;/p&gt;&lt;li&gt;Income&lt;/li&gt;&lt;li&gt;Tenure&lt;/li&gt;&lt;li&gt;Language&lt;/li&gt;&lt;li&gt;Internet&lt;/li&gt;&lt;li&gt;Local knowledge&lt;/li&gt;&lt;br&gt;&lt;p&gt;The calculated Inability to Prepare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Prepare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 rowspan="2"&gt;Tenure&lt;/td&gt;&lt;td class="td_info"&gt;Social renters (% Households renting from Social or Council landlords)&lt;/td&gt;&lt;td class="td_info"&gt;Census 2011&lt;/td&gt;&lt;td class="td_info"&gt;Census 2011 (no direct update available) &lt;/td&gt;&lt;td class="td_info"&gt;0.500&lt;/td&gt;&lt;/tr&gt;&lt;tr&gt;&lt;td class="td_info"&gt;Private renters (% Households)&lt;/td&gt;&lt;td class="td_info"&gt;Census 2011&lt;/td&gt;&lt;td class="td_info"&gt;Census 2011 (no direct update available) &lt;/td&gt;&lt;td class="td_info"&gt;0.500&lt;/td&gt;&lt;/tr&gt;&lt;tr&gt;&lt;td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note)&lt;/td&gt;&lt;td class="td_info"&gt;0.500&lt;/td&gt;&lt;/tr&gt;&lt;tr&gt;&lt;td class="td_info bold" rowspan="3"&gt;Local knowledge&lt;/td&gt;&lt;td class="td_info"&gt;Population Transience (Residential Mobility Index)&lt;/td&gt;&lt;td class="td_info"&gt;CDRC 2021&lt;/td&gt;&lt;td class="td_info"&gt;Consumer Data Research Centre (CDRC) Residential Mobility Index (average 2012-2020)&lt;/td&gt;&lt;td class="td_info"&gt;0.333&lt;/td&gt;&lt;/tr&gt;&lt;tr&gt;&lt;td class="td_info"&gt;Reversed percentage of properties within historical flood boundaries (-%)&lt;/td&gt;&lt;td class="td_info"&gt;Sayers et al (2017)&lt;/td&gt;&lt;td class="td_info"&gt;Uses e1 from Sayers et al which has properties in historical flood zones (Households at risk of flooding score= hazards exposure). *Reversed as here representing local knowledge rather than harm&lt;/td&gt;&lt;td class="td_info"&gt;0.333&lt;/td&gt;&lt;/tr&gt;&lt;tr&gt;&lt;td class="td_info"&gt;Flood alert and warning areas (% area not covered)&lt;/td&gt;&lt;td class="td_info"&gt;Environment Agency 2020&lt;/td&gt;&lt;td class="td_info"&gt;Flood Alert and Warning Areas Published by: Environment Agency Last updated: 26 and 19th August 2021 respectively. Reversed as flood warnings allow more preparation so higher values are lower vulnerability&lt;/td&gt;&lt;td class="td_info"&gt;0.333&lt;/td&gt;&lt;/tr&gt;&lt;/tbody&gt;&lt;/table&gt;&lt;br&gt;&lt;p&gt;&lt;b&gt;Note:&lt;/b&gt;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</si>
  <si>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class="panel-body"&gt;&lt;p&gt;&lt;b&gt;(In)ability to Respond&lt;/b&gt; - A person’s or community’s ability to respond to climate and extreme weather events is governed primarily by social factors. With respect to flood this includes factors such as social networks and mobility. The map shows the result of an equally-weighted combination of neighbourhood-level scores for indicators within the domains associated with respect to floods:&lt;/p&gt;&lt;li&gt;Income&lt;/li&gt;&lt;li&gt;Language&lt;/li&gt;&lt;li&gt;Internet&lt;/li&gt;&lt;li&gt;Local Knowledge&lt;/li&gt;&lt;li&gt;Social networks&lt;/li&gt;&lt;li&gt;Mobility&lt;/li&gt;&lt;li&gt;Crime&lt;/li&gt;&lt;br&gt;&lt;p&gt;The calculated Inability to Respond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Respond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 &lt;/td&gt;&lt;td class="td_info"&gt;0.500&lt;/td&gt;&lt;/tr&gt;&lt;tr&gt;&lt;td class="td_info bold" rowspan="3"&gt;Local knowledge&lt;/td&gt;&lt;td class="td_info"&gt;Population Transience (Residential Mobility Index)&lt;/td&gt;&lt;td class="td_info"&gt;CDRC 2021&lt;/td&gt;&lt;td class="td_info"&gt;CDRC Residential Mobility Index (average 2012-2020)&lt;/td&gt;&lt;td class="td_info"&gt;0.333&lt;/td&gt;&lt;/tr&gt;&lt;tr&gt;&lt;td class="td_info"&gt;Reversed percentage of properties within historical flood boundaries (-%)&lt;/td&gt;&lt;td class="td_info"&gt;Sayers et al (2017)&lt;/td&gt;&lt;td class="td_info"&gt;E1 from Sayers et al's estimates of properties in historical flood zones - reversed to represent local knowledge from previous events. More properties previously affected represents more abilty to prepare therefore lower vulnerability. See http://www.sayersandpartners.co.uk/flood-disadvantage.html&lt;/td&gt;&lt;td class="td_info"&gt;0.333&lt;/td&gt;&lt;/tr&gt;&lt;tr&gt;&lt;td class="td_info"&gt;Flood alert and warning areas (% area not covered)&lt;/td&gt;&lt;td class="td_info"&gt;Environment Agency 2020&lt;/td&gt;&lt;td class="td_info"&gt;Flood Alert and Warning Areas Published by: Environment Agency Last updated: 26 and 19th August 2021 respectively. Higher proportions of cover represents more ability to prepare, therefore lower vulnerability. Indicator data processed to show proportion of area not covered, therefore higher vulnerability. &lt;/td&gt;&lt;td class="td_info"&gt;0.333&lt;/td&gt;&lt;/tr&gt;&lt;tr&gt;&lt;td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Reversed (100-% children 4-11)&lt;/td&gt;&lt;td class="td_info"&gt;0.500&lt;/td&gt;&lt;/tr&gt;&lt;tr&gt;&lt;td class="td_info bold" rowspan="3"&gt;Mobility &lt;/td&gt;&lt;td class="td_info"&gt;GP-recorded chronic condition (rate per 100)&lt;/td&gt;&lt;td class="td_info"&gt;Welsh Index of Multiple Deprivation, Welsh Government 2019&lt;/td&gt;&lt;td class="td_info"&gt;Health Deprivation and Disability Domain: GP-recorded chronic condition (rate per 100)&lt;/td&gt;&lt;td class="td_info"&gt;0.333&lt;/td&gt;&lt;/tr&gt;&lt;tr&gt;&lt;td class="td_info"&gt;Medical and Care Residents (Score)&lt;/td&gt;&lt;td class="td_info"&gt;Census table QS421SC&lt;/td&gt;&lt;td class="td_info"&gt;(uses indicator m2 from Sayers et al). Dated information, less reliable&lt;/td&gt;&lt;td class="td_info"&gt;0.333&lt;/td&gt;&lt;/tr&gt;&lt;tr&gt;&lt;td class="td_info"&gt;Lack of private transport (% households with no car or van)&lt;/td&gt;&lt;td class="td_info"&gt;Census 2011&lt;/td&gt;&lt;td class="td_info"&gt;Census 2011 (no direct update available) % households with no car/van. Reversed (100-% car ownership)&lt;/td&gt;&lt;td class="td_info"&gt;0.333&lt;/td&gt;&lt;/tr&gt;&lt;tr&gt;&lt;td class="td_info bold"&gt;Crime&lt;/td&gt;&lt;td class="td_info"&gt;Index of Multiple Deprivation crime&lt;/td&gt;&lt;td class="td_info"&gt;Welsh Index of Multiple Deprivation, Welsh Government 2019&lt;/td&gt;&lt;td class="td_info"&gt;Community Safety Domain Welsh Index of Multiple Deprivation, Welsh Government. high score/ratio = high vulnerability&lt;/td&gt;&lt;td class="td_info"&gt;1.000&lt;/td&gt;&lt;/tr&gt;&lt;/tbody&gt;&lt;/table&gt;&lt;br&gt;&lt;p&gt;&lt;p&gt;&lt;b&gt;Note:&lt;/b&gt; The lack of superfast broadband indicator does not take account of the availability of ultrafast broadband. It is recommended that users refer to the latest data from Ofcom.&lt;/p&gt;&lt;b&gt;Disclaimers:&lt;/b&gt;The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</si>
  <si>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class="panel-body"&gt;&lt;p&gt;&lt;b&gt;(In)ability to Recover&lt;/b&gt; - A person’s or community’s ability to recover from climate and extreme weather events is governed primarily by social factors. With respect to flood this includes factors such as social networks, mobility and the availability of services. The map shows the result of an equally-weighted combination of neighbourhood-level scores for indicators within the domains associated with respect to floods:&lt;/p&gt;&lt;li&gt;Income&lt;/li&gt;&lt;li&gt;Language&lt;/li&gt;&lt;li&gt;Internet&lt;/li&gt;&lt;li&gt;Social networks&lt;/li&gt;&lt;li&gt;Mobility&lt;/li&gt;&lt;li&gt;Pharmacy access&lt;/li&gt;&lt;li&gt;House prices&lt;/li&gt;&lt;br&gt;&lt;p&gt;The calculated Inability to Recover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Recover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 &lt;/td&gt;&lt;td class="td_info"&gt;0.500&lt;/td&gt;&lt;/tr&gt;&lt;tr&gt;&lt;td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&lt;/td&gt;&lt;td class="td_info"&gt;0.500&lt;/td&gt;&lt;/tr&gt;&lt;tr&gt;&lt;td class="td_info bold" rowspan="3"&gt;Mobility &lt;/td&gt;&lt;td class="td_info"&gt;GP-recorded chronic condition (rate per 100)&lt;/td&gt;&lt;td class="td_info"&gt;Welsh Index of Multiple Deprivation, Welsh Government 2019&lt;/td&gt;&lt;td class="td_info"&gt;Health Deprivation and Disability Domain: GP-recorded chronic condition (rate per 100)&lt;/td&gt;&lt;td class="td_info"&gt;0.333&lt;/td&gt;&lt;/tr&gt;&lt;tr&gt;&lt;td class="td_info"&gt;Medical and Care Residents (Score)&lt;/td&gt;&lt;td class="td_info"&gt;Census table QS421SC&lt;/td&gt;&lt;td class="td_info"&gt;(uses indicator m2 from Sayers et al). Dated information, less reliable&lt;/td&gt;&lt;td class="td_info"&gt;0.333&lt;/td&gt;&lt;/tr&gt;&lt;tr&gt;&lt;td class="td_info"&gt;Lack of private transport (% households with no car or van)&lt;/td&gt;&lt;td class="td_info"&gt;Census 2011&lt;/td&gt;&lt;td class="td_info"&gt;Census 2011 (no direct update available) % households with no car/van. Reversed (100-% car ownership)&lt;/td&gt;&lt;td class="td_info"&gt;0.333&lt;/td&gt;&lt;/tr&gt;&lt;tr&gt;&lt;td class="td_info bold" rowspan="2"&gt;Pharmacy Access&lt;/td&gt;&lt;td class="td_info"&gt;Average return travel time to a Pharmacy by public transport (minutes)&lt;/td&gt;&lt;td class="td_info"&gt;Welsh Index of Multiple Deprivation, Welsh Government.&lt;/td&gt;&lt;td class="td_info"&gt;Service access domain. Average public return travel time to a a Pharmacy (minutes)&lt;/td&gt;&lt;td class="td_info"&gt;0.500&lt;/td&gt;&lt;/tr&gt;&lt;tr&gt;&lt;td class="td_info"&gt;Average return travel time to a Pharmacy by private transport (minutes)&lt;/td&gt;&lt;td class="td_info"&gt;Welsh Index of Multiple Deprivation, Welsh Government.&lt;/td&gt;&lt;td class="td_info"&gt;Service access domain. Average private return travel time to a Pharmacy (minutes)&lt;/td&gt;&lt;td class="td_info"&gt;0.500&lt;/td&gt;&lt;/tr&gt;&lt;tr&gt;&lt;td class="td_info bold"&gt;House Prices&lt;/td&gt;&lt;td class="td_info"&gt;Median price paid for residential properties (£)&lt;/td&gt;&lt;td class="td_info"&gt;HPSSA Dataset&lt;/td&gt;&lt;td class="td_info"&gt;HPSSA Dataset 46: Median price paid for residential properties by LSOA Median price paid for residential properties by LSOA, England and Wales, year ending Dec 1995 to year ending Dec 2020. Reversed to indicate higher prices associated with greater ability to recover&lt;/td&gt;&lt;td class="td_info"&gt;1.000&lt;/td&gt;&lt;/tr&gt;&lt;/tbody&gt;&lt;/table&gt;&lt;br&gt;&lt;p&gt;&lt;p&gt;&lt;b&gt;Note:&lt;/b&gt; The lack of superfast broadband indicator does not take account of the availability of ultrafast broadband. It is recommended that users refer to the latest data from Ofcom.&lt;/p&gt; &lt;b&gt;Disclaimers:&lt;/b&gt;The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</si>
  <si>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class="panel-body"&gt;&lt;p&gt;&lt;b&gt;Enhanced Exposure&lt;/b&gt; - Enhanced exposure refers to aspects of the physical environment, such as the availability of green space or housing characteristics, which tend to accentuate or offset the severity of flood events. The map shows the result of an equally-weighted combination of neighbourhood-level scores for indicators within the domains associated with enhanced exposure with respect to floods:&lt;/p&gt;&lt;li&gt;Physical environment&lt;/li&gt;&lt;li&gt;Housing characteristics&lt;/li&gt;&lt;br&gt;&lt;p&gt;The calculated Enhanced Exposure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slight-flood"&gt;&lt;/td&gt;&lt;/tr&gt;&lt;/tbody&gt;&lt;/table&gt;&lt;/p&gt;&lt;br&gt;&lt;p&gt;Enhanced Exposure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rowspan="3"&gt;Physical Environment&lt;/td&gt;&lt;td class="td_info"&gt;Built up area (% not greenspace)&lt;/td&gt;&lt;td class="td_info"&gt;ONS Greenspace Column&lt;/td&gt;&lt;td class="td_info"&gt;Indicator calculated by subtracting the area of greenspace from 100%. Recalculated from LSOA spatial units&lt;/td&gt;&lt;td class="td_info"&gt;0.330&lt;/td&gt;&lt;/tr&gt;&lt;tr&gt;&lt;td class="td_info"&gt;Lack of domestic gardens (% dwellings without gardens)&lt;/td&gt;&lt;td class="td_info"&gt;ONS Greenspace Column&lt;/td&gt;&lt;td class="td_info"&gt;ONS Greenspace Column AH Lack of private greenspace (% dwellings without gardens)&lt;/td&gt;&lt;td class="td_info"&gt;0.330&lt;/td&gt;&lt;/tr&gt;&lt;tr&gt;&lt;td class="td_info"&gt;Median combined size of parks and public gardens and playing fields within 1,000 m radius (m2)&lt;/td&gt;&lt;td class="td_info"&gt;ONS Greenspace Column&lt;/td&gt;&lt;td class="td_info"&gt;ONS Greenspace Column R Median combined size of parks and public gardens and playing fields within 1,000 m radius (m2)&lt;/td&gt;&lt;td class="td_info"&gt;0.330&lt;/td&gt;&lt;/tr&gt;&lt;tr&gt;&lt;td class="td_info bold"&gt;Housing Characteristics&lt;/td&gt;&lt;td class="td_info"&gt;Caravan or other mobile or temporary structures (% of all households)&lt;/td&gt;&lt;td class="td_info"&gt;Census 2011&lt;/td&gt;&lt;td class="td_info"&gt;Census 2011 (no direct update available) Taken from Sayers et al., (2017)&lt;/td&gt;&lt;td class="td_info"&gt;1.000&lt;/td&gt;&lt;/tr&gt;&lt;/tbody&gt;&lt;/table&gt;&lt;br&gt;&lt;p&gt;&lt;b&gt;Disclaimers:&lt;/b&gt;The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</si>
  <si>
    <t>Socio Spatial Heat Vulnerability Index (England)</t>
  </si>
  <si>
    <t>&lt;div class="body-1"&gt;&lt;div class="panel-body"&gt;&lt;p&gt;&lt;b&gt;Socio-Spatial Heat Vulnerability Index&lt;/b&gt;(SSHVI) refers to mapped social vulnerability with respect to heat-related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SSHVI map shows the result of an equally-weighted combination of neighbourhood-level Z-scores for indicators within each of the five dimensions of socio-spatial vulnerability for each neighbourhood:&lt;/p&gt;&lt;ul&gt;&lt;li style="margin:.7rem 0"&gt;&lt;p&gt;&lt;b&gt;Sensitivity&lt;/b&gt;-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Sensitivity:&lt;/p&gt;&lt;ul&gt;&lt;li&gt;Age&lt;/li&gt;&lt;li&gt;Health&lt;/li&gt;&lt;/ul&gt;&lt;/li&gt;&lt;li style="margin:.7rem 0"&gt;&lt;p&gt;&lt;b&gt;(In)ability to Prepare&lt;/b&gt;-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heat:&lt;/p&gt;&lt;ul&gt;&lt;li&gt;Income&lt;/li&gt;&lt;li&gt;Tenure&lt;/li&gt;&lt;li&gt;Language&lt;/li&gt;&lt;li&gt;Internet&lt;/li&gt;&lt;li&gt;Local knowledge&lt;/li&gt;&lt;/ul&gt;&lt;/li&gt;&lt;li style="margin:.7rem 0"&gt;&lt;p&gt;&lt;b&gt;(In)ability to Respond&lt;/b&gt;- A person’s or community’s ability to respond to climate and extreme weather events is governed primarily by social factors. With respect to heat this includes factors such as social networks, mobility and general infrastructure. The map shows the result of an equally-weighted combination of neighbourhood-level scores for indicators within the domains associated with respect to heat:&lt;/p&gt;&lt;ul&gt;&lt;li&gt;Income&lt;/li&gt;&lt;li&gt;Language&lt;/li&gt;&lt;li&gt;Internet&lt;/li&gt;&lt;li&gt;Social networks&lt;/li&gt;&lt;li&gt;Mobility&lt;/li&gt;&lt;li&gt;Crime&lt;/li&gt;&lt;li&gt;General Infrastructure&lt;/li&gt;&lt;/ul&gt;&lt;/li&gt;&lt;li style="margin:.7rem 0"&gt;&lt;p&gt;&lt;b&gt;(In)ability to Recover&lt;/b&gt;-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heat:&lt;/p&gt;&lt;ul&gt;&lt;li&gt;Income&lt;/li&gt;&lt;li&gt;Language&lt;/li&gt;&lt;li&gt;Internet&lt;/li&gt;&lt;li&gt;Social networks&lt;/li&gt;&lt;li&gt;Mobility&lt;/li&gt;&lt;li&gt;GP access&lt;/li&gt;&lt;li&gt;Hospital access&lt;/li&gt;&lt;li&gt;Pharmacy access&lt;/li&gt;&lt;/ul&gt;&lt;/li&gt;&lt;li style="margin:.7rem 0"&gt;&lt;p&gt;&lt;b&gt;Enhanced Exposure&lt;/b&gt;- Enhanced exposure refers to aspects of the physical environment, such as the availability of green space or housing characteristics, which tend to accentuate or offset the severity of extreme heat events. The map shows the result of an equally-weighted combination of neighbourhood-level scores for indicators within the domains associated with enhanced exposure with respect to heat:&lt;/p&gt;&lt;ul&gt;&lt;li&gt;Physical environment&lt;/li&gt;&lt;li&gt;Housing characteristics&lt;/li&gt;&lt;/ul&gt;&lt;/li&gt;&lt;/ul&gt;&lt;br&gt;&lt;p&gt;The calculated SSHVI Z-Score is plotted using the following classification scheme:&lt;/p&gt;&lt;p&gt;&lt;table class="table_info"&gt;&lt;thead&gt;&lt;tr&gt;&lt;th class="th_info"&gt;Heat Vulnerability Index 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slight-heat"&gt;&lt;/td&gt;&lt;/tr&gt;&lt;/tbody&gt;&lt;/table&gt;&lt;/p&gt;&lt;br&gt;&lt;p&gt;Socio-Spatial Heat Vulnerability criteria, domains, indicators, data sources, processing details and the respective weightings of each indicator to derive the domains and criteria are summarised in the table below:&lt;/p&gt;&lt;table class="table_info"&gt;&lt;thead&gt;&lt;tr&gt;&lt;th class="th_info"&gt;Vulnerability Criteria &lt;/th&gt;&lt;th class="th_info"&gt;Domain&lt;/th&gt;&lt;th class="th_info"&gt;Indicator Name&lt;/th&gt;&lt;th class="th_info"&gt;Indicator Weight&lt;/th&gt;&lt;th class="th_info"&gt;Domain Weight&lt;/th&gt;&lt;/tr&gt;&lt;/thead&gt;&lt;tbody&gt;&lt;tr&gt;&lt;td class="td_info bold" rowspan="8"&gt;SENSITIVITY&lt;/td&gt;&lt;td class="td_info bold" rowspan="2"&gt;Age&lt;/td&gt;&lt;td class="td_info"&gt;Young children (% people under 5 years)&lt;/td&gt;&lt;td class="td_info"&gt;0.500&lt;/td&gt;&lt;td class="td_info bold" rowspan="2"&gt;0.500&lt;/td&gt;&lt;/tr&gt;&lt;tr&gt;&lt;td class="td_info"&gt;Older people (% people over 75 years)&lt;/td&gt;&lt;td class="td_info"&gt;0.500&lt;/td&gt;&lt;/tr&gt;&lt;tr&gt;&lt;td class="td_info bold" rowspan="6"&gt;Health&lt;/td&gt;&lt;td class="td_info"&gt;Emergency hospital admissions&lt;/td&gt;&lt;td class="td_info"&gt;0.143&lt;/td&gt;&lt;td class="td_info bold" rowspan="6"&gt;0.500&lt;/td&gt;&lt;/tr&gt;&lt;tr&gt;&lt;td class="td_info"&gt;Comparative illness and disability ratio&lt;/td&gt;&lt;td class="td_info"&gt;0.143&lt;/td&gt;&lt;/tr&gt;&lt;tr&gt;&lt;td class="td_info"&gt;Mood and Anxiety Disorder Indicator&lt;/td&gt;&lt;td class="td_info"&gt;0.143&lt;/td&gt;&lt;/tr&gt;&lt;tr&gt;&lt;td class="td_info"&gt;Medical and Care Residents (Score)&lt;/td&gt;&lt;td class="td_info"&gt;0.143&lt;/td&gt;&lt;/tr&gt;&lt;tr&gt;&lt;td class="td_info"&gt;Years of Potential Life Lost (Score)&lt;/td&gt;&lt;td class="td_info"&gt;0.143&lt;/td&gt;&lt;/tr&gt;&lt;tr&gt;&lt;td class="td_info"&gt;Homelessness rate (rate per 1000 households)&lt;/td&gt;&lt;td class="td_info"&gt;0.143&lt;/td&gt;&lt;/tr&gt;&lt;tr&gt;&lt;td class="td_info bold" rowspan="9"&gt;INABILITY TO PREPARE&lt;/td&gt;&lt;td class="td_info bold" rowspan="3"&gt;Income &lt;/td&gt;&lt;td class="td_info"&gt;Employment deprived people in an area (% of working population)&lt;/td&gt;&lt;td class="td_info"&gt;0.333&lt;/td&gt;&lt;td class="td_info bold" rowspan="3"&gt;0.200&lt;/td&gt;&lt;/tr&gt;&lt;tr&gt;&lt;td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 rowspan="2"&gt;Tenure&lt;/td&gt;&lt;td class="td_info"&gt;Social renters (% Households renting from Social or Council landlords)&lt;/td&gt;&lt;td class="td_info"&gt;0.500&lt;/td&gt;&lt;td class="td_info bold" rowspan="2"&gt;0.200&lt;/td&gt;&lt;/tr&gt;&lt;tr&gt;&lt;td class="td_info"&gt;Private renters (% Households)&lt;/td&gt;&lt;td class="td_info"&gt;0.500&lt;/td&gt;&lt;/tr&gt;&lt;tr&gt;&lt;td class="td_info bold"&gt;Language&lt;/td&gt;&lt;td class="td_info"&gt;Level of proficiency in English (% population)&lt;/td&gt;&lt;td class="td_info"&gt;1.000&lt;/td&gt;&lt;td class="td_info bold"&gt;0.200&lt;/td&gt;&lt;/tr&gt;&lt;tr&gt;&lt;td class="td_info bold" rowspan="2"&gt;Internet&lt;/td&gt;&lt;td class="td_info"&gt;Sub-standard Broadband (% premises below the Universal Service Obligation)&lt;/td&gt;&lt;td class="td_info"&gt;0.500&lt;/td&gt;&lt;td class="td_info bold" rowspan="2"&gt;0.200&lt;/td&gt;&lt;/tr&gt;&lt;tr&gt;&lt;td class="td_info"&gt;Availability of superfast broadband (% Premises)&lt;/td&gt;&lt;td class="td_info"&gt;0.500&lt;/td&gt;&lt;/tr&gt;&lt;tr&gt;&lt;td class="td_info bold"&gt;Local knowledge&lt;/td&gt;&lt;td class="td_info"&gt;Population Transience (Residential Mobility Index)&lt;/td&gt;&lt;td class="td_info"&gt;1.000&lt;/td&gt;&lt;td class="td_info bold"&gt;0.200&lt;/td&gt;&lt;/tr&gt;&lt;tr&gt;&lt;td class="td_info bold" rowspan="19"&gt;INABILITY TO RESPOND&lt;/td&gt;&lt;td class="td_info bold" rowspan="3"&gt;Income &lt;/td&gt;&lt;td class="td_info"&gt;Employment deprived people in an area (% of working population)&lt;/td&gt;&lt;td class="td_info"&gt;0.333&lt;/td&gt;&lt;td class="td_info bold" rowspan="3"&gt;0.125&lt;/td&gt;&lt;/tr&gt;&lt;tr&gt;&lt;td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bold"&gt;0.125&lt;/td&gt;&lt;/tr&gt;&lt;tr&gt;&lt;td class="td_info bold" rowspan="2"&gt;Internet&lt;/td&gt;&lt;td class="td_info"&gt;Sub-standard Broadband (% premises below the Universal Service Obligation)&lt;/td&gt;&lt;td class="td_info"&gt;0.500&lt;/td&gt;&lt;td class="td_info bold" rowspan="2"&gt;0.125&lt;/td&gt;&lt;/tr&gt;&lt;tr&gt;&lt;td class="td_info"&gt;Availability of superfast broadband (% Premises)&lt;/td&gt;&lt;td class="td_info"&gt;0.500&lt;/td&gt;&lt;/tr&gt;&lt;tr&gt;&lt;td class="td_info bold"&gt;Local knowledge&lt;/td&gt;&lt;td class="td_info"&gt;Population Transience (Residential Mobility Index)&lt;/td&gt;&lt;td class="td_info"&gt;1.000&lt;/td&gt;&lt;td class="td_info bold"&gt;0.125&lt;/td&gt;&lt;/tr&gt;&lt;tr&gt;&lt;td class="td_info bold" rowspan="2"&gt;Social networks &lt;/td&gt;&lt;td class="td_info"&gt;Single pensioner households (%)&lt;/td&gt;&lt;td class="td_info"&gt;0.500&lt;/td&gt;&lt;td class="td_info bold" rowspan="2"&gt;0.125&lt;/td&gt;&lt;/tr&gt;&lt;tr&gt;&lt;td class="td_info"&gt;Lack of school-related networks (% children not of primary school age)&lt;/td&gt;&lt;td class="td_info"&gt;0.500&lt;/td&gt;&lt;/tr&gt;&lt;tr&gt;&lt;td class="td_info bold" rowspan="5"&gt;Mobility &lt;/td&gt;&lt;td class="td_info"&gt;Comparative illness and disability ratio&lt;/td&gt;&lt;td class="td_info"&gt;0.200&lt;/td&gt;&lt;td class="td_info bold" rowspan="5"&gt;0.125&lt;/td&gt;&lt;/tr&gt;&lt;tr&gt;&lt;td class="td_info"&gt;Medical and Care Residents (Score)&lt;/td&gt;&lt;td class="td_info"&gt;0.200&lt;/td&gt;&lt;/tr&gt;&lt;tr&gt;&lt;td class="td_info"&gt;Lack of private transport (% households with no car or van)&lt;/td&gt;&lt;td class="td_info"&gt;0.200&lt;/td&gt;&lt;/tr&gt;&lt;tr&gt;&lt;td class="td_info"&gt;Workplace accessibility by walking or public transport (travel time, destination and origin indicators)&lt;/td&gt;&lt;td class="td_info"&gt;0.200&lt;/td&gt;&lt;/tr&gt;&lt;tr&gt;&lt;td class="td_info"&gt;Workplace accessibility by car (travel time, destination and origin indicators)&lt;/td&gt;&lt;td class="td_info"&gt;0.200&lt;/td&gt;&lt;/tr&gt;&lt;tr&gt;&lt;td class="td_info bold"&gt;Crime&lt;/td&gt;&lt;td class="td_info"&gt;Index of Multiple Deprivation crime score&lt;/td&gt;&lt;td class="td_info"&gt;1.000&lt;/td&gt;&lt;td class="td_info bold"&gt;0.125&lt;/td&gt;&lt;/tr&gt;&lt;tr&gt;&lt;td class="td_info bold" rowspan="4"&gt;General infrastructure&lt;/td&gt;&lt;td class="td_info"&gt;Density of retail units (Number of enterprises divided by the area of MSOA)&lt;/td&gt;&lt;td class="td_info"&gt;0.250&lt;/td&gt;&lt;td class="td_info bold" rowspan="4"&gt;0.125&lt;/td&gt;&lt;/tr&gt;&lt;tr&gt;&lt;td class="td_info"&gt;Change in the number of enterprises (%)&lt;/td&gt;&lt;td class="td_info"&gt;0.250&lt;/td&gt;&lt;/tr&gt;&lt;tr&gt;&lt;td class="td_info"&gt;Lack of domestic gardens (% dwellings without gardens)&lt;/td&gt;&lt;td class="td_info"&gt;0.250&lt;/td&gt;&lt;/tr&gt;&lt;tr&gt;&lt;td class="td_info"&gt;Lack of local greenspace access (%)&lt;/td&gt;&lt;td class="td_info"&gt;0.250&lt;/td&gt;&lt;/tr&gt;&lt;tr&gt;&lt;td class="td_info bold" rowspan="23"&gt;INABILITY TO RECOVER&lt;/td&gt;&lt;td class="td_info bold" rowspan="3"&gt;Income &lt;/td&gt;&lt;td class="td_info"&gt;Employment deprived people in an area (% of working population)&lt;/td&gt;&lt;td class="td_info"&gt;0.333&lt;/td&gt;&lt;td class="td_info bold" rowspan="3"&gt;0.125&lt;/td&gt;&lt;/tr&gt;&lt;tr&gt;&lt;td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bold"&gt;0.125&lt;/td&gt;&lt;/tr&gt;&lt;tr&gt;&lt;td class="td_info bold" rowspan="2"&gt;Internet&lt;/td&gt;&lt;td class="td_info"&gt;Sub-standard Broadband (% premises below the Universal Service Obligation)&lt;/td&gt;&lt;td class="td_info"&gt;0.500&lt;/td&gt;&lt;td class="td_info bold" rowspan="2"&gt;0.125&lt;/td&gt;&lt;/tr&gt;&lt;tr&gt;&lt;td class="td_info"&gt;Availability of superfast broadband (% Premises)&lt;/td&gt;&lt;td class="td_info"&gt;0.500&lt;/td&gt;&lt;/tr&gt;&lt;tr&gt;&lt;td class="td_info bold" rowspan="2"&gt;Social networks &lt;/td&gt;&lt;td class="td_info"&gt;Single pensioner households (%)&lt;/td&gt;&lt;td class="td_info"&gt;0.500&lt;/td&gt;&lt;td class="td_info bold" rowspan="2"&gt;0.125&lt;/td&gt;&lt;/tr&gt;&lt;tr&gt;&lt;td class="td_info"&gt;Lack of school-related networks (% children not of primary school age)&lt;/td&gt;&lt;td class="td_info"&gt;0.500&lt;/td&gt;&lt;/tr&gt;&lt;tr&gt;&lt;td class="td_info bold" rowspan="5"&gt;Mobility &lt;/td&gt;&lt;td class="td_info"&gt;Comparative illness and disability ratio&lt;/td&gt;&lt;td class="td_info"&gt;0.200&lt;/td&gt;&lt;td class="td_info bold" rowspan="5"&gt;0.125&lt;/td&gt;&lt;/tr&gt;&lt;tr&gt;&lt;td class="td_info"&gt;Medical and Care Residents (Score)&lt;/td&gt;&lt;td class="td_info"&gt;0.200&lt;/td&gt;&lt;/tr&gt;&lt;tr&gt;&lt;td class="td_info"&gt;Lack of private transport (% households with no car or van)&lt;/td&gt;&lt;td class="td_info"&gt;0.200&lt;/td&gt;&lt;/tr&gt;&lt;tr&gt;&lt;td class="td_info"&gt;Workplace accessibility by walking or public transport (travel time, destination and origin indicators)&lt;/td&gt;&lt;td class="td_info"&gt;0.200&lt;/td&gt;&lt;/tr&gt;&lt;tr&gt;&lt;td class="td_info"&gt;Workplace accessibility by car (travel time, destination and origin indicators)&lt;/td&gt;&lt;td class="td_info"&gt;0.200&lt;/td&gt;&lt;/tr&gt;&lt;tr&gt;&lt;td class="td_info bold" rowspan="4"&gt;GP Access&lt;/td&gt;&lt;td class="td_info"&gt;Travel time to nearest GP by walk/public transport (minutes)&lt;/td&gt;&lt;td class="td_info"&gt;0.250&lt;/td&gt;&lt;td class="td_info bold" rowspan="4"&gt;0.125&lt;/td&gt;&lt;/tr&gt;&lt;tr&gt;&lt;td class="td_info"&gt;People lacking easy GP access (%)&lt;/td&gt;&lt;td class="td_info"&gt;0.250&lt;/td&gt;&lt;/tr&gt;&lt;tr&gt;&lt;td class="td_info"&gt;Number of GPs within 15 minutes by walk/public transport&lt;/td&gt;&lt;td class="td_info"&gt;0.250&lt;/td&gt;&lt;/tr&gt;&lt;tr&gt;&lt;td class="td_info"&gt;Number of GPs within 15 minutes by car&lt;/td&gt;&lt;td class="td_info"&gt;0.250&lt;/td&gt;&lt;/tr&gt;&lt;tr&gt;&lt;td class="td_info bold" rowspan="5"&gt;Hospital Access&lt;/td&gt;&lt;td class="td_info"&gt;Travel time to nearest hospital by walk/public transport (minutes)&lt;/td&gt;&lt;td class="td_info"&gt;0.200&lt;/td&gt;&lt;td class="td_info bold" rowspan="5"&gt;0.125&lt;/td&gt;&lt;/tr&gt;&lt;tr&gt;&lt;td class="td_info"&gt;Travel time to nearest hospital by car (minutes)&lt;/td&gt;&lt;td class="td_info"&gt;0.200&lt;/td&gt;&lt;/tr&gt;&lt;tr&gt;&lt;td class="td_info"&gt;People lacking easy hospital access (%)&lt;/td&gt;&lt;td class="td_info"&gt;0.200&lt;/td&gt;&lt;/tr&gt;&lt;tr&gt;&lt;td class="td_info"&gt;Number of hospitals within 30 minutes by walk/public transport&lt;/td&gt;&lt;td class="td_info"&gt;0.200&lt;/td&gt;&lt;/tr&gt;&lt;tr&gt;&lt;td class="td_info"&gt;Number of hospitals within 30 minutes by car&lt;/td&gt;&lt;td class="td_info"&gt;0.200&lt;/td&gt;&lt;/tr&gt;&lt;tr&gt;&lt;td class="td_info bold"&gt;Pharmacy Access&lt;/td&gt;&lt;td class="td_info"&gt;Mean distance to a pharmacy (km)&lt;/td&gt;&lt;td class="td_info"&gt;1.000&lt;/td&gt;&lt;td class="td_info bold"&gt;0.125&lt;/td&gt;&lt;/tr&gt;&lt;tr&gt;&lt;td class="td_info bold" rowspan="6"&gt;ENHANCED EXPOSURE&lt;/td&gt;&lt;td class="td_info bold" rowspan="3"&gt;Physical Environment&lt;/td&gt;&lt;td class="td_info"&gt;Built up area (% not greenspace)&lt;/td&gt;&lt;td class="td_info"&gt;0.330&lt;/td&gt;&lt;td class="td_info bold" rowspan="3"&gt;0.500&lt;/td&gt;&lt;/tr&gt;&lt;tr&gt;&lt;td class="td_info"&gt;Lack of domestic gardens (% dwellings without gardens)&lt;/td&gt;&lt;td class="td_info"&gt;0.330&lt;/td&gt;&lt;/tr&gt;&lt;tr&gt;&lt;td class="td_info"&gt;Median combined size of parks and public gardens and playing fields within 1,000 m radius (m2)&lt;/td&gt;&lt;td class="td_info"&gt;0.330&lt;/td&gt;&lt;/tr&gt;&lt;tr&gt;&lt;td class="td_info bold" rowspan="3"&gt;Housing Characteristics&lt;/td&gt;&lt;td class="td_info"&gt;Household overcrowding indicator&lt;/td&gt;&lt;td class="td_info"&gt;0.333&lt;/td&gt;&lt;td class="td_info bold" rowspan="3"&gt;0.500&lt;/td&gt;&lt;/tr&gt;&lt;tr&gt;&lt;td class="td_info"&gt;High rise homes (% households with lowest floor 5th floor or above)&lt;/td&gt;&lt;td class="td_info"&gt;0.333&lt;/td&gt;&lt;/tr&gt;&lt;tr&gt;&lt;td class="td_info"&gt;Homelessness indicator (rate per 1000 households) &lt;/td&gt;&lt;td class="td_info"&gt;0.333&lt;/td&gt;&lt;/tr&gt;&lt;/tbody&gt;&lt;/table&gt;&lt;br&gt;&lt;p&gt;&lt;b&gt;Disclaimers:&lt;/b&gt;The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 (amended July 2024)&lt;/p&gt;&lt;/div&gt;&lt;/div&gt;</t>
  </si>
  <si>
    <t>Heat disadvantage (2022)</t>
  </si>
  <si>
    <t>&lt;div class="body-1"&gt;&lt;div class="panel-body"&gt;&lt;p&gt;&lt;b&gt;Heat Disadvantage&lt;/b&gt;- combines climate data for extreme heat over the UK with Socio-Spatial Heat Vulnerability Index (SSHVI) to provide disadvantage with respect to extreme heat risk mapped on to Lower Super Output Area (LSOAs). Climate data is derived from the analysis of Kennedy-Asser et al (2022), where regional climate model simulations from the UK Climate Projects 2018 (UKCP18) are used to calculate average daily maximum temperatures for the 5% of warmest days under recent past conditions and under global mean surface temperature increases of 1.5&amp;deg;C, 2&amp;deg;C and 3&amp;deg;C compared to pre-industrial conditions. Relative Z-scores are calculated for the whole of England over all four temperature scenarios, in order to enable comparison between the scenarios. Disadvantage is calculated as an equally weighted combination of the average daily maximum temperature for 5% of hottest days in the LSOA and the SSHVI for the LSOA as a whole.&lt;/p&gt;&lt;p&gt;The table below summarises the indicators shown and their descriptions:&lt;/p&gt;&lt;table class="table_info"&gt;&lt;thead&gt;&lt;tr&gt;&lt;th class="th_info"&gt;Domain&lt;/th&gt;&lt;th class="th_info"&gt;Indicator Name&lt;/th&gt;&lt;th class="th_info"&gt;Further Information&lt;/th&gt;&lt;/tr&gt;&lt;/thead&gt;&lt;tbody&gt;&lt;tr&gt;&lt;td class="td_info" rowspan="8"&gt;Average temperature of top 5% hottest days&lt;/td&gt;&lt;td class="td_info"&gt;Recent past 30 year mean 1990 - 2019 (&amp;deg;C)&lt;/td&gt;&lt;td class="td_info"&gt;Average daily-maximum temperature of top 5% hottest days, using climate data for the recent past (1990-2019)&lt;/td&gt;&lt;/tr&gt;&lt;tr&gt;&lt;td class="td_info"&gt;1.5&amp;deg;C warmer world (&amp;deg;C)&lt;/td&gt;&lt;td class="td_info"&gt;Average daily-maximum temperature of top 5% hottest days, using climate data where global average temperatures are 1.5&amp;deg;C warmer than the preindustrial period&lt;/td&gt;&lt;/tr&gt;&lt;tr&gt;&lt;td class="td_info"&gt;2&amp;deg;C degree warmer world (&amp;deg;C)&lt;/td&gt;&lt;td class="td_info"&gt;Average daily-maximum temperature of top 5% hottest days, using climate data where global average temperatures are 2&amp;deg;C warmer than the preindustrial period&lt;/td&gt;&lt;/tr&gt;&lt;tr&gt;&lt;td class="td_info"&gt;3&amp;deg;C degree warmer world (&amp;deg;C)&lt;/td&gt;&lt;td class="td_info"&gt;Average daily-maximum temperature of top 5% hottest days, using climate data where global average temperatures are 3&amp;deg;C warmer than the preindustrial period&lt;/td&gt;&lt;/tr&gt;&lt;tr&gt;&lt;td class="td_info"&gt;Recent past 30 year mean 1990 - 2019 (All-relative Z-Score)&lt;/td&gt;&lt;td class="td_info"&gt;All-Relative Zscore of Recent past top 5% hottest days (calculated using mean and standard deviation across all scenarios)&lt;/td&gt;&lt;/tr&gt;&lt;tr&gt;&lt;td class="td_info"&gt;1.5&amp;deg;C warmer world (All-relative Z-Score)&lt;/td&gt;&lt;td class="td_info"&gt;All-Relative Zscore of 1.5&amp;deg;C warmer world top 5% hottest days (calculated using mean and standard deviation across all scenarios)&lt;/td&gt;&lt;/tr&gt;&lt;tr&gt;&lt;td class="td_info"&gt;2&amp;deg;C degree warmer world (All relative Z-Score)&lt;/td&gt;&lt;td class="td_info"&gt;All-Relative Zscore of 2&amp;deg;C warmer world top 5% hottest days (calculated using mean and standard deviation across all scenarios)&lt;/td&gt;&lt;/tr&gt;&lt;tr&gt;&lt;td class="td_info"&gt;3&amp;deg;C warmer world (All relative Z-Score)&lt;/td&gt;&lt;td class="td_info"&gt;All-Relative Zscore of 3&amp;deg;C warmer world top 5% hottest days (calculated using mean and standard deviation across all scenarios)&lt;/td&gt;&lt;/tr&gt;&lt;tr&gt;&lt;td class="td_info" rowspan="4"&gt;Heat Disadvantage&lt;/td&gt;&lt;td class="td_info"&gt;Relative heat Disadvantage, recent past 30 year mean 1990 - 2019&lt;/td&gt;&lt;td class="td_info"&gt;Final All-Relative Heat disadvantage for recent past (climate data combined with SSHVI)&lt;/td&gt;&lt;/tr&gt;&lt;tr&gt;&lt;td class="td_info"&gt;Relative heat Disadvantage, 1.5&amp;deg;C warmer world&lt;/td&gt;&lt;td class="td_info"&gt;Final All-Relative Heat disadvantage for 1.5&amp;deg;C warmer world (climate data combined with SSHVI)&lt;/td&gt;&lt;/tr&gt;&lt;tr&gt;&lt;td class="td_info"&gt;Relative heat Disadvantage, 2&amp;deg;C degree warmer world&lt;/td&gt;&lt;td class="td_info"&gt;Final All-Relative Heat disadvantage for 2.0&amp;deg;C warmer world (climate data combined with SSHVI)&lt;/td&gt;&lt;/tr&gt;&lt;tr&gt;&lt;td class="td_info"&gt;Relative heat Disadvantage, 3&amp;deg;C degree warmer world&lt;/td&gt;&lt;td class="td_info"&gt;Final All-Relative Heat disadvantage for 3.0&amp;deg;C warmer world (climate data combined with SSHVI)&lt;/td&gt;&lt;/tr&gt;&lt;/tbody&gt;&lt;/table&gt;&lt;br&gt;&lt;p&gt;All relative Z-Scores for average daily maximum temperature of top 5% hottest days and relative heat disadvantage are plotted using the following classification scheme. Positive values denote higher temperatures/disadvantage than average, values around 0 denote temperature/disadvantage is around the average for England, negative values denote lower temperatures/disadvantage:&lt;/p&gt;&lt;p&gt;&lt;table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slight-heat"&gt;&lt;/td&gt;&lt;/tr&gt;&lt;/tbody&gt;&lt;/table&gt;&lt;/p&gt;&lt;br&gt;&lt;p&gt;&lt;b&gt;Disclaimers:&lt;/b&gt;The supply of these data in no way implies or leads to an expectation of support in the use of these data. No updates or modifications will necessarily be made available. All data are as provided from the authors of the report identified above.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Version).&lt;br&gt;Updated from August 2023 to correct a z-score formula for indicator X1 in the social vulnerability index.&lt;br&gt;Updated from February 2024 with the addition of all-relative Z-scores. These are calculated using mean and standard deviation over all temperature scenarios so enable comparison between scenarios&lt;/p&gt;&lt;p&gt;&lt;b&gt;Acknowledgements:&lt;/b&gt;See the indicator metadata of the associated social vulnerability spreadsheet for relevant data acknowledgements for the inputs to this dataset.&lt;br&gt;Climate Just (2022)&lt;a href="www.climatejust.org.uk" target="_blank"&gt;www.climatejust.org.uk&lt;/a&gt;. 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target="_blank"&gt;https://data.gov.uk/dataset/lower_layer_super_output_area_lsoa_boundaries/&lt;/a&gt;.&lt;br&gt;Climate data from Kennedy-Asser, AT, et al., 2022 Environ. Res. Lett. 17 034024; raw data from Met Office Hadley Centre (2018): UKCP18 Regional Projections on a 12km grid over the UK for 1980-2080. Centre for Environmental Data Analysis.&lt;a href="https://catalogue.ceda.ac.uk/uuid/589211abeb844070a95d061c8cc7f604/" target="_blank"&gt;https://catalogue.ceda.ac.uk/uuid/589211abeb844070a95d061c8cc7f604&lt;/a&gt;&lt;br&gt;This work was funded by Friends of the Earth. Research conducted by University of Manchester.&lt;br&gt;&lt;/p&gt;&lt;/div&gt;&lt;/div&gt;</t>
  </si>
  <si>
    <t>&lt;div class="body-1"&gt;&lt;div class="panel-body"&gt;&lt;p&gt;&lt;b&gt;Sensitivity&lt;/b&gt; -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Sensitivity:&lt;/p&gt;&lt;li&gt;Age&lt;/li&gt;&lt;li&gt;Health&lt;/li&gt;&lt;br&gt;&lt;p&gt;The calculated Sensitivity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slight-heat"&gt;&lt;/td&gt;&lt;/tr&gt;&lt;/tbody&gt;&lt;/table&gt;&lt;/p&gt;&lt;br&gt;&lt;p&gt;Sensitivity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rowspan="2"&gt;Age&lt;/td&gt;&lt;td class="td_info"&gt;Young children (% people under 5 years)&lt;/td&gt;&lt;td class="td_info"&gt;Population estimation ONS 2020&lt;/td&gt;&lt;td class="td_info"&gt;Population estimation ONS Table SAPE22DT2: Mid-2019 Population Estimates for Lower Layer Super Output Areas in England and Wales by Single Year of Age and Sex, Persons &lt;/td&gt;&lt;td class="td_info"&gt;0.500&lt;/td&gt;&lt;/tr&gt;&lt;tr&gt;&lt;td class="td_info"&gt;Older people (% people over 75 years)&lt;/td&gt;&lt;td class="td_info"&gt;Population estimation ONS 2020&lt;/td&gt;&lt;td class="td_info"&gt;Population estimation ONS Table SAPE22DT2: Mid-2019 Population Estimates for Lower Layer Super Output Areas in England and Wales by Single Year of Age and Sex, Persons &lt;/td&gt;&lt;td class="td_info"&gt;0.500&lt;/td&gt;&lt;/tr&gt;&lt;tr&gt;&lt;td class="td_info bold" rowspan="6"&gt;Health&lt;/td&gt;&lt;td class="td_info"&gt;Emergency hospital admissions&lt;/td&gt;&lt;td class="td_info"&gt;IMD 2019&lt;/td&gt;&lt;td class="td_info"&gt;IMD 2019 Health Deprivation and Disability Domain:Acute Morbidity- Health and Social Care Information Centre&lt;/td&gt;&lt;td class="td_info"&gt;0.143&lt;/td&gt;&lt;/tr&gt;&lt;tr&gt;&lt;td class="td_info"&gt;Comparative illness and disability ratio&lt;/td&gt;&lt;td class="td_info"&gt;IMD 2019&lt;/td&gt;&lt;td class="td_info"&gt;IMD 2019 Health Deprivation and Disability Domain:Comparative Illness and Disability Ratio- Department for Work and Pensions&lt;/td&gt;&lt;td class="td_info"&gt;0.143&lt;/td&gt;&lt;/tr&gt;&lt;tr&gt;&lt;td class="td_info"&gt;Mood and Anxiety Disorder Indicator&lt;/td&gt;&lt;td class="td_info"&gt;IMD 2019&lt;/td&gt;&lt;td class="td_info"&gt;IMD 2019 Health Deprivation and Disability Domain:Mood and Anxiety Disorders Indicator- Office for National Statistics&lt;/td&gt;&lt;td class="td_info"&gt;0.143&lt;/td&gt;&lt;/tr&gt;&lt;tr&gt;&lt;td class="td_info"&gt;Medical and Care Residents (Score)&lt;/td&gt;&lt;td class="td_info"&gt;IMD 2019&lt;/td&gt;&lt;td class="td_info"&gt;Census 2011 (no direct update available). &lt;/td&gt;&lt;td class="td_info"&gt;0.143&lt;/td&gt;&lt;/tr&gt;&lt;tr&gt;&lt;td class="td_info"&gt;Years of Potential Life Lost (Score)&lt;/td&gt;&lt;td class="td_info"&gt;IMD 2019&lt;/td&gt;&lt;td class="td_info"&gt;IMD 2019 Health Deprivation and Disability Domain:Years of Potential Life Lost- Office for National Statistics&lt;/td&gt;&lt;td class="td_info"&gt;0.143&lt;/td&gt;&lt;/tr&gt;&lt;tr&gt;&lt;td class="td_info"&gt;Homelessness rate (rate per 1000 households)&lt;/td&gt;&lt;td class="td_info"&gt;IMD 2019&lt;/td&gt;&lt;td class="td_info"&gt;IMD 2019 Barriers Domain:Homelessness rate(rate per 1000 households)&lt;/td&gt;&lt;td class="td_info"&gt;0.143&lt;/td&gt;&lt;/tr&gt;&lt;/tbody&gt;&lt;/table&gt;&lt;br&gt;&lt;p&gt;&lt;b&gt;Disclaimers:&lt;/b&gt;The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indicator.&lt;/p&gt;&lt;/div&gt;&lt;/div&gt;</t>
  </si>
  <si>
    <t>&lt;div class="body-1"&gt;&lt;div class="panel-body"&gt;&lt;p&gt;&lt;b&gt;(In)ability to Prepare&lt;/b&gt; -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heat:&lt;/p&gt;&lt;li&gt;Income&lt;/li&gt;&lt;li&gt;Tenure&lt;/li&gt;&lt;li&gt;Language&lt;/li&gt;&lt;li&gt;Internet&lt;/li&gt;&lt;li&gt;Local knowledge&lt;/li&gt;&lt;br&gt;&lt;p&gt;The calculated Inability to Prepare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Prepare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2019&lt;/td&gt;&lt;td class="td_info"&gt;IMD 2019Employment Deprivation Domain- number of employment deprived people in an area (to be converted to % of working population) Department for Work and Pensions&lt;/td&gt;&lt;td class="td_info"&gt;0.333&lt;/td&gt;&lt;/tr&gt;&lt;tr&gt;&lt;td class="td_info"&gt;Income deprived people in an area (% of zone population)&lt;/td&gt;&lt;td class="td_info"&gt;IMD 2019&lt;/td&gt;&lt;td class="td_info"&gt;IMD 2019Income Deprivation Domain- number of income deprived people in an area (to be converted to % of zone population) Department for Work and Pensions, Her Majesty's Revenue and Customs and the Home Office&lt;/td&gt;&lt;td class="td_info"&gt;0.333&lt;/td&gt;&lt;/tr&gt;&lt;tr&gt;&lt;td class="td_info"&gt;Income deprived older people in an area (% of people 60 or over)&lt;/td&gt;&lt;td class="td_info"&gt;IMD 2019&lt;/td&gt;&lt;td class="td_info"&gt;IMD 2019 Income Deprivation Affecting Older People- number of income deprived older people in an area (to be converted to % of people 60 or over) Department for Work and Pensions&lt;/td&gt;&lt;td class="td_info"&gt;0.333&lt;/td&gt;&lt;/tr&gt;&lt;tr&gt;&lt;td class="td_info bold" rowspan="2"&gt;Tenure&lt;/td&gt;&lt;td class="td_info"&gt;Social renters (% Households renting from Social or Council landlords)&lt;/td&gt;&lt;td class="td_info"&gt;Census 2011&lt;/td&gt;&lt;td class="td_info"&gt;Census 2011 (no direct update available) &lt;/td&gt;&lt;td class="td_info"&gt;0.500&lt;/td&gt;&lt;/tr&gt;&lt;tr&gt;&lt;td class="td_info"&gt;Private renters (% Households)&lt;/td&gt;&lt;td class="td_info"&gt;Census 2011&lt;/td&gt;&lt;td class="td_info"&gt;Census 2011 (no direct update available) &lt;/td&gt;&lt;td class="td_info"&gt;0.500&lt;/td&gt;&lt;/tr&gt;&lt;tr&gt;&lt;td class="td_info bold"&gt;Language&lt;/td&gt;&lt;td class="td_info"&gt;Level of proficiency in English (% population)&lt;/td&gt;&lt;td class="td_info"&gt;Census 2011&lt;/td&gt;&lt;td class="td_info"&gt;Census 2011 (no direct update available) Census tableQS205EW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bold"&gt;Local knowledge&lt;/td&gt;&lt;td class="td_info"&gt;Population Transience (Residential Mobility Index)&lt;/td&gt;&lt;td class="td_info"&gt;CDRC 2021&lt;/td&gt;&lt;td class="td_info"&gt;CDRC Residential Mobility Index (average 2012-2020)&lt;/td&gt;&lt;td class="td_info"&gt;1.000&lt;/td&gt;&lt;/tr&gt;&lt;/tbody&gt;&lt;/table&gt;&lt;br&gt;&lt;p&gt;&lt;b&gt;Note:&lt;/b&gt; The availability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 (amended July 2024)&lt;/p&gt;&lt;/div&gt;&lt;/div&gt;</t>
  </si>
  <si>
    <t>&lt;div class="body-1"&gt;&lt;div class="panel-body"&gt;&lt;p&gt;&lt;b&gt;(In)ability to Respond&lt;/b&gt;- A person’s or community’s ability to respond to climate and extreme weather events is governed primarily by social factors. With respect to heat this includes factors such as social networks, mobility and general infrastructure. The map shows the result of an equally-weighted combination of neighbourhood-level scores for indicators within the domains associated with respect to heat:&lt;/p&gt;&lt;li&gt;Income&lt;/li&gt;&lt;li&gt;Language&lt;/li&gt;&lt;li&gt;Internet&lt;/li&gt;&lt;li&gt;Social networks&lt;/li&gt;&lt;li&gt;Mobility&lt;/li&gt;&lt;li&gt;Crime&lt;/li&gt;&lt;li&gt;General Infrastructure&lt;/li&gt;&lt;br&gt;&lt;p&gt;The calculated Inability to Respond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Respond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2019&lt;/td&gt;&lt;td class="td_info"&gt;IMD 2019Employment Deprivation Domain- number of employment deprived people in an area (to be converted to % of working population) Department for Work and Pensions&lt;/td&gt;&lt;td class="td_info"&gt;0.333&lt;/td&gt;&lt;/tr&gt;&lt;tr&gt;&lt;td class="td_info"&gt;Income deprived people in an area (% of zone population)&lt;/td&gt;&lt;td class="td_info"&gt;IMD 2019&lt;/td&gt;&lt;td class="td_info"&gt;IMD 2019Income Deprivation Domain-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class="td_info"&gt;IMD 2019&lt;/td&gt;&lt;td class="td_info"&gt;IMD 2019 Income Deprivation Affecting Older People-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 &lt;/td&gt;&lt;td class="td_info"&gt;Census 2011 (no direct update available) Census table QS205SC&lt;/td&gt;&lt;td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bold"&gt;Local knowledge&lt;/td&gt;&lt;td class="td_info"&gt;Population Transience (Residential Mobility Index)&lt;/td&gt;&lt;td class="td_info"&gt;CDRC 2021&lt;/td&gt;&lt;td class="td_info"&gt;CDRC Residential Mobility Index (average 2012-2020)&lt;/td&gt;&lt;td class="td_info"&gt;1.000&lt;/td&gt;&lt;/tr&gt;&lt;tr&gt;&lt;td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&lt;/td&gt;&lt;td class="td_info"&gt;0.500&lt;/td&gt;&lt;/tr&gt;&lt;tr&gt;&lt;td class="td_info bold" rowspan="5"&gt;Mobility &lt;/td&gt;&lt;td class="td_info"&gt;Comparative illness and disability ratio&lt;/td&gt;&lt;td class="td_info"&gt;IMD 2019&lt;/td&gt;&lt;td class="td_info"&gt;IMD 2019 Health Deprivation and Disability Domain:Comparative Illness and Disability Ratio- Department for Work and Pensions&lt;/td&gt;&lt;td class="td_info"&gt;0.200&lt;/td&gt;&lt;/tr&gt;&lt;tr&gt;&lt;td class="td_info"&gt;Medical and Care Residents (Score)&lt;/td&gt;&lt;td class="td_info"&gt;Census 2011 &lt;/td&gt;&lt;td class="td_info"&gt;Census 2011 (no direct update available)&lt;/td&gt;&lt;td class="td_info"&gt;0.200&lt;/td&gt;&lt;/tr&gt;&lt;tr&gt;&lt;td class="td_info"&gt;Lack of private transport (% households with no car or van)&lt;/td&gt;&lt;td class="td_info"&gt;Census 2011 &lt;/td&gt;&lt;td class="td_info"&gt;Census 2011 (no direct update available) % households with no car/van&lt;/td&gt;&lt;td class="td_info"&gt;0.200&lt;/td&gt;&lt;/tr&gt;&lt;tr&gt;&lt;td class="td_info"&gt;Workplace accessibility by walking or public transport (travel time, destination and origin indicators)&lt;/td&gt;&lt;td class="td_info"&gt;Journey Time Statistics, 2017&lt;/td&gt;&lt;td class="td_info"&gt;JTS0501: Travel time, destination and origin indicators for Employment centres by mode of travel, Lower Super Output Area (LSOA)&lt;/td&gt;&lt;td class="td_info"&gt;0.200&lt;/td&gt;&lt;/tr&gt;&lt;tr&gt;&lt;td class="td_info"&gt;Workplace accessibility by car (travel time, destination and origin indicators)&lt;/td&gt;&lt;td class="td_info"&gt;Journey Time Statistics, 2017&lt;/td&gt;&lt;td class="td_info"&gt;JTS0501: Travel time, destination and origin indicators for Employment centres by mode of travel, Lower Super Output Area (LSOA)&lt;/td&gt;&lt;td class="td_info"&gt;0.200&lt;/td&gt;&lt;/tr&gt;&lt;tr&gt;&lt;td class="td_info bold"&gt;Crime&lt;/td&gt;&lt;td class="td_info"&gt;Index of Multiple Deprivation crime score&lt;/td&gt;&lt;td class="td_info"&gt;IMD 2019&lt;/td&gt;&lt;td class="td_info"&gt;English indices of deprivation 2019&lt;/td&gt;&lt;td class="td_info"&gt;1.000&lt;/td&gt;&lt;/tr&gt;&lt;tr&gt;&lt;td class="td_info bold" rowspan="4"&gt;General infrastructure&lt;/td&gt;&lt;td class="td_info"&gt;Density of retail units (Number of enterprises divided by the area of MSOA)&lt;/td&gt;&lt;td class="td_info"&gt;UK Business Counts 2021&lt;/td&gt;&lt;td class="td_info"&gt;UK Business Counts - enterprises by industry and employment size band&lt;/td&gt;&lt;td class="td_info"&gt;0.250&lt;/td&gt;&lt;/tr&gt;&lt;tr&gt;&lt;td class="td_info"&gt;Change in the number of enterprises (%)&lt;/td&gt;&lt;td class="td_info"&gt;UK Business Counts 2021&lt;/td&gt;&lt;td class="td_info"&gt;UK Business Counts - enterprises by industry and employment size band&lt;/td&gt;&lt;td class="td_info"&gt;0.250&lt;/td&gt;&lt;/tr&gt;&lt;tr&gt;&lt;td class="td_info"&gt;Lack of domestic gardens (% dwellings without gardens)&lt;/td&gt;&lt;td class="td_info"&gt;ONS Greenspace &lt;/td&gt;&lt;td class="td_info"&gt;Access to public green space in Great Britain - Office for National Statistics (ons.gov.uk)&lt;/td&gt;&lt;td class="td_info"&gt;0.250&lt;/td&gt;&lt;/tr&gt;&lt;tr&gt;&lt;td class="td_info"&gt;Lack of local greenspace access (%)&lt;/td&gt;&lt;td class="td_info"&gt;ONS Greenspace&lt;/td&gt;&lt;td class="td_info"&gt;Access to public green space in Great Britain - Office for National Statistics (ons.gov.uk)&lt;/td&gt;&lt;td class="td_info"&gt;0.250&lt;/td&gt;&lt;/tr&gt;&lt;/tbody&gt;&lt;/table&gt;&lt;br&gt;&lt;p&gt;&lt;b&gt;Note:&lt;/b&gt; The availability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  (amended July 2024)&lt;/p&gt;&lt;/div&gt;&lt;/div&gt;</t>
  </si>
  <si>
    <t>&lt;div class="body-1"&gt;&lt;div class="panel-body"&gt;&lt;p&gt;&lt;b&gt;(In)ability to Recover&lt;/b&gt; -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heat:&lt;/p&gt;&lt;li&gt;Income&lt;/li&gt;&lt;li&gt;Language&lt;/li&gt;&lt;li&gt;Internet&lt;/li&gt;&lt;li&gt;Social networks&lt;/li&gt;&lt;li&gt;Mobility&lt;/li&gt;&lt;li&gt;GP access&lt;/li&gt;&lt;li&gt;Hospital access&lt;/li&gt;&lt;li&gt;Pharmacy access&lt;/li&gt;&lt;br&gt;&lt;p&gt;The calculated Inability to Recover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Recover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 &lt;/td&gt;&lt;td class="td_info"&gt;IMD 2019Employment Deprivation Domain- number of employment deprived people in an area (to be converted to % of working population) Department for Work and Pensions&lt;/td&gt;&lt;td class="td_info"&gt;0.333&lt;/td&gt;&lt;/tr&gt;&lt;tr&gt;&lt;td class="td_info"&gt;Income deprived people in an area (% of zone population)&lt;/td&gt;&lt;td class="td_info"&gt;IMD 2019 &lt;/td&gt;&lt;td class="td_info"&gt;IMD 2019Income Deprivation Domain- number of income deprived people in an area (to be converted to % of zone population) Department for Work and Pensions, Her Majesty's Revenue and Customs and the Home Office&lt;/td&gt;&lt;td class="td_info"&gt;0.333&lt;/td&gt;&lt;/tr&gt;&lt;tr&gt;&lt;td class="td_info"&gt;Income deprived older people in an area (% of people 60 or over)&lt;/td&gt;&lt;td class="td_info"&gt;IMD 2019 &lt;/td&gt;&lt;td class="td_info"&gt;IMD 2019 Income Deprivation Affecting Older People- number of income deprived older people in an area (to be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Census table QS205SC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&lt;/td&gt;&lt;td class="td_info"&gt;0.500&lt;/td&gt;&lt;/tr&gt;&lt;tr&gt;&lt;td class="td_info bold" rowspan="5"&gt;Mobility &lt;/td&gt;&lt;td class="td_info"&gt;Comparative illness and disability ratio&lt;/td&gt;&lt;td class="td_info"&gt;IMD 2019&lt;/td&gt;&lt;td class="td_info"&gt;IMD 2019 Health Deprivation and Disability Domain:Comparative Illness and Disability Ratio- Department for Work and Pensions&lt;/td&gt;&lt;td class="td_info"&gt;0.200&lt;/td&gt;&lt;/tr&gt;&lt;tr&gt;&lt;td class="td_info"&gt;Medical and Care Residents (Score)&lt;/td&gt;&lt;td class="td_info"&gt;Census 2011&lt;/td&gt;&lt;td class="td_info"&gt;Census 2011 (no direct update available) &lt;/td&gt;&lt;td class="td_info"&gt;0.200&lt;/td&gt;&lt;/tr&gt;&lt;tr&gt;&lt;td class="td_info"&gt;Lack of private transport (% households with no car or van)&lt;/td&gt;&lt;td class="td_info"&gt;Census 2011&lt;/td&gt;&lt;td class="td_info"&gt;Census 2011 (no direct update available) % households with no car/van&lt;/td&gt;&lt;td class="td_info"&gt;0.200&lt;/td&gt;&lt;/tr&gt;&lt;tr&gt;&lt;td class="td_info"&gt;Workplace accessibility by walking or public transport (travel time, destination and origin indicators)&lt;/td&gt;&lt;td class="td_info"&gt;Journey Time Statistics, 2017&lt;/td&gt;&lt;td class="td_info"&gt;JTS0501: Travel time, destination and origin indicators for Employment centres by mode of travel, Lower Super Output Area (LSOA)&lt;/td&gt;&lt;td class="td_info"&gt;0.200&lt;/td&gt;&lt;/tr&gt;&lt;tr&gt;&lt;td class="td_info"&gt;Workplace accessibility by car (travel time, destination and origin indicators)&lt;/td&gt;&lt;td class="td_info"&gt;Journey Time Statistics, 2017&lt;/td&gt;&lt;td class="td_info"&gt;JTS0501: Travel time, destination and origin indicators for Employment centres by mode of travel, Lower Super Output Area (LSOA)&lt;/td&gt;&lt;td class="td_info"&gt;0.200&lt;/td&gt;&lt;/tr&gt;&lt;tr&gt;&lt;td class="td_info bold" rowspan="4"&gt;GP Access&lt;/td&gt;&lt;td class="td_info"&gt;Travel time to nearest GP by walk/public transport (minutes)&lt;/td&gt;&lt;td class="td_info"&gt;Journey Time Statistics, 2017&lt;/td&gt;&lt;td class="td_info"&gt;Journey Time Statistics     &lt;br&gt;Table JTS0505 Travel time, destination and origin indicators for GPs by mode of travel, Lower Super Output Area (LSOA), England, 2017&lt;/td&gt;&lt;td class="td_info"&gt;0.250&lt;/td&gt;&lt;/tr&gt;&lt;tr&gt;&lt;td class="td_info"&gt;People lacking easy GP access (%)&lt;/td&gt;&lt;td class="td_info"&gt;Journey Time Statistics, 2018&lt;/td&gt;&lt;td class="td_info"&gt;Journey Time Statistics     &lt;br&gt;Table JTS0505 Travel time, destination and origin indicators for GPs by mode of travel, Lower Super Output Area (LSOA), England, 2017&lt;/td&gt;&lt;td class="td_info"&gt;0.250&lt;/td&gt;&lt;/tr&gt;&lt;tr&gt;&lt;td class="td_info"&gt;Number of GPs within 15 minutes by walk/public transport&lt;/td&gt;&lt;td class="td_info"&gt;Journey Time Statistics, 2019&lt;/td&gt;&lt;td class="td_info"&gt;Journey Time Statistics&lt;br&gt;Table JTS0505 Travel time, destination and origin indicators for GPs by mode of travel, Lower Super Output Area (LSOA), England, 2017&lt;/td&gt;&lt;td class="td_info"&gt;0.250&lt;/td&gt;&lt;/tr&gt;&lt;tr&gt;&lt;td class="td_info"&gt;Number of GPs within 15 minutes by car&lt;/td&gt;&lt;td class="td_info"&gt;Journey Time Statistics, 2020&lt;/td&gt;&lt;td class="td_info"&gt;Journey Time Statistics     &lt;br&gt;Table JTS0505 Travel time, destination and origin indicators for GPs by mode of travel, Lower Super Output Area (LSOA), England, 2017&lt;/td&gt;&lt;td class="td_info"&gt;0.250&lt;/td&gt;&lt;/tr&gt;&lt;tr&gt;&lt;td class="td_info bold" rowspan="5"&gt;Hospital Access&lt;/td&gt;&lt;td class="td_info"&gt;Travel time to nearest hospital by walk/public transport (minutes)&lt;/td&gt;&lt;td class="td_info"&gt;Journey Time Statistics, 2021&lt;/td&gt;&lt;td class="td_info"&gt;Journey Time Statistics&lt;br&gt;Table JTS0506 Travel time, destination and origin indicators for Hospitals by mode of travel, Lower Super Output Area (LSOA), England, 2017&lt;/td&gt;&lt;td class="td_info"&gt;0.200&lt;/td&gt;&lt;/tr&gt;&lt;tr&gt;&lt;td class="td_info"&gt;Travel time to nearest hospital by car (minutes)&lt;/td&gt;&lt;td class="td_info"&gt;Journey Time Statistics, 2022&lt;/td&gt;&lt;td class="td_info"&gt;Journey Time Statistics     &lt;br&gt;Table JTS0506 Travel time, destination and origin indicators for Hospitals by mode of travel, Lower Super Output Area (LSOA), England, 2017&lt;/td&gt;&lt;td class="td_info"&gt;0.200&lt;/td&gt;&lt;/tr&gt;&lt;tr&gt;&lt;td class="td_info"&gt;People lacking easy hospital access (%)&lt;/td&gt;&lt;td class="td_info"&gt;Journey Time Statistics, 2023&lt;/td&gt;&lt;td class="td_info"&gt;Journey Time Statistics&lt;br&gt;Table JTS0506 Travel time, destination and origin indicators for Hospitals by mode of travel, Lower Super Output Area (LSOA), England, 2017&lt;/td&gt;&lt;td class="td_info"&gt;0.200&lt;/td&gt;&lt;/tr&gt;&lt;tr&gt;&lt;td class="td_info"&gt;Number of hospitals within 30 minutes by walk/public transport&lt;/td&gt;&lt;td class="td_info"&gt;Journey Time Statistics, 2024&lt;/td&gt;&lt;td class="td_info"&gt;Journey Time Statistics     &lt;br&gt;Table JTS0506 Travel time, destination and origin indicators for Hospitals by mode of travel, Lower Super Output Area (LSOA), England, 2017&lt;/td&gt;&lt;td class="td_info"&gt;0.200&lt;/td&gt;&lt;/tr&gt;&lt;tr&gt;&lt;td class="td_info"&gt;Number of hospitals within 30 minutes by car&lt;/td&gt;&lt;td class="td_info"&gt;Journey Time Statistics, 2025&lt;/td&gt;&lt;td class="td_info"&gt;Journey Time Statistics&lt;br&gt;Table JTS0506 Travel time, destination and origin indicators for Hospitals by mode of travel, Lower Super Output Area (LSOA), England, 2017&lt;/td&gt;&lt;td class="td_info"&gt;0.200&lt;/td&gt;&lt;/tr&gt;&lt;tr&gt;&lt;td class="td_info bold"&gt;Pharmacy Access&lt;/td&gt;&lt;td class="td_info"&gt;Mean distance to a pharmacy (km)&lt;/td&gt;&lt;td class="td_info"&gt;CDRC Data 2021&lt;/td&gt;&lt;td class="td_info"&gt;AHAH2 (pharm_dist) Mean distance (km) to a pharmacy&lt;/td&gt;&lt;td class="td_info"&gt;1.000&lt;/td&gt;&lt;/tr&gt;&lt;/tbody&gt;&lt;/table&gt;&lt;br&gt;&lt;p&gt;&lt;b&gt;Note:&lt;/b&gt; The availability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 (amended July 2024)&lt;/p&gt;&lt;/div&gt;&lt;/div&gt;</t>
  </si>
  <si>
    <t>&lt;div class="body-1"&gt;&lt;div class="panel-body"&gt;&lt;p&gt;&lt;b&gt;Enhanced Exposure&lt;/b&gt; - Enhanced exposure refers to aspects of the physical environment, such as the availability of green space or housing characteristics, which tend to accentuate or offset the severity of extreme heat events. The map shows the result of an equally-weighted combination of neighbourhood-level scores for indicators within the domains associated with enhanced exposure with respect to heat:&lt;/p&gt;&lt;li&gt;Physical environment&lt;/li&gt;&lt;li&gt;Housing characteristics&lt;/li&gt;&lt;br&gt;&lt;p&gt;The calculated Enhanced Exposure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slight-heat"&gt;&lt;/td&gt;&lt;/tr&gt;&lt;/tbody&gt;&lt;/table&gt;&lt;/p&gt;&lt;br&gt;&lt;p&gt;Enhanced Exposure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rowspan="3"&gt;Physical Environment&lt;/td&gt;&lt;td class="td_info"&gt;Built up area (% not greenspace)&lt;/td&gt;&lt;td class="td_info"&gt;UKCEH 2021&lt;/td&gt;&lt;td class="td_info"&gt;urban land cover extracted from UKCEH Land Cover Maps . Recalculated from 2011 LSOA spatial units (2011 data) by area-weighted averages for 2011 LSOAs. high value = high enhanced exposure.&lt;/td&gt;&lt;td class="td_info"&gt;0.330&lt;/td&gt;&lt;/tr&gt;&lt;tr&gt;&lt;td class="td_info"&gt;Lack of domestic gardens (% dwellings without gardens)&lt;/td&gt;&lt;td class="td_info"&gt;ONS Greenspace&lt;/td&gt;&lt;td class="td_info"&gt;Access to public green space in Great Britain - Office for National Statistics (ons.gov.uk)&lt;/td&gt;&lt;td class="td_info"&gt;0.330&lt;/td&gt;&lt;/tr&gt;&lt;tr&gt;&lt;td class="td_info"&gt;Median combined size of parks and public gardens and playing fields within 1,000 m radius (m2)&lt;/td&gt;&lt;td class="td_info"&gt;ONS Greenspace&lt;/td&gt;&lt;td class="td_info"&gt;Access to public green space in Great Britain - Office for National Statistics (ons.gov.uk)&lt;/td&gt;&lt;td class="td_info"&gt;0.330&lt;/td&gt;&lt;/tr&gt;&lt;tr&gt;&lt;td class="td_info bold" rowspan="3"&gt;Housing Characteristics&lt;/td&gt;&lt;td class="td_info"&gt;Household overcrowding indicator&lt;/td&gt;&lt;td class="td_info"&gt;IMD 2019&lt;/td&gt;&lt;td class="td_info"&gt;IMD 2019: Household overcrowding indicator&lt;/td&gt;&lt;td class="td_info"&gt;0.333&lt;/td&gt;&lt;/tr&gt;&lt;tr&gt;&lt;td class="td_info"&gt;High rise homes (% households with lowest floor 5th floor or above)&lt;/td&gt;&lt;td class="td_info"&gt;ONS Greenspace&lt;/td&gt;&lt;td class="td_info"&gt;Access to public green space in Great Britain - Office for National Statistics (ons.gov.uk)&lt;/td&gt;&lt;td class="td_info"&gt;0.333&lt;/td&gt;&lt;/tr&gt;&lt;tr&gt;&lt;td class="td_info"&gt;Homelessness indicator (rate per 1000 households) &lt;/td&gt;&lt;td class="td_info"&gt;IMD 2019&lt;/td&gt;&lt;td class="td_info"&gt;IMD 2019: Homelessness indicator (rate per 1000 households)&lt;/td&gt;&lt;td class="td_info"&gt;0.333&lt;/td&gt;&lt;/tr&gt;&lt;/tbody&gt;&lt;/table&gt;&lt;br&gt;&lt;p&gt;&lt;b&gt;Disclaimers:&lt;/b&gt;The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indicator.&lt;/p&gt;&lt;/div&gt;&lt;/div&gt;</t>
  </si>
  <si>
    <t>Socio-Spatial Heat Vulnerability Index (Wales)</t>
  </si>
  <si>
    <t>&lt;div class="body-1"&gt;&lt;div class="panel-body"&gt;&lt;p&gt;&lt;b&gt;Socio-Spatial Heat Vulnerability Index&lt;/b&gt;(SSHVI) refers to mapped social vulnerability with respect to heat-related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SSHVI map shows the result of an equally-weighted combination of neighbourhood-level Z-scores for indicators within each of the five dimensions of socio-spatial vulnerability for each neighbourhood:&lt;/p&gt;&lt;ul&gt;&lt;li style="margin:.7rem 0"&gt;&lt;p&gt;&lt;b&gt;Sensitivity&lt;/b&gt;-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Sensitivity:&lt;/p&gt;&lt;ul&gt;&lt;li&gt;Age&lt;/li&gt;&lt;li&gt;Health&lt;/li&gt;&lt;/ul&gt;&lt;/li&gt;&lt;li style="margin:.7rem 0"&gt;&lt;p&gt;&lt;b&gt;(In)ability to Prepare&lt;/b&gt;-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heat:&lt;/p&gt;&lt;ul&gt;&lt;li&gt;Income&lt;/li&gt;&lt;li&gt;Tenure&lt;/li&gt;&lt;li&gt;Language&lt;/li&gt;&lt;li&gt;Internet&lt;/li&gt;&lt;li&gt;Local knowledge&lt;/li&gt;&lt;/ul&gt;&lt;/li&gt;&lt;li style="margin:.7rem 0"&gt;&lt;p&gt;&lt;b&gt;(In)ability to Respond&lt;/b&gt;- A person’s or community’s ability to respond to climate and extreme weather events is governed primarily by social factors. With respect to heat this includes factors such as social networks, mobility and general infrastructure. The map shows the result of an equally-weighted combination of neighbourhood-level scores for indicators within the domains associated with respect to heat:&lt;/p&gt;&lt;ul&gt;&lt;li&gt;Income&lt;/li&gt;&lt;li&gt;Language&lt;/li&gt;&lt;li&gt;Internet&lt;/li&gt;&lt;li&gt;Social networks&lt;/li&gt;&lt;li&gt;Mobility&lt;/li&gt;&lt;li&gt;Crime&lt;/li&gt;&lt;li&gt;General Infrastructure&lt;/li&gt;&lt;/ul&gt;&lt;/li&gt;&lt;li style="margin:.7rem 0"&gt;&lt;p&gt;&lt;b&gt;(In)ability to Recover&lt;/b&gt;-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heat:&lt;/p&gt;&lt;ul&gt;&lt;li&gt;Income&lt;/li&gt;&lt;li&gt;Language&lt;/li&gt;&lt;li&gt;Internet&lt;/li&gt;&lt;li&gt;Social networks&lt;/li&gt;&lt;li&gt;Mobility&lt;/li&gt;&lt;li&gt;GP access&lt;/li&gt;&lt;li&gt;Hospital access&lt;/li&gt;&lt;li&gt;Pharmacy access&lt;/li&gt;&lt;/ul&gt;&lt;/li&gt;&lt;li style="margin:.7rem 0"&gt;&lt;p&gt;&lt;b&gt;Enhanced Exposure&lt;/b&gt;- Enhanced exposure refers to aspects of the physical environment, such as the availability of green space or housing characteristics, which tend to accentuate or offset the severity of extreme heat events. The map shows the result of an equally-weighted combination of neighbourhood-level scores for indicators within the domains associated with enhanced exposure with respect to heat:&lt;/p&gt;&lt;ul&gt;&lt;li&gt;Physical environment&lt;/li&gt;&lt;li&gt;Housing characteristics&lt;/li&gt;&lt;/ul&gt;&lt;/li&gt;&lt;/ul&gt;&lt;br&gt;&lt;p&gt;The calculated SSHVI Z-Score is plotted using the following classification scheme:&lt;/p&gt;&lt;p&gt;&lt;table class="table_info"&gt;&lt;thead&gt;&lt;tr&gt;&lt;th class="th_info"&gt;Heat Vulnerability Index 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slight-heat"&gt;&lt;/td&gt;&lt;/tr&gt;&lt;/tbody&gt;&lt;/table&gt;&lt;/p&gt;&lt;br&gt;&lt;p&gt;Socio-Spatial Heat Vulnerability criteria, domains, indicators, data sources, processing details and the respective weightings of each indicator to derive the domains and criteria are summarised in the table below:&lt;/p&gt;&lt;table class="table_info"&gt;&lt;thead&gt;&lt;tr&gt;&lt;th class="th_info"&gt;Vulnerability Criteria &lt;/th&gt;&lt;th class="th_info"&gt;Domain&lt;/th&gt;&lt;th class="th_info"&gt;Indicator Name&lt;/th&gt;&lt;th class="th_info"&gt;Indicator Weight&lt;/th&gt;&lt;th class="th_info"&gt;Domain Weight&lt;/th&gt;&lt;/tr&gt;&lt;/thead&gt;&lt;tbody&gt;&lt;tr&gt;&lt;td class="td_info bold" rowspan="6"&gt;SENSITIVITY&lt;/td&gt;&lt;td class="td_info bold" rowspan="2"&gt;Age&lt;/td&gt;&lt;td class="td_info"&gt;Young children (% people under 5 years)&lt;/td&gt;&lt;td class="td_info"&gt;0.500&lt;/td&gt;&lt;td class="td_info bold" rowspan="2"&gt;0.500&lt;/td&gt;&lt;/tr&gt;&lt;tr&gt;&lt;td class="td_info"&gt;Older people (% people over 75 years)&lt;/td&gt;&lt;td class="td_info"&gt;0.500&lt;/td&gt;&lt;/tr&gt;&lt;tr&gt;&lt;td class="td_info bold" rowspan="4"&gt;Health&lt;/td&gt;&lt;td class="td_info"&gt;Rate of emergency admission to hospital&lt;/td&gt;&lt;td class="td_info"&gt;0.250&lt;/td&gt;&lt;td class="td_info bold" rowspan="4"&gt;0.500&lt;/td&gt;&lt;/tr&gt;&lt;tr&gt;&lt;td class="td_info"&gt;Comparative illness and disability ratio&lt;/td&gt;&lt;td class="td_info"&gt;0.250&lt;/td&gt;&lt;/tr&gt;&lt;tr&gt;&lt;td class="td_info"&gt;Mood and Anxiety Disorder Indicator&lt;/td&gt;&lt;td class="td_info"&gt;0.250&lt;/td&gt;&lt;/tr&gt;&lt;tr&gt;&lt;td class="td_info"&gt;Medical and Care Residents (Score)&lt;/td&gt;&lt;td class="td_info"&gt;0.250&lt;/td&gt;&lt;/tr&gt;&lt;tr&gt;&lt;td class="td_info bold" rowspan="9"&gt;INABILITY TO PREPARE&lt;/td&gt;&lt;td class="td_info bold" rowspan="3"&gt;Income &lt;/td&gt;&lt;td class="td_info"&gt;Employment deprived people in an area (% of working population)&lt;/td&gt;&lt;td class="td_info"&gt;0.333&lt;/td&gt;&lt;td class="td_info bold" rowspan="3"&gt;0.200&lt;/td&gt;&lt;/tr&gt;&lt;tr&gt;&lt;td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 rowspan="2"&gt;Tenure&lt;/td&gt;&lt;td class="td_info"&gt;Social renters (% Households renting from Social or Council landlords)&lt;/td&gt;&lt;td class="td_info"&gt;0.500&lt;/td&gt;&lt;td class="td_info bold" rowspan="2"&gt;0.200&lt;/td&gt;&lt;/tr&gt;&lt;tr&gt;&lt;td class="td_info"&gt;Private renters (% Households)&lt;/td&gt;&lt;td class="td_info"&gt;0.500&lt;/td&gt;&lt;/tr&gt;&lt;tr&gt;&lt;td class="td_info bold"&gt;Language&lt;/td&gt;&lt;td class="td_info"&gt;Level of proficiency in English (% population)&lt;/td&gt;&lt;td class="td_info"&gt;1.000&lt;/td&gt;&lt;td class="td_info bold"&gt;0.200&lt;/td&gt;&lt;/tr&gt;&lt;tr&gt;&lt;td class="td_info bold" rowspan="2"&gt;Internet&lt;/td&gt;&lt;td class="td_info"&gt;Sub-standard Broadband (% premises below the Universal Service Obligation)&lt;/td&gt;&lt;td class="td_info"&gt;0.500&lt;/td&gt;&lt;td class="td_info bold" rowspan="2"&gt;0.200&lt;/td&gt;&lt;/tr&gt;&lt;tr&gt;&lt;td class="td_info"&gt;Lack of superfast broadband (% Premises)&lt;/td&gt;&lt;td class="td_info"&gt;0.500&lt;/td&gt;&lt;/tr&gt;&lt;tr&gt;&lt;td class="td_info bold"&gt;Local knowledge&lt;/td&gt;&lt;td class="td_info"&gt;Population Transience (Residential Mobility Index)&lt;/td&gt;&lt;td class="td_info"&gt;1.000&lt;/td&gt;&lt;td class="td_info bold"&gt;0.200&lt;/td&gt;&lt;/tr&gt;&lt;tr&gt;&lt;td class="td_info bold" rowspan="15"&gt;INABILITY TO RESPOND&lt;/td&gt;&lt;td class="td_info bold" rowspan="3"&gt;Income &lt;/td&gt;&lt;td class="td_info"&gt;Employment deprived people in an area (% of working population)&lt;/td&gt;&lt;td class="td_info"&gt;0.333&lt;/td&gt;&lt;td class="td_info bold" rowspan="3"&gt;0.125&lt;/td&gt;&lt;/tr&gt;&lt;tr&gt;&lt;td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bold"&gt;0.125&lt;/td&gt;&lt;/tr&gt;&lt;tr&gt;&lt;td class="td_info bold" rowspan="2"&gt;Internet&lt;/td&gt;&lt;td class="td_info"&gt;Sub-standard Broadband (% premises below the Universal Service Obligation)&lt;/td&gt;&lt;td class="td_info"&gt;0.500&lt;/td&gt;&lt;td class="td_info bold" rowspan="2"&gt;0.125&lt;/td&gt;&lt;/tr&gt;&lt;tr&gt;&lt;td class="td_info"&gt;Lack of superfast broadband (% Premises)&lt;/td&gt;&lt;td class="td_info"&gt;0.500&lt;/td&gt;&lt;/tr&gt;&lt;tr&gt;&lt;td class="td_info bold"&gt;Local knowledge&lt;/td&gt;&lt;td class="td_info"&gt;Population Transience (Residential Mobility Index)&lt;/td&gt;&lt;td class="td_info"&gt;1.000&lt;/td&gt;&lt;td class="td_info bold"&gt;0.125&lt;/td&gt;&lt;/tr&gt;&lt;tr&gt;&lt;td class="td_info bold" rowspan="2"&gt;Social networks &lt;/td&gt;&lt;td class="td_info"&gt;Single pensioner households (%)&lt;/td&gt;&lt;td class="td_info"&gt;0.500&lt;/td&gt;&lt;td class="td_info bold" rowspan="2"&gt;0.125&lt;/td&gt;&lt;/tr&gt;&lt;tr&gt;&lt;td class="td_info"&gt;Lack of school-related networks (% children not of primary school age)&lt;/td&gt;&lt;td class="td_info"&gt;0.500&lt;/td&gt;&lt;/tr&gt;&lt;tr&gt;&lt;td class="td_info bold" rowspan="3"&gt;Mobility &lt;/td&gt;&lt;td class="td_info"&gt;Comparative illness and disability ratio&lt;/td&gt;&lt;td class="td_info"&gt;0.333&lt;/td&gt;&lt;td class="td_info bold" rowspan="3"&gt;0.125&lt;/td&gt;&lt;/tr&gt;&lt;tr&gt;&lt;td class="td_info"&gt;Medical and Care Residents (Score)&lt;/td&gt;&lt;td class="td_info"&gt;0.333&lt;/td&gt;&lt;/tr&gt;&lt;tr&gt;&lt;td class="td_info"&gt;Lack of private transport (% households with no car or van)&lt;/td&gt;&lt;td class="td_info"&gt;0.333&lt;/td&gt;&lt;/tr&gt;&lt;tr&gt;&lt;td class="td_info bold"&gt;Crime&lt;/td&gt;&lt;td class="td_info"&gt;Index of Multiple Deprivation crime&lt;/td&gt;&lt;td class="td_info"&gt;1.000&lt;/td&gt;&lt;td class="td_info bold"&gt;0.125&lt;/td&gt;&lt;/tr&gt;&lt;tr&gt;&lt;td class="td_info bold" rowspan="2"&gt;General Infrastructure&lt;/td&gt;&lt;td class="td_info"&gt;Lack of domestic gardens (% dwellings without gardens)&lt;/td&gt;&lt;td class="td_info"&gt;0.500&lt;/td&gt;&lt;td class="td_info bold" rowspan="2"&gt;0.125&lt;/td&gt;&lt;/tr&gt;&lt;tr&gt;&lt;td class="td_info"&gt;Lack of local greenspace access (% households)&lt;/td&gt;&lt;td class="td_info"&gt;0.500&lt;/td&gt;&lt;/tr&gt;&lt;tr&gt;&lt;td class="td_info bold" rowspan="16"&gt;INABILITY TO RECOVER&lt;/td&gt;&lt;td class="td_info bold" rowspan="3"&gt;Income &lt;/td&gt;&lt;td class="td_info"&gt;Employment deprived people in an area (% of working population)&lt;/td&gt;&lt;td class="td_info"&gt;0.333&lt;/td&gt;&lt;td class="td_info bold" rowspan="3"&gt;0.125&lt;/td&gt;&lt;/tr&gt;&lt;tr&gt;&lt;td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bold"&gt;0.125&lt;/td&gt;&lt;/tr&gt;&lt;tr&gt;&lt;td class="td_info bold" rowspan="2"&gt;Internet&lt;/td&gt;&lt;td class="td_info"&gt;Sub-standard Broadband (% premises below the Universal Service Obligation)&lt;/td&gt;&lt;td class="td_info"&gt;0.500&lt;/td&gt;&lt;td class="td_info bold" rowspan="2"&gt;0.125&lt;/td&gt;&lt;/tr&gt;&lt;tr&gt;&lt;td class="td_info"&gt;Lack of superfast broadband (% Premises)&lt;/td&gt;&lt;td class="td_info"&gt;0.500&lt;/td&gt;&lt;/tr&gt;&lt;tr&gt;&lt;td class="td_info bold" rowspan="2"&gt;Social networks &lt;/td&gt;&lt;td class="td_info"&gt;Single pensioner households (%)&lt;/td&gt;&lt;td class="td_info"&gt;0.500&lt;/td&gt;&lt;td class="td_info bold" rowspan="2"&gt;0.125&lt;/td&gt;&lt;/tr&gt;&lt;tr&gt;&lt;td class="td_info"&gt;Lack of school-related networks (% children not of primary school age)&lt;/td&gt;&lt;td class="td_info"&gt;0.500&lt;/td&gt;&lt;/tr&gt;&lt;tr&gt;&lt;td class="td_info bold" rowspan="3"&gt;Mobility &lt;/td&gt;&lt;td class="td_info"&gt;Comparative illness and disability ratio&lt;/td&gt;&lt;td class="td_info"&gt;0.333&lt;/td&gt;&lt;td class="td_info bold" rowspan="3"&gt;0.125&lt;/td&gt;&lt;/tr&gt;&lt;tr&gt;&lt;td class="td_info"&gt;Medical and Care Residents (Score)&lt;/td&gt;&lt;td class="td_info"&gt;0.333&lt;/td&gt;&lt;/tr&gt;&lt;tr&gt;&lt;td class="td_info"&gt;Lack of private transport (% households with no car or van)&lt;/td&gt;&lt;td class="td_info"&gt;0.333&lt;/td&gt;&lt;/tr&gt;&lt;tr&gt;&lt;td class="td_info bold" rowspan="2"&gt;GP Access&lt;/td&gt;&lt;td class="td_info"&gt;Average return travel time to a GP by public transport (minutes)&lt;/td&gt;&lt;td class="td_info"&gt;0.500&lt;/td&gt;&lt;td class="td_info bold" rowspan="2"&gt;0.125&lt;/td&gt;&lt;/tr&gt;&lt;tr&gt;&lt;td class="td_info"&gt;Average return travel time to a GP by private transport (minutes)&lt;/td&gt;&lt;td class="td_info"&gt;0.500&lt;/td&gt;&lt;/tr&gt;&lt;tr&gt;&lt;td class="td_info bold"&gt;Hospital Access&lt;/td&gt;&lt;td class="td_info"&gt;Mean distance to nearest A andE Hospital (km)&lt;/td&gt;&lt;td class="td_info"&gt;1.000&lt;/td&gt;&lt;td class="td_info bold"&gt;0.125&lt;/td&gt;&lt;/tr&gt;&lt;tr&gt;&lt;td class="td_info bold" rowspan="2"&gt;Pharmacy Access&lt;/td&gt;&lt;td class="td_info"&gt;Average return travel time to a Pharmacy by public transport (minutes)&lt;/td&gt;&lt;td class="td_info"&gt;0.500&lt;/td&gt;&lt;td class="td_info bold" rowspan="2"&gt;0.125&lt;/td&gt;&lt;/tr&gt;&lt;tr&gt;&lt;td class="td_info"&gt;Average return travel time to a Pharmacy by private transport (minutes)&lt;/td&gt;&lt;td class="td_info"&gt;0.500&lt;/td&gt;&lt;/tr&gt;&lt;tr&gt;&lt;td class="td_info bold" rowspan="5"&gt;ENHANCED EXPOSURE&lt;/td&gt;&lt;td class="td_info bold" rowspan="3"&gt;Physical Environment&lt;/td&gt;&lt;td class="td_info"&gt;Built up area (% not greenspace)&lt;/td&gt;&lt;td class="td_info"&gt;0.330&lt;/td&gt;&lt;td class="td_info bold" rowspan="3"&gt;0.500&lt;/td&gt;&lt;/tr&gt;&lt;tr&gt;&lt;td class="td_info"&gt;Lack of domestic gardens (% dwellings without gardens)&lt;/td&gt;&lt;td class="td_info"&gt;0.330&lt;/td&gt;&lt;/tr&gt;&lt;tr&gt;&lt;td class="td_info"&gt;Median combined size of parks and public gardens and playing fields within 1,000 m radius (m2)&lt;/td&gt;&lt;td class="td_info"&gt;0.330&lt;/td&gt;&lt;/tr&gt;&lt;tr&gt;&lt;td class="td_info bold" rowspan="2"&gt;Housing Characteristics&lt;/td&gt;&lt;td class="td_info"&gt;People in overcrowded households (%)&lt;/td&gt;&lt;td class="td_info"&gt;0.500&lt;/td&gt;&lt;td class="td_info bold" rowspan="2"&gt;0.500&lt;/td&gt;&lt;/tr&gt;&lt;tr&gt;&lt;td class="td_info"&gt;Number of flats without gardens (Proxy for high-rise flats)&lt;/td&gt;&lt;td class="td_info"&gt;0.500&lt;/td&gt;&lt;/tr&gt;&lt;/tbody&gt;&lt;/table&gt;&lt;br&gt;&lt;p&gt;&lt;b&gt;Disclaimers:&lt;/b&gt;The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</si>
  <si>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class="panel-body"&gt;&lt;p&gt;&lt;b&gt;Heat Disadvantage&lt;/b&gt;- combines climate data for extreme heat over the UK with Socio-Spatial Heat Vulnerability Index (SSHVI) to provide disadvantage with respect to extreme heat risk mapped on to Lower Super Output Area (LSOAs). Climate data is derived from the analysis of Kennedy-Asser et al (2022), where regional climate model simulations from the UK Climate Projects 2018 (UKCP18) are used to calculate average daily maximum temperatures for the 5% of warmest days under recent past conditions and under global mean surface temperature increases of 1.5&amp;deg;C, 2&amp;deg;C and 3&amp;deg;C compared to pre-industrial conditions. Relative Z-scores are calculated for the whole of Wales over all four temperature scenarios, in order to enable comparison between the scenarios. Disadvantage is calculated as an equally weighted combination of the average daily maximum temperature for 5% of hottest days in the LSOA and the SSHVI for the LSOA as a whole.&lt;/p&gt;&lt;p&gt;The table below summarises the indicators shown and their descriptions:&lt;/p&gt;&lt;table class="table_info"&gt;&lt;thead&gt;&lt;tr&gt;&lt;th class="th_info"&gt;Domain&lt;/th&gt;&lt;th class="th_info"&gt;Indicator Name&lt;/th&gt;&lt;th class="th_info"&gt;Further Information&lt;/th&gt;&lt;/tr&gt;&lt;/thead&gt;&lt;tbody&gt;&lt;tr&gt;&lt;td class="td_info" rowspan="8"&gt;Average temperature of top 5% hottest days&lt;/td&gt;&lt;td class="td_info"&gt;Recent past 30 year mean 1990 - 2019 (&amp;deg;C)&lt;/td&gt;&lt;td class="td_info"&gt;Average daily-maximum temperature of top 5% hottest days, using climate data for the recent past (1990-2019)&lt;/td&gt;&lt;/tr&gt;&lt;tr&gt;&lt;td class="td_info"&gt;1.5&amp;deg;C warmer world (&amp;deg;C)&lt;/td&gt;&lt;td class="td_info"&gt;Average daily-maximum temperature of top 5% hottest days, using climate data where global average temperatures are 1.5&amp;deg;C warmer than the preindustrial period&lt;/td&gt;&lt;/tr&gt;&lt;tr&gt;&lt;td class="td_info"&gt;2&amp;deg;C degree warmer world (&amp;deg;C)&lt;/td&gt;&lt;td class="td_info"&gt;Average daily-maximum temperature of top 5% hottest days, using climate data where global average temperatures are 2&amp;deg;C warmer than the preindustrial period&lt;/td&gt;&lt;/tr&gt;&lt;tr&gt;&lt;td class="td_info"&gt;3&amp;deg;C degree warmer world (&amp;deg;C)&lt;/td&gt;&lt;td class="td_info"&gt;Average daily-maximum temperature of top 5% hottest days, using climate data where global average temperatures are 3&amp;deg;C warmer than the preindustrial period&lt;/td&gt;&lt;/tr&gt;&lt;tr&gt;&lt;td class="td_info"&gt;Recent past 30 year mean 1990 - 2019 (All-relative Z-Score)&lt;/td&gt;&lt;td class="td_info"&gt;All-Relative Zscore of Recent past top 5% hottest days (calculated using mean and standard deviation across all scenarios)&lt;/td&gt;&lt;/tr&gt;&lt;tr&gt;&lt;td class="td_info"&gt;1.5&amp;deg;C warmer world (All-relative Z-Score)&lt;/td&gt;&lt;td class="td_info"&gt;All-Relative Zscore of 1.5&amp;deg;C warmer world top 5% hottest days (calculated using mean and standard deviation across all scenarios)&lt;/td&gt;&lt;/tr&gt;&lt;tr&gt;&lt;td class="td_info"&gt;2&amp;deg;C degree warmer world (All relative Z-Score)&lt;/td&gt;&lt;td class="td_info"&gt;All-Relative Zscore of 2&amp;deg;C warmer world top 5% hottest days (calculated using mean and standard deviation across all scenarios)&lt;/td&gt;&lt;/tr&gt;&lt;tr&gt;&lt;td class="td_info"&gt;3&amp;deg;C warmer world (All relative Z-Score)&lt;/td&gt;&lt;td class="td_info"&gt;All-Relative Zscore of 3&amp;deg;C warmer world top 5% hottest days (calculated using mean and standard deviation across all scenarios)&lt;/td&gt;&lt;/tr&gt;&lt;tr&gt;&lt;td class="td_info" rowspan="4"&gt;Heat Disadvantage&lt;/td&gt;&lt;td class="td_info"&gt;Relative heat Disadvantage, recent past 30 year mean 1990 - 2019&lt;/td&gt;&lt;td class="td_info"&gt;Final All-Relative Heat disadvantage for recent past (climate data combined with SSHVI)&lt;/td&gt;&lt;/tr&gt;&lt;tr&gt;&lt;td class="td_info"&gt;Relative heat Disadvantage, 1.5&amp;deg;C warmer world&lt;/td&gt;&lt;td class="td_info"&gt;Final All-Relative Heat disadvantage for 1.5&amp;deg;C warmer world (climate data combined with SSHVI)&lt;/td&gt;&lt;/tr&gt;&lt;tr&gt;&lt;td class="td_info"&gt;Relative heat Disadvantage, 2&amp;deg;C degree warmer world&lt;/td&gt;&lt;td class="td_info"&gt;Final All-Relative Heat disadvantage for 2.0&amp;deg;C warmer world (climate data combined with SSHVI)&lt;/td&gt;&lt;/tr&gt;&lt;tr&gt;&lt;td class="td_info"&gt;Relative heat Disadvantage, 3&amp;deg;C degree warmer world&lt;/td&gt;&lt;td class="td_info"&gt;Final All-Relative Heat disadvantage for 3.0&amp;deg;C warmer world (climate data combined with SSHVI)&lt;/td&gt;&lt;/tr&gt;&lt;/tbody&gt;&lt;/table&gt;&lt;br&gt;&lt;p&gt;All relative Z-Scores for average daily maximum temperature of top 5% hottest days and relative heat disadvantage are plotted using the following classification scheme. Positive values denote higher temperatures/disadvantage than average, values around 0 denote temperature/disadvantage is around the average for Wales, negative values denote lower temperatures/disadvantage:&lt;/p&gt;&lt;p&gt;&lt;table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slight-heat"&gt;&lt;/td&gt;&lt;/tr&gt;&lt;/tbody&gt;&lt;/table&gt;&lt;/p&gt;&lt;br&gt;&lt;p&gt;&lt;b&gt;Disclaimers:&lt;/b&gt;The supply of these data in no way implies or leads to an expectation of support in the use of these data. No updates or modifications will necessarily be made available. All data are as provided from the authors of the report identified above.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acknoweldgements.&lt;br&gt;Autumn, 2023 (2022 Version).&lt;br&gt;Updated from February 2024 with the addition of all-relative Z-scores. These are calculated using mean and standard deviation over all temperature scenarios so enable comparison between scenarios&lt;/p&gt;&lt;p&gt;&lt;b&gt;Acknowledgements:&lt;/b&gt;See the indicator metadata of the associated social vulnerability spreadsheet for relevant data acknowledgements for the inputs to this dataset.&lt;br&gt;Climate Just (2022)&lt;a href="www.climatejust.org.uk" target="_blank"&gt;www.climatejust.org.uk&lt;/a&gt;. 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target="_blank"&gt;https://data.gov.uk/dataset/lower_layer_super_output_area_lsoa_boundaries/&lt;/a&gt;.&lt;br&gt;Climate data from Kennedy-Asser, AT, et al., 2022 Environ. Res. Lett. 17 034024; raw data from Met Office Hadley Centre (2018): UKCP18 Regional Projections on a 12km grid over the UK for 1980-2080. Centre for Environmental Data Analysis.&lt;a href="https://catalogue.ceda.ac.uk/uuid/589211abeb844070a95d061c8cc7f604/" target="_blank"&gt;https://catalogue.ceda.ac.uk/uuid/589211abeb844070a95d061c8cc7f604&lt;/a&gt;&lt;br&gt;This work was funded by Friends of the Earth. Research conducted by University of Manchester.&lt;br&gt;&lt;/p&gt;&lt;/div&gt;&lt;/div&gt;</t>
  </si>
  <si>
    <t>&lt;div class="body-1"&gt;&lt;div class="panel-body"&gt;&lt;p&gt;&lt;b&gt;Sensitivity&lt;/b&gt; -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Sensitivity:&lt;/p&gt;&lt;li&gt;Age&lt;/li&gt;&lt;li&gt;Health&lt;/li&gt;&lt;br&gt;&lt;p&gt;The calculated Sensitivity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slight-heat"&gt;&lt;/td&gt;&lt;/tr&gt;&lt;/tbody&gt;&lt;/table&gt;&lt;/p&gt;&lt;br&gt;&lt;p&gt;Sensitivity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rowspan="2"&gt;Age&lt;/td&gt;&lt;td class="td_info"&gt;Young children (% people under 5 years)&lt;/td&gt;&lt;td class="td_info"&gt;Population estimation ONS Table SAPE22DT2&lt;/td&gt;&lt;td class="td_info"&gt;Mid-2019 Population Estimates for Lower Layer Super Output Areas in England and Wales by Single Year of Age and Sex, Persons &lt;/td&gt;&lt;td class="td_info"&gt;0.500&lt;/td&gt;&lt;/tr&gt;&lt;tr&gt;&lt;td class="td_info"&gt;Older people (% people over 75 years)&lt;/td&gt;&lt;td class="td_info"&gt;Population estimation ONS Table SAPE22DT2&lt;/td&gt;&lt;td class="td_info"&gt;Mid-2019 Population Estimates for Lower Layer Super Output Areas in England and Wales by Single Year of Age and Sex, Persons &lt;/td&gt;&lt;td class="td_info"&gt;0.500&lt;/td&gt;&lt;/tr&gt;&lt;tr&gt;&lt;td class="td_info bold" rowspan="4"&gt;Health&lt;/td&gt;&lt;td class="td_info"&gt;Rate of emergency admission to hospital&lt;/td&gt;&lt;td class="td_info"&gt;Welsh Index of Multiple Deprivation, Welsh Government 2019&lt;/td&gt;&lt;td class="td_info"&gt;Health Deprivation and Disability Domain: Premature death (rate per 100,000)&lt;/td&gt;&lt;td class="td_info"&gt;0.250&lt;/td&gt;&lt;/tr&gt;&lt;tr&gt;&lt;td class="td_info"&gt;Comparative illness and disability ratio&lt;/td&gt;&lt;td class="td_info"&gt;Welsh Index of Multiple Deprivation, Welsh Government 2019&lt;/td&gt;&lt;td class="td_info"&gt;Health Deprivation and Disability Domain: GP-recorded chronic condition (rate per 100)&lt;/td&gt;&lt;td class="td_info"&gt;0.250&lt;/td&gt;&lt;/tr&gt;&lt;tr&gt;&lt;td class="td_info"&gt;Mood and Anxiety Disorder Indicator&lt;/td&gt;&lt;td class="td_info"&gt;Welsh Index of Multiple Deprivation, Welsh Government 2019&lt;/td&gt;&lt;td class="td_info"&gt;Health Deprivation and Disability Domain: GP-recorded mental health condition (rate per 100). New Indicator&lt;/td&gt;&lt;td class="td_info"&gt;0.250&lt;/td&gt;&lt;/tr&gt;&lt;tr&gt;&lt;td class="td_info"&gt;Medical and Care Residents (Score)&lt;/td&gt;&lt;td class="td_info"&gt;Census table QS421SC&lt;/td&gt;&lt;td class="td_info"&gt;(uses indicator m2 from Sayers et al). Dated information, less reliable&lt;/td&gt;&lt;td class="td_info"&gt;0.250&lt;/td&gt;&lt;/tr&gt;&lt;/tbody&gt;&lt;/table&gt;&lt;br&gt;&lt;p&gt;&lt;b&gt;Disclaimers:&lt;/b&gt;The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</si>
  <si>
    <t>&lt;div class="body-1"&gt;&lt;div class="panel-body"&gt;&lt;p&gt;&lt;b&gt;(In)ability to Prepare&lt;/b&gt; -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heat:&lt;/p&gt;&lt;li&gt;Income&lt;/li&gt;&lt;li&gt;Tenure&lt;/li&gt;&lt;li&gt;Language&lt;/li&gt;&lt;li&gt;Internet&lt;/li&gt;&lt;li&gt;Local knowledge&lt;/li&gt;&lt;br&gt;&lt;p&gt;The calculated Inability to Prepare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Prepare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 rowspan="2"&gt;Tenure&lt;/td&gt;&lt;td class="td_info"&gt;Social renters (% Households renting from Social or Council landlords)&lt;/td&gt;&lt;td class="td_info"&gt;Census 2011&lt;/td&gt;&lt;td class="td_info"&gt;Census 2011 (no direct update available) &lt;/td&gt;&lt;td class="td_info"&gt;0.500&lt;/td&gt;&lt;/tr&gt;&lt;tr&gt;&lt;td class="td_info"&gt;Private renters (% Households)&lt;/td&gt;&lt;td class="td_info"&gt;Census 2011&lt;/td&gt;&lt;td class="td_info"&gt;Census 2011 (no direct update available) &lt;/td&gt;&lt;td class="td_info"&gt;0.500&lt;/td&gt;&lt;/tr&gt;&lt;tr&gt;&lt;td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note).&lt;/td&gt;&lt;td class="td_info"&gt;0.500&lt;/td&gt;&lt;/tr&gt;&lt;tr&gt;&lt;td class="td_info bold"&gt;Local knowledge&lt;/td&gt;&lt;td class="td_info"&gt;Population Transience (Residential Mobility Index)&lt;/td&gt;&lt;td class="td_info"&gt;CDRC 2021&lt;/td&gt;&lt;td class="td_info"&gt;Consumer Data Research Centre (CDRC) Residential Mobility Index (average 2012-2020)&lt;/td&gt;&lt;td class="td_info"&gt;1.000&lt;/td&gt;&lt;/tr&gt;&lt;/tbody&gt;&lt;/table&gt;&lt;br&gt;&lt;p&gt;&lt;b&gt;Note:&lt;/b&gt;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</si>
  <si>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class="panel-body"&gt;&lt;p&gt;&lt;b&gt;(In)ability to Respond&lt;/b&gt; - A person’s or community’s ability to respond to climate and extreme weather events is governed primarily by social factors. With respect to heat this includes factors such as social networks, mobility and general infrastructure. The map shows the result of an equally-weighted combination of neighbourhood-level scores for indicators within the domains associated with respect to heat:&lt;/p&gt;&lt;li&gt;Income&lt;/li&gt;&lt;li&gt;Language&lt;/li&gt;&lt;li&gt;Internet&lt;/li&gt;&lt;li&gt;Social networks&lt;/li&gt;&lt;li&gt;Mobility&lt;/li&gt;&lt;li&gt;Crime&lt;/li&gt;&lt;li&gt;General Infrastructure&lt;/li&gt;&lt;br&gt;&lt;p&gt;The calculated Inability to Respond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Respond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note).&lt;/td&gt;&lt;td class="td_info"&gt;0.500&lt;/td&gt;&lt;/tr&gt;&lt;tr&gt;&lt;td class="td_info bold"&gt;Local knowledge&lt;/td&gt;&lt;td class="td_info"&gt;Population Transience (Residential Mobility Index)&lt;/td&gt;&lt;td class="td_info"&gt;CDRC 2021&lt;/td&gt;&lt;td class="td_info"&gt;Consumer Data Research Centre (CDRC) Residential Mobility Index (average 2012-2020)&lt;/td&gt;&lt;td class="td_info"&gt;1.000&lt;/td&gt;&lt;/tr&gt;&lt;tr&gt;&lt;td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Reversed (100-% children 4-11)&lt;/td&gt;&lt;td class="td_info"&gt;0.500&lt;/td&gt;&lt;/tr&gt;&lt;tr&gt;&lt;td class="td_info bold" rowspan="3"&gt;Mobility &lt;/td&gt;&lt;td class="td_info"&gt;Comparative illness and disability ratio&lt;/td&gt;&lt;td class="td_info"&gt;Census 2011&lt;/td&gt;&lt;td class="td_info"&gt;Census 2011 (no direct update available) % households with no car/van. Reversed (100-% car ownership)&lt;/td&gt;&lt;td class="td_info"&gt;0.333&lt;/td&gt;&lt;/tr&gt;&lt;tr&gt;&lt;td class="td_info"&gt;Medical and Care Residents (Score)&lt;/td&gt;&lt;td class="td_info"&gt;Welsh Index of Multiple Deprivation, Welsh Government 2019&lt;/td&gt;&lt;td class="td_info"&gt;Community Safety Domain Welsh Index of Multiple Deprivation, Welsh Government. high score/ratio = high vulnerability&lt;/td&gt;&lt;td class="td_info"&gt;0.333&lt;/td&gt;&lt;/tr&gt;&lt;tr&gt;&lt;td class="td_info"&gt;Lack of private transport (% households with no car or van)&lt;/td&gt;&lt;td class="td_info"&gt;Census 2011 &lt;/td&gt;&lt;td class="td_info"&gt;Census 2011 (no direct update available) % households with no car/van&lt;/td&gt;&lt;td class="td_info"&gt;0.333&lt;/td&gt;&lt;/tr&gt;&lt;tr&gt;&lt;td class="td_info bold"&gt;Crime&lt;/td&gt;&lt;td class="td_info"&gt;Index of Multiple Deprivation crime&lt;/td&gt;&lt;td class="td_info"&gt;Welsh Index of Multiple Deprivation, Welsh Government 2019&lt;/td&gt;&lt;td class="td_info"&gt;Community Safety Domain Welsh Index of Multiple Deprivation, Welsh Government. high score/ratio = high vulnerability&lt;/td&gt;&lt;td class="td_info"&gt;1.000&lt;/td&gt;&lt;/tr&gt;&lt;tr&gt;&lt;td class="td_info bold" rowspan="2"&gt;General Infrastructure&lt;/td&gt;&lt;td class="td_info"&gt;Lack of domestic gardens (% dwellings without gardens)&lt;/td&gt;&lt;td class="td_info"&gt;ONS Greenspace&lt;/td&gt;&lt;td class="td_info"&gt;ONS Greenspace - % dwellings without gardens&lt;/td&gt;&lt;td class="td_info"&gt;0.500&lt;/td&gt;&lt;/tr&gt;&lt;tr&gt;&lt;td class="td_info"&gt;Lack of local greenspace access (% households)&lt;/td&gt;&lt;td class="td_info"&gt;Welsh Index of Multiple Deprivation, Welsh Government 2019&lt;/td&gt;&lt;td class="td_info"&gt;Welsh Index of Multiple Deprivation, Welsh Government Proximity to accessible natural green space score (% of households) Reversed&lt;/td&gt;&lt;td class="td_info"&gt;0.500&lt;/td&gt;&lt;/tr&gt;&lt;/tbody&gt;&lt;/table&gt;&lt;br&gt;&lt;p&gt;&lt;b&gt;Note:&lt;/b&gt;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</si>
  <si>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class="panel-body"&gt;&lt;p&gt;&lt;b&gt;(In)ability to Recover&lt;/b&gt; -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heat:&lt;/p&gt;&lt;li&gt;Income&lt;/li&gt;&lt;li&gt;Language&lt;/li&gt;&lt;li&gt;Internet&lt;/li&gt;&lt;li&gt;Social networks&lt;/li&gt;&lt;li&gt;Mobility&lt;/li&gt;&lt;li&gt;GP access&lt;/li&gt;&lt;li&gt;Hospital access&lt;/li&gt;&lt;li&gt;Pharmacy access&lt;/li&gt;&lt;br&gt;&lt;p&gt;The calculated Inability to Recover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Recover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 &lt;/td&gt;&lt;td class="td_info"&gt;0.500&lt;/td&gt;&lt;/tr&gt;&lt;tr&gt;&lt;td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Reversed (100-% children 4-11)&lt;/td&gt;&lt;td class="td_info"&gt;0.500&lt;/td&gt;&lt;/tr&gt;&lt;tr&gt;&lt;td class="td_info bold" rowspan="3"&gt;Mobility &lt;/td&gt;&lt;td class="td_info"&gt;Comparative illness and disability ratio&lt;/td&gt;&lt;td class="td_info"&gt;Census 2011&lt;/td&gt;&lt;td class="td_info"&gt;Census 2011 (no direct update available) % households with no car/van. Reversed (100-% car ownership)&lt;/td&gt;&lt;td class="td_info"&gt;0.200&lt;/td&gt;&lt;/tr&gt;&lt;tr&gt;&lt;td class="td_info"&gt;Medical and Care Residents (Score)&lt;/td&gt;&lt;td class="td_info"&gt;Welsh Index of Multiple Deprivation, Welsh Government 2019&lt;/td&gt;&lt;td class="td_info"&gt;Community Safety Domain Welsh Index of Multiple Deprivation, Welsh Government. high score/ratio = high vulnerability&lt;/td&gt;&lt;td class="td_info"&gt;0.200&lt;/td&gt;&lt;/tr&gt;&lt;tr&gt;&lt;td class="td_info"&gt;Lack of private transport (% households with no car or van)&lt;/td&gt;&lt;td class="td_info"&gt;Census 2011 &lt;/td&gt;&lt;td class="td_info"&gt;Census 2011 (no direct update available) % households with no car/van&lt;/td&gt;&lt;td class="td_info"&gt;0.200&lt;/td&gt;&lt;/tr&gt;&lt;tr&gt;&lt;td class="td_info bold" rowspan="2"&gt;GP Access&lt;/td&gt;&lt;td class="td_info"&gt;Average return travel time to a GP by public transport (minutes)&lt;/td&gt;&lt;td class="td_info"&gt;Welsh Index of Multiple Deprivation, Welsh Government.&lt;/td&gt;&lt;td class="td_info"&gt;Welsh Index of Multiple Deprivation, Welsh Government. Service access domain. Average public return travel time to a GP surgery (minutes)&lt;/td&gt;&lt;td class="td_info"&gt;0.500&lt;/td&gt;&lt;/tr&gt;&lt;tr&gt;&lt;td class="td_info"&gt;Average return travel time to a GP by private transport (minutes)&lt;/td&gt;&lt;td class="td_info"&gt;Welsh Index of Multiple Deprivation, Welsh Government.&lt;/td&gt;&lt;td class="td_info"&gt;Welsh Index of Multiple Deprivation, Welsh Government. Service access domain. Average private return travel time to a GP surgery (minutes)&lt;/td&gt;&lt;td class="td_info"&gt;0.500&lt;/td&gt;&lt;/tr&gt;&lt;tr&gt;&lt;td class="td_info bold"&gt;Hospital Access&lt;/td&gt;&lt;td class="td_info"&gt;Mean distance to nearest A andE Hospital (km)&lt;/td&gt;&lt;td class="td_info"&gt;Consumer Data Research Centre&lt;/td&gt;&lt;td class="td_info"&gt;Consumer Data Research Centre Access to Healthy Assets and Hazards (AHAH) Updated Version (2017) NHS Wales (ed_dist)&lt;/td&gt;&lt;td class="td_info"&gt;0.200&lt;/td&gt;&lt;/tr&gt;&lt;tr&gt;&lt;td class="td_info bold" rowspan="2"&gt;Pharmacy Access&lt;/td&gt;&lt;td class="td_info"&gt;Average return travel time to a Pharmacy by public transport (minutes)&lt;/td&gt;&lt;td class="td_info"&gt;Welsh Index of Multiple Deprivation, Welsh Government.&lt;/td&gt;&lt;td class="td_info"&gt;Service access domain. Average public return travel time to a a Pharmacy (minutes)&lt;/td&gt;&lt;td class="td_info"&gt;0.500&lt;/td&gt;&lt;/tr&gt;&lt;tr&gt;&lt;td class="td_info"&gt;Average return travel time to a Pharmacy by private transport (minutes)&lt;/td&gt;&lt;td class="td_info"&gt;Welsh Index of Multiple Deprivation, Welsh Government.&lt;/td&gt;&lt;td class="td_info"&gt;Service access domain. Average private return travel time to a Pharmacy (minutes)&lt;/td&gt;&lt;td class="td_info"&gt;0.500&lt;/td&gt;&lt;/tr&gt;&lt;/tbody&gt;&lt;/table&gt;&lt;br&gt;&lt;p&gt;&lt;b&gt;Note:&lt;/b&gt;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</si>
  <si>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class="panel-body"&gt;&lt;p&gt;&lt;b&gt;Enhanced Exposure&lt;/b&gt; - Enhanced exposure refers to aspects of the physical environment, such as the availability of green space or housing characteristics, which tend to accentuate or offset the severity of extreme heat events. The map shows the result of an equally-weighted combination of neighbourhood-level scores for indicators within the domains associated with enhanced exposure with respect to heat:&lt;/p&gt;&lt;li&gt;Physical environment&lt;/li&gt;&lt;li&gt;Housing characteristics&lt;/li&gt;&lt;br&gt;&lt;p&gt;The calculated Enhanced Exposure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slight-heat"&gt;&lt;/td&gt;&lt;/tr&gt;&lt;/tbody&gt;&lt;/table&gt;&lt;/p&gt;&lt;br&gt;&lt;p&gt;Enhanced Exposure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rowspan="3"&gt;Physical Environment&lt;/td&gt;&lt;td class="td_info"&gt;Built up area (% not greenspace)&lt;/td&gt;&lt;td class="td_info"&gt;ONS Greenspace Column&lt;/td&gt;&lt;td class="td_info"&gt;Indicator calculated by subtracting the area of greenspace from 100%. Recalculated from LSOA spatial units&lt;/td&gt;&lt;td class="td_info"&gt;0.330&lt;/td&gt;&lt;/tr&gt;&lt;tr&gt;&lt;td class="td_info"&gt;Lack of domestic gardens (% dwellings without gardens)&lt;/td&gt;&lt;td class="td_info"&gt;ONS Greenspace Column&lt;/td&gt;&lt;td class="td_info"&gt;ONS Greenspace Column AH Lack of private greenspace (% dwellings without gardens)&lt;/td&gt;&lt;td class="td_info"&gt;0.330&lt;/td&gt;&lt;/tr&gt;&lt;tr&gt;&lt;td class="td_info"&gt;Median combined size of parks and public gardens and playing fields within 1,000 m radius (m2)&lt;/td&gt;&lt;td class="td_info"&gt;ONS Greenspace Column&lt;/td&gt;&lt;td class="td_info"&gt;ONS Greenspace Column R Median combined size of parks and public gardens and playing fields within 1,000 m radius (m2)&lt;/td&gt;&lt;td class="td_info"&gt;0.330&lt;/td&gt;&lt;/tr&gt;&lt;tr&gt;&lt;td class="td_info bold" rowspan="2"&gt;Housing Characteristics&lt;/td&gt;&lt;td class="td_info"&gt;People in overcrowded households (%)&lt;/td&gt;&lt;td class="td_info"&gt;Welsh Index of Multiple Deprivation, Welsh Government.&lt;/td&gt;&lt;td class="td_info"&gt;Welsh Index of Multiple Deprivation, Welsh Government. People in overcrowded households (%)&lt;/td&gt;&lt;td class="td_info"&gt;0.500&lt;/td&gt;&lt;/tr&gt;&lt;tr&gt;&lt;td class="td_info"&gt;Number of flats without gardens (Proxy for high-rise flats)&lt;/td&gt;&lt;td class="td_info"&gt;ONS Greenspace&lt;/td&gt;&lt;td class="td_info"&gt;Calculated from ONS Greenspace - Derived indicator. Office for National Statistics (ons.gov.uk)&lt;/td&gt;&lt;td class="td_info"&gt;0.500&lt;/td&gt;&lt;/tr&gt;&lt;/tbody&gt;&lt;/table&gt;&lt;br&gt;&lt;p&gt;&lt;b&gt;Disclaimers:&lt;/b&gt;The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</si>
  <si>
    <t>Issue</t>
  </si>
  <si>
    <t>No Unemployed field in layer</t>
  </si>
  <si>
    <t>The layers appears for scale &gt; 1:144,147 (not 1:200,000)</t>
  </si>
  <si>
    <t>CORS issue</t>
  </si>
  <si>
    <t>ArcGIS Web Adaptor issue</t>
  </si>
  <si>
    <t>CORS issue + Not clear which layer from the service</t>
  </si>
  <si>
    <t>Heat exposure (2018)  |  Summer extreme maximum temperature (Score)  |  20 year return period  |  Low emissions  |  2020</t>
  </si>
  <si>
    <t>Heat exposure (2018)  |  Summer extreme maximum temperature (Score)  |  20 year return period  |  Low emissions  |  2030</t>
  </si>
  <si>
    <t>Heat exposure (2018)  |  Summer extreme maximum temperature (Score)  |  20 year return period  |  Low emissions  |  2040</t>
  </si>
  <si>
    <t>Heat exposure (2018)  |  Summer extreme maximum temperature (Score)  |  20 year return period  |  Low emissions  |  2050</t>
  </si>
  <si>
    <t>Heat exposure (2018)  |  Summer extreme maximum temperature (Score)  |  20 year return period  |  Low emissions  |  2060</t>
  </si>
  <si>
    <t>Heat exposure (2018)  |  Summer extreme maximum temperature (Score)  |  20 year return period  |  Low emissions  |  2070</t>
  </si>
  <si>
    <t>Heat exposure (2018)  |  Summer extreme maximum temperature (Score)  |  20 year return period  |  Low emissions  |  2080</t>
  </si>
  <si>
    <t>Heat exposure (2018)  |  Summer extreme maximum temperature (Score)  |  20 year return period  |  Low emissions  |  2090</t>
  </si>
  <si>
    <t>Heat exposure (2018)  |  Summer extreme maximum temperature (Score)  |  50 year return period  |  Low emissions  |  2020</t>
  </si>
  <si>
    <t>Heat exposure (2018)  |  Summer extreme maximum temperature (Score)  |  50 year return period  |  Low emissions  |  2030</t>
  </si>
  <si>
    <t>Heat exposure (2018)  |  Summer extreme maximum temperature (Score)  |  50 year return period  |  Low emissions  |  2040</t>
  </si>
  <si>
    <t>Heat exposure (2018)  |  Summer extreme maximum temperature (Score)  |  50 year return period  |  Low emissions  |  2050</t>
  </si>
  <si>
    <t>Heat exposure (2018)  |  Summer extreme maximum temperature (Score)  |  50 year return period  |  Low emissions  |  2060</t>
  </si>
  <si>
    <t>Heat exposure (2018)  |  Summer extreme maximum temperature (Score)  |  50 year return period  |  Low emissions  |  2070</t>
  </si>
  <si>
    <t>Heat exposure (2018)  |  Summer extreme maximum temperature (Score)  |  50 year return period  |  Low emissions  |  2080</t>
  </si>
  <si>
    <t>Heat exposure (2018)  |  Summer extreme maximum temperature (Score)  |  50 year return period  |  Low emissions  |  2090</t>
  </si>
  <si>
    <t>Heat exposure (2018)  |  Summer extreme maximum temperature (Score)  |  100 year return period  |  Low emissions  |  2020</t>
  </si>
  <si>
    <t>Heat exposure (2018)  |  Summer extreme maximum temperature (Score)  |  100 year return period  |  Low emissions  |  2030</t>
  </si>
  <si>
    <t>Heat exposure (2018)  |  Summer extreme maximum temperature (Score)  |  100 year return period  |  Low emissions  |  2040</t>
  </si>
  <si>
    <t>Heat exposure (2018)  |  Summer extreme maximum temperature (Score)  |  100 year return period  |  Low emissions  |  2050</t>
  </si>
  <si>
    <t>Heat exposure (2018)  |  Summer extreme maximum temperature (Score)  |  100 year return period  |  Low emissions  |  2060</t>
  </si>
  <si>
    <t>Heat exposure (2018)  |  Summer extreme maximum temperature (Score)  |  100 year return period  |  Low emissions  |  2070</t>
  </si>
  <si>
    <t>Heat exposure (2018)  |  Summer extreme maximum temperature (Score)  |  100 year return period  |  Low emissions  |  2080</t>
  </si>
  <si>
    <t>Heat exposure (2018)  |  Summer extreme maximum temperature (Score)  |  100 year return period  |  Low emissions  |  2090</t>
  </si>
  <si>
    <t>Heat exposure (2018)  |  Summer extreme maximum temperature (Score)  |  20 year return period  |  Moderate emissions  |  2020</t>
  </si>
  <si>
    <t>Heat exposure (2018)  |  Summer extreme maximum temperature (Score)  |  20 year return period  |  Moderate emissions  |  2030</t>
  </si>
  <si>
    <t>Heat exposure (2018)  |  Summer extreme maximum temperature (Score)  |  20 year return period  |  Moderate emissions  |  2040</t>
  </si>
  <si>
    <t>Heat exposure (2018)  |  Summer extreme maximum temperature (Score)  |  20 year return period  |  Moderate emissions  |  2050</t>
  </si>
  <si>
    <t>Heat exposure (2018)  |  Summer extreme maximum temperature (Score)  |  20 year return period  |  Moderate emissions  |  2060</t>
  </si>
  <si>
    <t>Heat exposure (2018)  |  Summer extreme maximum temperature (Score)  |  20 year return period  |  Moderate emissions  |  2070</t>
  </si>
  <si>
    <t>Heat exposure (2018)  |  Summer extreme maximum temperature (Score)  |  20 year return period  |  Moderate emissions  |  2080</t>
  </si>
  <si>
    <t>Heat exposure (2018)  |  Summer extreme maximum temperature (Score)  |  20 year return period  |  Moderate emissions  |  2090</t>
  </si>
  <si>
    <t>Heat exposure (2018)  |  Summer extreme maximum temperature (Score)  |  50 year return period  |  Moderate emissions  |  2020</t>
  </si>
  <si>
    <t>Heat exposure (2018)  |  Summer extreme maximum temperature (Score)  |  50 year return period  |  Moderate emissions  |  2030</t>
  </si>
  <si>
    <t>Heat exposure (2018)  |  Summer extreme maximum temperature (Score)  |  50 year return period  |  Moderate emissions  |  2040</t>
  </si>
  <si>
    <t>Heat exposure (2018)  |  Summer extreme maximum temperature (Score)  |  50 year return period  |  Moderate emissions  |  2050</t>
  </si>
  <si>
    <t>Heat exposure (2018)  |  Summer extreme maximum temperature (Score)  |  50 year return period  |  Moderate emissions  |  2060</t>
  </si>
  <si>
    <t>Heat exposure (2018)  |  Summer extreme maximum temperature (Score)  |  50 year return period  |  Moderate emissions  |  2070</t>
  </si>
  <si>
    <t>Heat exposure (2018)  |  Summer extreme maximum temperature (Score)  |  50 year return period  |  Moderate emissions  |  2080</t>
  </si>
  <si>
    <t>Heat exposure (2018)  |  Summer extreme maximum temperature (Score)  |  50 year return period  |  Moderate emissions  |  2090</t>
  </si>
  <si>
    <t>Heat exposure (2018)  |  Summer extreme maximum temperature (Score)  |  100 year return period  |  Moderate emissions  |  2020</t>
  </si>
  <si>
    <t>Heat exposure (2018)  |  Summer extreme maximum temperature (Score)  |  100 year return period  |  Moderate emissions  |  2030</t>
  </si>
  <si>
    <t>Heat exposure (2018)  |  Summer extreme maximum temperature (Score)  |  100 year return period  |  Moderate emissions  |  2040</t>
  </si>
  <si>
    <t>Heat exposure (2018)  |  Summer extreme maximum temperature (Score)  |  100 year return period  |  Moderate emissions  |  2050</t>
  </si>
  <si>
    <t>Heat exposure (2018)  |  Summer extreme maximum temperature (Score)  |  100 year return period  |  Moderate emissions  |  2060</t>
  </si>
  <si>
    <t>Heat exposure (2018)  |  Summer extreme maximum temperature (Score)  |  100 year return period  |  Moderate emissions  |  2070</t>
  </si>
  <si>
    <t>Heat exposure (2018)  |  Summer extreme maximum temperature (Score)  |  100 year return period  |  Moderate emissions  |  2080</t>
  </si>
  <si>
    <t>Heat exposure (2018)  |  Summer extreme maximum temperature (Score)  |  100 year return period  |  Moderate emissions  |  2090</t>
  </si>
  <si>
    <t>Heat exposure (2018)  |  Summer extreme maximum temperature (Score)  |  20 year return period  |  High emissions  |  2020</t>
  </si>
  <si>
    <t>Heat exposure (2018)  |  Summer extreme maximum temperature (Score)  |  20 year return period  |  High emissions  |  2030</t>
  </si>
  <si>
    <t>Heat exposure (2018)  |  Summer extreme maximum temperature (Score)  |  20 year return period  |  High emissions  |  2040</t>
  </si>
  <si>
    <t>Heat exposure (2018)  |  Summer extreme maximum temperature (Score)  |  20 year return period  |  High emissions  |  2050</t>
  </si>
  <si>
    <t>Heat exposure (2018)  |  Summer extreme maximum temperature (Score)  |  20 year return period  |  High emissions  |  2060</t>
  </si>
  <si>
    <t>Heat exposure (2018)  |  Summer extreme maximum temperature (Score)  |  20 year return period  |  High emissions  |  2070</t>
  </si>
  <si>
    <t>Heat exposure (2018)  |  Summer extreme maximum temperature (Score)  |  20 year return period  |  High emissions  |  2080</t>
  </si>
  <si>
    <t>Heat exposure (2018)  |  Summer extreme maximum temperature (Score)  |  20 year return period  |  High emissions  |  2090</t>
  </si>
  <si>
    <t>Heat exposure (2018)  |  Summer extreme maximum temperature (Score)  |  50 year return period  |  High emissions  |  2020</t>
  </si>
  <si>
    <t>Heat exposure (2018)  |  Summer extreme maximum temperature (Score)  |  50 year return period  |  High emissions  |  2030</t>
  </si>
  <si>
    <t>Heat exposure (2018)  |  Summer extreme maximum temperature (Score)  |  50 year return period  |  High emissions  |  2040</t>
  </si>
  <si>
    <t>Heat exposure (2018)  |  Summer extreme maximum temperature (Score)  |  50 year return period  |  High emissions  |  2050</t>
  </si>
  <si>
    <t>Heat exposure (2018)  |  Summer extreme maximum temperature (Score)  |  50 year return period  |  High emissions  |  2060</t>
  </si>
  <si>
    <t>Heat exposure (2018)  |  Summer extreme maximum temperature (Score)  |  50 year return period  |  High emissions  |  2070</t>
  </si>
  <si>
    <t>Heat exposure (2018)  |  Summer extreme maximum temperature (Score)  |  50 year return period  |  High emissions  |  2080</t>
  </si>
  <si>
    <t>Heat exposure (2018)  |  Summer extreme maximum temperature (Score)  |  50 year return period  |  High emissions  |  2090</t>
  </si>
  <si>
    <t>Heat exposure (2018)  |  Summer extreme maximum temperature (Score)  |  100 year return period  |  High emissions  |  2020</t>
  </si>
  <si>
    <t>Heat exposure (2018)  |  Summer extreme maximum temperature (Score)  |  100 year return period  |  High emissions  |  2030</t>
  </si>
  <si>
    <t>Heat exposure (2018)  |  Summer extreme maximum temperature (Score)  |  100 year return period  |  High emissions  |  2040</t>
  </si>
  <si>
    <t>Heat exposure (2018)  |  Summer extreme maximum temperature (Score)  |  100 year return period  |  High emissions  |  2050</t>
  </si>
  <si>
    <t>Heat exposure (2018)  |  Summer extreme maximum temperature (Score)  |  100 year return period  |  High emissions  |  2060</t>
  </si>
  <si>
    <t>Heat exposure (2018)  |  Summer extreme maximum temperature (Score)  |  100 year return period  |  High emissions  |  2070</t>
  </si>
  <si>
    <t>Heat exposure (2018)  |  Summer extreme maximum temperature (Score)  |  100 year return period  |  High emissions  |  2080</t>
  </si>
  <si>
    <t>Heat exposure (2018)  |  Summer extreme maximum temperature (Score)  |  100 year return period  |  High emissions  |  2090</t>
  </si>
  <si>
    <t>Heat exposure (2018)  |  Summer extreme maximum temperature (Score)  |  20 year return period  |  Very high emissions  |  2020</t>
  </si>
  <si>
    <t>Heat exposure (2018)  |  Summer extreme maximum temperature (Score)  |  20 year return period  |  Very high emissions  |  2030</t>
  </si>
  <si>
    <t>Heat exposure (2018)  |  Summer extreme maximum temperature (Score)  |  20 year return period  |  Very high emissions  |  2040</t>
  </si>
  <si>
    <t>Heat exposure (2018)  |  Summer extreme maximum temperature (Score)  |  20 year return period  |  Very high emissions  |  2050</t>
  </si>
  <si>
    <t>Heat exposure (2018)  |  Summer extreme maximum temperature (Score)  |  20 year return period  |  Very high emissions  |  2060</t>
  </si>
  <si>
    <t>Heat exposure (2018)  |  Summer extreme maximum temperature (Score)  |  20 year return period  |  Very high emissions  |  2070</t>
  </si>
  <si>
    <t>Heat exposure (2018)  |  Summer extreme maximum temperature (Score)  |  20 year return period  |  Very high emissions  |  2080</t>
  </si>
  <si>
    <t>Heat exposure (2018)  |  Summer extreme maximum temperature (Score)  |  20 year return period  |  Very high emissions  |  2090</t>
  </si>
  <si>
    <t>Heat exposure (2018)  |  Summer extreme maximum temperature (Score)  |  50 year return period  |  Very high emissions  |  2020</t>
  </si>
  <si>
    <t>Heat exposure (2018)  |  Summer extreme maximum temperature (Score)  |  50 year return period  |  Very high emissions  |  2030</t>
  </si>
  <si>
    <t>Heat exposure (2018)  |  Summer extreme maximum temperature (Score)  |  50 year return period  |  Very high emissions  |  2040</t>
  </si>
  <si>
    <t>Heat exposure (2018)  |  Summer extreme maximum temperature (Score)  |  50 year return period  |  Very high emissions  |  2050</t>
  </si>
  <si>
    <t>Heat exposure (2018)  |  Summer extreme maximum temperature (Score)  |  50 year return period  |  Very high emissions  |  2060</t>
  </si>
  <si>
    <t>Heat exposure (2018)  |  Summer extreme maximum temperature (Score)  |  50 year return period  |  Very high emissions  |  2070</t>
  </si>
  <si>
    <t>Heat exposure (2018)  |  Summer extreme maximum temperature (Score)  |  50 year return period  |  Very high emissions  |  2080</t>
  </si>
  <si>
    <t>Heat exposure (2018)  |  Summer extreme maximum temperature (Score)  |  50 year return period  |  Very high emissions  |  2090</t>
  </si>
  <si>
    <t>Heat exposure (2018)  |  Summer extreme maximum temperature (Score)  |  100 year return period  |  Very high emissions  |  2020</t>
  </si>
  <si>
    <t>Heat exposure (2018)  |  Summer extreme maximum temperature (Score)  |  100 year return period  |  Very high emissions  |  2030</t>
  </si>
  <si>
    <t>Heat exposure (2018)  |  Summer extreme maximum temperature (Score)  |  100 year return period  |  Very high emissions  |  2040</t>
  </si>
  <si>
    <t>Heat exposure (2018)  |  Summer extreme maximum temperature (Score)  |  100 year return period  |  Very high emissions  |  2050</t>
  </si>
  <si>
    <t>Heat exposure (2018)  |  Summer extreme maximum temperature (Score)  |  100 year return period  |  Very high emissions  |  2060</t>
  </si>
  <si>
    <t>Heat exposure (2018)  |  Summer extreme maximum temperature (Score)  |  100 year return period  |  Very high emissions  |  2070</t>
  </si>
  <si>
    <t>Heat exposure (2018)  |  Summer extreme maximum temperature (Score)  |  100 year return period  |  Very high emissions  |  2080</t>
  </si>
  <si>
    <t>Heat exposure (2018)  |  Summer extreme maximum temperature (Score)  |  100 year return period  |  Very high emissions  |  2090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</si>
</sst>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0"/>
  </numFmts>
  <fonts count="40">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8"/>
      <name val="Calibri"/>
      <family val="2"/>
      <scheme val="minor"/>
    </font>
    <font>
      <u/>
      <sz val="11"/>
      <color theme="10"/>
      <name val="Calibri"/>
      <family val="2"/>
      <scheme val="minor"/>
    </font>
    <font>
      <sz val="11"/>
      <color rgb="FF000000"/>
      <name val="Calibri"/>
      <family val="2"/>
    </font>
    <font>
      <b/>
      <sz val="11"/>
      <color rgb="FFFF0000"/>
      <name val="Calibri"/>
      <family val="2"/>
    </font>
    <font>
      <sz val="11"/>
      <name val="Calibri"/>
      <family val="2"/>
    </font>
    <font>
      <b/>
      <sz val="11"/>
      <color theme="1"/>
      <name val="Calibri"/>
      <family val="2"/>
      <scheme val="minor"/>
    </font>
    <font>
      <sz val="11"/>
      <color rgb="FFFF0000"/>
      <name val="Calibri"/>
      <family val="2"/>
      <scheme val="minor"/>
    </font>
    <font>
      <sz val="11"/>
      <color rgb="FF000000"/>
      <name val="Calibri"/>
      <family val="2"/>
      <scheme val="minor"/>
    </font>
    <font>
      <b/>
      <sz val="11"/>
      <color rgb="FF000000"/>
      <name val="Calibri"/>
      <family val="2"/>
    </font>
    <font>
      <b/>
      <sz val="11"/>
      <color rgb="FFFF0000"/>
      <name val="Calibri"/>
      <family val="2"/>
      <scheme val="minor"/>
    </font>
    <font>
      <b/>
      <sz val="11"/>
      <color rgb="FFFF0000"/>
      <name val="Calibri"/>
      <family val="2"/>
      <scheme val="minor"/>
    </font>
    <font>
      <b/>
      <sz val="11"/>
      <color theme="5"/>
      <name val="Calibri"/>
      <family val="2"/>
    </font>
    <font>
      <b/>
      <sz val="11"/>
      <color theme="5"/>
      <name val="Calibri"/>
      <family val="2"/>
      <scheme val="minor"/>
    </font>
    <font>
      <b/>
      <sz val="11"/>
      <color rgb="FFFFC000"/>
      <name val="Calibri"/>
      <family val="2"/>
    </font>
    <font>
      <b/>
      <sz val="11"/>
      <color rgb="FFFFC000"/>
      <name val="Calibri"/>
      <family val="2"/>
      <scheme val="minor"/>
    </font>
    <font>
      <sz val="11"/>
      <color theme="1"/>
      <name val="Calibri"/>
      <family val="2"/>
    </font>
    <font>
      <sz val="10"/>
      <color rgb="FF000000"/>
      <name val="Calibri"/>
      <family val="2"/>
    </font>
    <font>
      <sz val="11"/>
      <color rgb="FFFF0000"/>
      <name val="Calibri"/>
      <family val="2"/>
    </font>
    <font>
      <sz val="11"/>
      <color rgb="FF000000"/>
      <name val="Aptos Narrow"/>
    </font>
  </fonts>
  <fills count="6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BDD7EE"/>
        <bgColor rgb="FF000000"/>
      </patternFill>
    </fill>
    <fill>
      <patternFill patternType="solid">
        <fgColor rgb="FFF4B084"/>
        <bgColor rgb="FF000000"/>
      </patternFill>
    </fill>
    <fill>
      <patternFill patternType="solid">
        <fgColor rgb="FFFFFF00"/>
        <bgColor rgb="FF000000"/>
      </patternFill>
    </fill>
    <fill>
      <patternFill patternType="solid">
        <fgColor rgb="FFFFE699"/>
        <bgColor rgb="FF000000"/>
      </patternFill>
    </fill>
    <fill>
      <patternFill patternType="solid">
        <fgColor rgb="FFC6E0B4"/>
        <bgColor rgb="FF000000"/>
      </patternFill>
    </fill>
    <fill>
      <patternFill patternType="solid">
        <fgColor rgb="FFDBDBDB"/>
        <bgColor rgb="FF000000"/>
      </patternFill>
    </fill>
    <fill>
      <patternFill patternType="solid">
        <fgColor rgb="FFE2EFDA"/>
        <bgColor rgb="FF000000"/>
      </patternFill>
    </fill>
    <fill>
      <patternFill patternType="solid">
        <fgColor rgb="FFFFF2CC"/>
        <bgColor rgb="FF000000"/>
      </patternFill>
    </fill>
    <fill>
      <patternFill patternType="solid">
        <fgColor rgb="FFDDEBF7"/>
        <bgColor rgb="FF000000"/>
      </patternFill>
    </fill>
    <fill>
      <patternFill patternType="solid">
        <fgColor rgb="FFD0CECE"/>
        <bgColor rgb="FF000000"/>
      </patternFill>
    </fill>
    <fill>
      <patternFill patternType="solid">
        <fgColor rgb="FFFCE4D6"/>
        <bgColor rgb="FF000000"/>
      </patternFill>
    </fill>
    <fill>
      <patternFill patternType="solid">
        <fgColor theme="0" tint="-0.14999847407452621"/>
        <bgColor indexed="64"/>
      </patternFill>
    </fill>
    <fill>
      <patternFill patternType="solid">
        <fgColor rgb="FFFFC000"/>
        <bgColor rgb="FF000000"/>
      </patternFill>
    </fill>
    <fill>
      <patternFill patternType="solid">
        <fgColor rgb="FFFFFF0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3CFFF"/>
        <bgColor indexed="64"/>
      </patternFill>
    </fill>
    <fill>
      <patternFill patternType="solid">
        <fgColor rgb="FFFFD6D7"/>
        <bgColor indexed="64"/>
      </patternFill>
    </fill>
    <fill>
      <patternFill patternType="solid">
        <fgColor theme="0"/>
        <bgColor indexed="64"/>
      </patternFill>
    </fill>
    <fill>
      <patternFill patternType="solid">
        <fgColor rgb="FFFF0000"/>
        <bgColor indexed="64"/>
      </patternFill>
    </fill>
    <fill>
      <patternFill patternType="solid">
        <fgColor theme="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diagonal/>
    </border>
  </borders>
  <cellStyleXfs count="43">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9" fillId="32" borderId="0" applyNumberFormat="0" applyBorder="0" applyAlignment="0" applyProtection="0"/>
    <xf numFmtId="0" fontId="22" fillId="0" borderId="0" applyNumberFormat="0" applyFill="0" applyBorder="0" applyAlignment="0" applyProtection="0"/>
  </cellStyleXfs>
  <cellXfs count="220">
    <xf numFmtId="0" fontId="0" fillId="0" borderId="0" xfId="0"/>
    <xf numFmtId="0" fontId="18" fillId="33" borderId="0" xfId="0" applyFont="1" applyFill="1"/>
    <xf numFmtId="49" fontId="18" fillId="33" borderId="0" xfId="0" applyNumberFormat="1" applyFont="1" applyFill="1"/>
    <xf numFmtId="49" fontId="0" fillId="0" borderId="0" xfId="0" applyNumberFormat="1"/>
    <xf numFmtId="0" fontId="18" fillId="34" borderId="0" xfId="0" applyFont="1" applyFill="1"/>
    <xf numFmtId="0" fontId="0" fillId="35" borderId="0" xfId="0" applyFill="1"/>
    <xf numFmtId="0" fontId="0" fillId="36" borderId="0" xfId="0" applyFill="1"/>
    <xf numFmtId="0" fontId="0" fillId="37" borderId="0" xfId="0" applyFill="1"/>
    <xf numFmtId="0" fontId="0" fillId="38" borderId="0" xfId="0" applyFill="1"/>
    <xf numFmtId="0" fontId="18" fillId="34" borderId="0" xfId="0" applyFont="1" applyFill="1" applyAlignment="1">
      <alignment horizontal="center"/>
    </xf>
    <xf numFmtId="0" fontId="0" fillId="36" borderId="0" xfId="0" applyFill="1" applyAlignment="1">
      <alignment horizontal="center"/>
    </xf>
    <xf numFmtId="0" fontId="0" fillId="37" borderId="0" xfId="0" applyFill="1" applyAlignment="1">
      <alignment horizontal="center"/>
    </xf>
    <xf numFmtId="0" fontId="0" fillId="38" borderId="0" xfId="0" applyFill="1" applyAlignment="1">
      <alignment horizontal="center"/>
    </xf>
    <xf numFmtId="0" fontId="0" fillId="35" borderId="0" xfId="0" applyFill="1" applyAlignment="1">
      <alignment horizontal="center"/>
    </xf>
    <xf numFmtId="0" fontId="20" fillId="35" borderId="0" xfId="0" applyFont="1" applyFill="1"/>
    <xf numFmtId="0" fontId="23" fillId="0" borderId="0" xfId="0" applyFont="1"/>
    <xf numFmtId="0" fontId="23" fillId="0" borderId="0" xfId="0" quotePrefix="1" applyFont="1"/>
    <xf numFmtId="0" fontId="23" fillId="39" borderId="0" xfId="0" applyFont="1" applyFill="1"/>
    <xf numFmtId="0" fontId="23" fillId="40" borderId="0" xfId="0" applyFont="1" applyFill="1"/>
    <xf numFmtId="0" fontId="23" fillId="41" borderId="0" xfId="0" applyFont="1" applyFill="1"/>
    <xf numFmtId="0" fontId="24" fillId="0" borderId="0" xfId="0" applyFont="1"/>
    <xf numFmtId="0" fontId="25" fillId="0" borderId="0" xfId="0" applyFont="1"/>
    <xf numFmtId="0" fontId="25" fillId="40" borderId="0" xfId="0" applyFont="1" applyFill="1"/>
    <xf numFmtId="0" fontId="24" fillId="40" borderId="0" xfId="0" applyFont="1" applyFill="1"/>
    <xf numFmtId="0" fontId="23" fillId="43" borderId="0" xfId="0" applyFont="1" applyFill="1"/>
    <xf numFmtId="0" fontId="23" fillId="44" borderId="0" xfId="0" applyFont="1" applyFill="1"/>
    <xf numFmtId="0" fontId="23" fillId="45" borderId="0" xfId="0" applyFont="1" applyFill="1"/>
    <xf numFmtId="0" fontId="23" fillId="46" borderId="0" xfId="0" applyFont="1" applyFill="1"/>
    <xf numFmtId="0" fontId="23" fillId="47" borderId="0" xfId="0" applyFont="1" applyFill="1"/>
    <xf numFmtId="0" fontId="23" fillId="48" borderId="0" xfId="0" applyFont="1" applyFill="1"/>
    <xf numFmtId="0" fontId="23" fillId="49" borderId="0" xfId="0" applyFont="1" applyFill="1"/>
    <xf numFmtId="0" fontId="0" fillId="50" borderId="0" xfId="0" applyFill="1"/>
    <xf numFmtId="0" fontId="23" fillId="50" borderId="0" xfId="0" applyFont="1" applyFill="1"/>
    <xf numFmtId="0" fontId="23" fillId="34" borderId="0" xfId="0" applyFont="1" applyFill="1"/>
    <xf numFmtId="0" fontId="0" fillId="34" borderId="0" xfId="0" applyFill="1"/>
    <xf numFmtId="0" fontId="2" fillId="0" borderId="0" xfId="0" applyFont="1"/>
    <xf numFmtId="0" fontId="26" fillId="34" borderId="0" xfId="0" applyFont="1" applyFill="1" applyAlignment="1">
      <alignment horizontal="left"/>
    </xf>
    <xf numFmtId="49" fontId="2" fillId="36" borderId="10" xfId="0" applyNumberFormat="1" applyFont="1" applyFill="1" applyBorder="1"/>
    <xf numFmtId="49" fontId="2" fillId="35" borderId="10" xfId="0" applyNumberFormat="1" applyFont="1" applyFill="1" applyBorder="1"/>
    <xf numFmtId="49" fontId="2" fillId="37" borderId="10" xfId="0" applyNumberFormat="1" applyFont="1" applyFill="1" applyBorder="1"/>
    <xf numFmtId="49" fontId="2" fillId="38" borderId="10" xfId="0" applyNumberFormat="1" applyFont="1" applyFill="1" applyBorder="1"/>
    <xf numFmtId="0" fontId="2" fillId="36" borderId="10" xfId="0" applyFont="1" applyFill="1" applyBorder="1"/>
    <xf numFmtId="0" fontId="2" fillId="35" borderId="10" xfId="0" applyFont="1" applyFill="1" applyBorder="1"/>
    <xf numFmtId="0" fontId="27" fillId="0" borderId="0" xfId="0" applyFont="1"/>
    <xf numFmtId="0" fontId="20" fillId="36" borderId="0" xfId="0" applyFont="1" applyFill="1"/>
    <xf numFmtId="0" fontId="28" fillId="0" borderId="0" xfId="42" applyFont="1"/>
    <xf numFmtId="0" fontId="29" fillId="42" borderId="0" xfId="0" applyFont="1" applyFill="1"/>
    <xf numFmtId="0" fontId="29" fillId="42" borderId="13" xfId="0" applyFont="1" applyFill="1" applyBorder="1"/>
    <xf numFmtId="0" fontId="23" fillId="46" borderId="12" xfId="0" applyFont="1" applyFill="1" applyBorder="1"/>
    <xf numFmtId="0" fontId="23" fillId="46" borderId="12" xfId="0" quotePrefix="1" applyFont="1" applyFill="1" applyBorder="1"/>
    <xf numFmtId="0" fontId="23" fillId="45" borderId="12" xfId="0" applyFont="1" applyFill="1" applyBorder="1"/>
    <xf numFmtId="0" fontId="23" fillId="45" borderId="12" xfId="0" quotePrefix="1" applyFont="1" applyFill="1" applyBorder="1"/>
    <xf numFmtId="0" fontId="23" fillId="49" borderId="12" xfId="0" applyFont="1" applyFill="1" applyBorder="1"/>
    <xf numFmtId="0" fontId="23" fillId="49" borderId="12" xfId="0" quotePrefix="1" applyFont="1" applyFill="1" applyBorder="1"/>
    <xf numFmtId="0" fontId="23" fillId="47" borderId="12" xfId="0" applyFont="1" applyFill="1" applyBorder="1"/>
    <xf numFmtId="0" fontId="23" fillId="47" borderId="12" xfId="0" quotePrefix="1" applyFont="1" applyFill="1" applyBorder="1"/>
    <xf numFmtId="0" fontId="24" fillId="46" borderId="12" xfId="0" applyFont="1" applyFill="1" applyBorder="1"/>
    <xf numFmtId="0" fontId="24" fillId="45" borderId="12" xfId="0" applyFont="1" applyFill="1" applyBorder="1"/>
    <xf numFmtId="0" fontId="24" fillId="49" borderId="12" xfId="0" applyFont="1" applyFill="1" applyBorder="1"/>
    <xf numFmtId="0" fontId="24" fillId="47" borderId="12" xfId="0" applyFont="1" applyFill="1" applyBorder="1"/>
    <xf numFmtId="0" fontId="24" fillId="41" borderId="12" xfId="0" applyFont="1" applyFill="1" applyBorder="1"/>
    <xf numFmtId="0" fontId="25" fillId="47" borderId="12" xfId="0" applyFont="1" applyFill="1" applyBorder="1"/>
    <xf numFmtId="0" fontId="24" fillId="46" borderId="0" xfId="0" applyFont="1" applyFill="1"/>
    <xf numFmtId="0" fontId="24" fillId="49" borderId="0" xfId="0" applyFont="1" applyFill="1"/>
    <xf numFmtId="0" fontId="0" fillId="36" borderId="0" xfId="0" applyFill="1" applyAlignment="1">
      <alignment horizontal="center" vertical="center"/>
    </xf>
    <xf numFmtId="0" fontId="24" fillId="46" borderId="0" xfId="0" applyFont="1" applyFill="1" applyAlignment="1">
      <alignment horizontal="center" vertical="center"/>
    </xf>
    <xf numFmtId="0" fontId="24" fillId="49" borderId="0" xfId="0" applyFont="1" applyFill="1" applyAlignment="1">
      <alignment horizontal="center"/>
    </xf>
    <xf numFmtId="0" fontId="24" fillId="46" borderId="0" xfId="0" applyFont="1" applyFill="1" applyAlignment="1">
      <alignment horizontal="center"/>
    </xf>
    <xf numFmtId="0" fontId="30" fillId="35" borderId="0" xfId="0" applyFont="1" applyFill="1"/>
    <xf numFmtId="0" fontId="30" fillId="38" borderId="0" xfId="0" applyFont="1" applyFill="1"/>
    <xf numFmtId="0" fontId="30" fillId="37" borderId="0" xfId="0" applyFont="1" applyFill="1"/>
    <xf numFmtId="0" fontId="30" fillId="36" borderId="0" xfId="0" applyFont="1" applyFill="1"/>
    <xf numFmtId="0" fontId="31" fillId="0" borderId="0" xfId="0" applyFont="1"/>
    <xf numFmtId="0" fontId="28" fillId="0" borderId="0" xfId="0" applyFont="1"/>
    <xf numFmtId="0" fontId="28" fillId="36" borderId="0" xfId="0" applyFont="1" applyFill="1"/>
    <xf numFmtId="0" fontId="28" fillId="36" borderId="0" xfId="0" applyFont="1" applyFill="1" applyAlignment="1">
      <alignment horizontal="center" vertical="center"/>
    </xf>
    <xf numFmtId="0" fontId="28" fillId="35" borderId="0" xfId="0" applyFont="1" applyFill="1"/>
    <xf numFmtId="0" fontId="28" fillId="35" borderId="0" xfId="0" applyFont="1" applyFill="1" applyAlignment="1">
      <alignment horizontal="center"/>
    </xf>
    <xf numFmtId="0" fontId="28" fillId="37" borderId="0" xfId="0" applyFont="1" applyFill="1"/>
    <xf numFmtId="0" fontId="28" fillId="37" borderId="0" xfId="0" applyFont="1" applyFill="1" applyAlignment="1">
      <alignment horizontal="center"/>
    </xf>
    <xf numFmtId="0" fontId="28" fillId="38" borderId="0" xfId="0" applyFont="1" applyFill="1"/>
    <xf numFmtId="0" fontId="28" fillId="38" borderId="0" xfId="0" applyFont="1" applyFill="1" applyAlignment="1">
      <alignment horizontal="center"/>
    </xf>
    <xf numFmtId="0" fontId="28" fillId="36" borderId="0" xfId="0" applyFont="1" applyFill="1" applyAlignment="1">
      <alignment horizontal="center"/>
    </xf>
    <xf numFmtId="0" fontId="23" fillId="46" borderId="0" xfId="0" applyFont="1" applyFill="1" applyAlignment="1">
      <alignment horizontal="center"/>
    </xf>
    <xf numFmtId="0" fontId="23" fillId="45" borderId="0" xfId="0" applyFont="1" applyFill="1" applyAlignment="1">
      <alignment horizontal="center"/>
    </xf>
    <xf numFmtId="0" fontId="23" fillId="49" borderId="0" xfId="0" applyFont="1" applyFill="1" applyAlignment="1">
      <alignment horizontal="center"/>
    </xf>
    <xf numFmtId="0" fontId="23" fillId="47" borderId="0" xfId="0" applyFont="1" applyFill="1" applyAlignment="1">
      <alignment horizontal="center"/>
    </xf>
    <xf numFmtId="0" fontId="24" fillId="35" borderId="0" xfId="0" applyFont="1" applyFill="1"/>
    <xf numFmtId="0" fontId="24" fillId="35" borderId="0" xfId="0" applyFont="1" applyFill="1" applyAlignment="1">
      <alignment horizontal="center"/>
    </xf>
    <xf numFmtId="0" fontId="25" fillId="46" borderId="0" xfId="0" applyFont="1" applyFill="1"/>
    <xf numFmtId="0" fontId="25" fillId="45" borderId="0" xfId="0" applyFont="1" applyFill="1"/>
    <xf numFmtId="0" fontId="23" fillId="52" borderId="0" xfId="0" applyFont="1" applyFill="1"/>
    <xf numFmtId="0" fontId="24" fillId="38" borderId="0" xfId="0" applyFont="1" applyFill="1"/>
    <xf numFmtId="0" fontId="24" fillId="38" borderId="0" xfId="0" applyFont="1" applyFill="1" applyAlignment="1">
      <alignment horizontal="center"/>
    </xf>
    <xf numFmtId="0" fontId="22" fillId="0" borderId="0" xfId="42" applyFill="1"/>
    <xf numFmtId="0" fontId="9" fillId="3" borderId="0" xfId="7"/>
    <xf numFmtId="0" fontId="22" fillId="3" borderId="0" xfId="42" applyFill="1"/>
    <xf numFmtId="0" fontId="24" fillId="52" borderId="0" xfId="0" applyFont="1" applyFill="1"/>
    <xf numFmtId="0" fontId="0" fillId="53" borderId="0" xfId="0" applyFill="1"/>
    <xf numFmtId="0" fontId="0" fillId="54" borderId="0" xfId="0" applyFill="1"/>
    <xf numFmtId="0" fontId="0" fillId="55" borderId="0" xfId="0" applyFill="1"/>
    <xf numFmtId="0" fontId="24" fillId="43" borderId="0" xfId="0" applyFont="1" applyFill="1"/>
    <xf numFmtId="0" fontId="24" fillId="0" borderId="0" xfId="0" quotePrefix="1" applyFont="1"/>
    <xf numFmtId="0" fontId="30" fillId="0" borderId="0" xfId="0" applyFont="1"/>
    <xf numFmtId="0" fontId="22" fillId="0" borderId="0" xfId="42"/>
    <xf numFmtId="0" fontId="24" fillId="47" borderId="0" xfId="0" applyFont="1" applyFill="1"/>
    <xf numFmtId="0" fontId="24" fillId="48" borderId="0" xfId="0" applyFont="1" applyFill="1"/>
    <xf numFmtId="0" fontId="30" fillId="55" borderId="0" xfId="0" applyFont="1" applyFill="1"/>
    <xf numFmtId="0" fontId="32" fillId="48" borderId="0" xfId="0" applyFont="1" applyFill="1"/>
    <xf numFmtId="0" fontId="33" fillId="55" borderId="0" xfId="0" applyFont="1" applyFill="1"/>
    <xf numFmtId="0" fontId="34" fillId="49" borderId="0" xfId="0" applyFont="1" applyFill="1"/>
    <xf numFmtId="0" fontId="35" fillId="37" borderId="0" xfId="0" applyFont="1" applyFill="1"/>
    <xf numFmtId="0" fontId="24" fillId="45" borderId="0" xfId="0" applyFont="1" applyFill="1"/>
    <xf numFmtId="0" fontId="23" fillId="56" borderId="0" xfId="0" applyFont="1" applyFill="1"/>
    <xf numFmtId="0" fontId="23" fillId="57" borderId="0" xfId="0" applyFont="1" applyFill="1"/>
    <xf numFmtId="0" fontId="30" fillId="54" borderId="0" xfId="0" applyFont="1" applyFill="1"/>
    <xf numFmtId="0" fontId="36" fillId="40" borderId="0" xfId="0" applyFont="1" applyFill="1"/>
    <xf numFmtId="0" fontId="30" fillId="52" borderId="0" xfId="0" applyFont="1" applyFill="1"/>
    <xf numFmtId="0" fontId="18" fillId="0" borderId="0" xfId="0" applyFont="1"/>
    <xf numFmtId="0" fontId="29" fillId="0" borderId="0" xfId="0" applyFont="1"/>
    <xf numFmtId="0" fontId="38" fillId="0" borderId="0" xfId="0" applyFont="1"/>
    <xf numFmtId="0" fontId="1" fillId="0" borderId="0" xfId="0" applyFont="1"/>
    <xf numFmtId="49" fontId="1" fillId="36" borderId="10" xfId="0" applyNumberFormat="1" applyFont="1" applyFill="1" applyBorder="1"/>
    <xf numFmtId="49" fontId="1" fillId="35" borderId="10" xfId="0" applyNumberFormat="1" applyFont="1" applyFill="1" applyBorder="1"/>
    <xf numFmtId="49" fontId="1" fillId="37" borderId="10" xfId="0" applyNumberFormat="1" applyFont="1" applyFill="1" applyBorder="1"/>
    <xf numFmtId="0" fontId="1" fillId="38" borderId="10" xfId="0" applyFont="1" applyFill="1" applyBorder="1" applyAlignment="1">
      <alignment horizontal="center"/>
    </xf>
    <xf numFmtId="49" fontId="1" fillId="38" borderId="10" xfId="0" applyNumberFormat="1" applyFont="1" applyFill="1" applyBorder="1"/>
    <xf numFmtId="0" fontId="1" fillId="36" borderId="10" xfId="0" applyFont="1" applyFill="1" applyBorder="1"/>
    <xf numFmtId="0" fontId="1" fillId="35" borderId="10" xfId="0" applyFont="1" applyFill="1" applyBorder="1"/>
    <xf numFmtId="0" fontId="23" fillId="35" borderId="0" xfId="0" applyFont="1" applyFill="1"/>
    <xf numFmtId="0" fontId="23" fillId="58" borderId="0" xfId="0" applyFont="1" applyFill="1"/>
    <xf numFmtId="0" fontId="38" fillId="52" borderId="0" xfId="0" applyFont="1" applyFill="1"/>
    <xf numFmtId="0" fontId="36" fillId="46" borderId="12" xfId="0" applyFont="1" applyFill="1" applyBorder="1"/>
    <xf numFmtId="0" fontId="36" fillId="49" borderId="12" xfId="0" applyFont="1" applyFill="1" applyBorder="1"/>
    <xf numFmtId="0" fontId="36" fillId="47" borderId="12" xfId="0" applyFont="1" applyFill="1" applyBorder="1"/>
    <xf numFmtId="0" fontId="36" fillId="45" borderId="12" xfId="0" applyFont="1" applyFill="1" applyBorder="1"/>
    <xf numFmtId="0" fontId="36" fillId="35" borderId="0" xfId="0" applyFont="1" applyFill="1"/>
    <xf numFmtId="0" fontId="23" fillId="59" borderId="0" xfId="0" applyFont="1" applyFill="1"/>
    <xf numFmtId="0" fontId="0" fillId="59" borderId="0" xfId="0" applyFill="1"/>
    <xf numFmtId="0" fontId="36" fillId="0" borderId="0" xfId="0" applyFont="1"/>
    <xf numFmtId="0" fontId="0" fillId="35" borderId="10" xfId="0" applyFill="1" applyBorder="1"/>
    <xf numFmtId="0" fontId="0" fillId="36" borderId="10" xfId="0" applyFill="1" applyBorder="1"/>
    <xf numFmtId="49" fontId="0" fillId="38" borderId="10" xfId="0" applyNumberFormat="1" applyFill="1" applyBorder="1"/>
    <xf numFmtId="49" fontId="0" fillId="37" borderId="10" xfId="0" applyNumberFormat="1" applyFill="1" applyBorder="1"/>
    <xf numFmtId="49" fontId="0" fillId="35" borderId="10" xfId="0" applyNumberFormat="1" applyFill="1" applyBorder="1"/>
    <xf numFmtId="49" fontId="0" fillId="36" borderId="10" xfId="0" applyNumberFormat="1" applyFill="1" applyBorder="1"/>
    <xf numFmtId="49" fontId="1" fillId="35" borderId="12" xfId="0" applyNumberFormat="1" applyFont="1" applyFill="1" applyBorder="1"/>
    <xf numFmtId="0" fontId="0" fillId="58" borderId="0" xfId="0" applyFill="1"/>
    <xf numFmtId="49" fontId="1" fillId="36" borderId="14" xfId="0" applyNumberFormat="1" applyFont="1" applyFill="1" applyBorder="1"/>
    <xf numFmtId="0" fontId="39" fillId="35" borderId="0" xfId="0" applyFont="1" applyFill="1"/>
    <xf numFmtId="164" fontId="29" fillId="42" borderId="0" xfId="0" applyNumberFormat="1" applyFont="1" applyFill="1"/>
    <xf numFmtId="164" fontId="24" fillId="0" borderId="0" xfId="0" applyNumberFormat="1" applyFont="1"/>
    <xf numFmtId="164" fontId="1" fillId="0" borderId="0" xfId="0" applyNumberFormat="1" applyFont="1"/>
    <xf numFmtId="164" fontId="2" fillId="0" borderId="0" xfId="0" applyNumberFormat="1" applyFont="1"/>
    <xf numFmtId="0" fontId="39" fillId="0" borderId="0" xfId="0" applyFont="1"/>
    <xf numFmtId="0" fontId="0" fillId="0" borderId="0" xfId="0" applyAlignment="1">
      <alignment horizontal="left"/>
    </xf>
    <xf numFmtId="0" fontId="23" fillId="36" borderId="12" xfId="0" applyFont="1" applyFill="1" applyBorder="1"/>
    <xf numFmtId="0" fontId="23" fillId="35" borderId="12" xfId="0" applyFont="1" applyFill="1" applyBorder="1"/>
    <xf numFmtId="0" fontId="23" fillId="37" borderId="12" xfId="0" applyFont="1" applyFill="1" applyBorder="1"/>
    <xf numFmtId="0" fontId="23" fillId="38" borderId="12" xfId="0" applyFont="1" applyFill="1" applyBorder="1"/>
    <xf numFmtId="164" fontId="29" fillId="42" borderId="11" xfId="0" applyNumberFormat="1" applyFont="1" applyFill="1" applyBorder="1"/>
    <xf numFmtId="164" fontId="24" fillId="36" borderId="10" xfId="0" applyNumberFormat="1" applyFont="1" applyFill="1" applyBorder="1"/>
    <xf numFmtId="164" fontId="24" fillId="51" borderId="10" xfId="0" applyNumberFormat="1" applyFont="1" applyFill="1" applyBorder="1"/>
    <xf numFmtId="164" fontId="24" fillId="46" borderId="10" xfId="0" applyNumberFormat="1" applyFont="1" applyFill="1" applyBorder="1"/>
    <xf numFmtId="164" fontId="23" fillId="46" borderId="10" xfId="0" applyNumberFormat="1" applyFont="1" applyFill="1" applyBorder="1"/>
    <xf numFmtId="164" fontId="1" fillId="36" borderId="10" xfId="0" applyNumberFormat="1" applyFont="1" applyFill="1" applyBorder="1"/>
    <xf numFmtId="164" fontId="0" fillId="36" borderId="10" xfId="0" applyNumberFormat="1" applyFill="1" applyBorder="1"/>
    <xf numFmtId="164" fontId="36" fillId="46" borderId="10" xfId="0" applyNumberFormat="1" applyFont="1" applyFill="1" applyBorder="1"/>
    <xf numFmtId="164" fontId="2" fillId="36" borderId="10" xfId="0" applyNumberFormat="1" applyFont="1" applyFill="1" applyBorder="1"/>
    <xf numFmtId="164" fontId="29" fillId="42" borderId="13" xfId="0" applyNumberFormat="1" applyFont="1" applyFill="1" applyBorder="1"/>
    <xf numFmtId="164" fontId="24" fillId="35" borderId="10" xfId="0" applyNumberFormat="1" applyFont="1" applyFill="1" applyBorder="1"/>
    <xf numFmtId="164" fontId="23" fillId="45" borderId="12" xfId="0" applyNumberFormat="1" applyFont="1" applyFill="1" applyBorder="1"/>
    <xf numFmtId="164" fontId="24" fillId="45" borderId="12" xfId="0" applyNumberFormat="1" applyFont="1" applyFill="1" applyBorder="1"/>
    <xf numFmtId="164" fontId="1" fillId="35" borderId="10" xfId="0" applyNumberFormat="1" applyFont="1" applyFill="1" applyBorder="1"/>
    <xf numFmtId="164" fontId="36" fillId="45" borderId="12" xfId="0" applyNumberFormat="1" applyFont="1" applyFill="1" applyBorder="1"/>
    <xf numFmtId="164" fontId="23" fillId="35" borderId="0" xfId="0" applyNumberFormat="1" applyFont="1" applyFill="1"/>
    <xf numFmtId="164" fontId="0" fillId="35" borderId="10" xfId="0" applyNumberFormat="1" applyFill="1" applyBorder="1"/>
    <xf numFmtId="164" fontId="23" fillId="35" borderId="10" xfId="0" applyNumberFormat="1" applyFont="1" applyFill="1" applyBorder="1"/>
    <xf numFmtId="164" fontId="2" fillId="35" borderId="10" xfId="0" applyNumberFormat="1" applyFont="1" applyFill="1" applyBorder="1"/>
    <xf numFmtId="164" fontId="30" fillId="36" borderId="10" xfId="0" applyNumberFormat="1" applyFont="1" applyFill="1" applyBorder="1"/>
    <xf numFmtId="164" fontId="23" fillId="46" borderId="12" xfId="0" applyNumberFormat="1" applyFont="1" applyFill="1" applyBorder="1"/>
    <xf numFmtId="164" fontId="24" fillId="46" borderId="12" xfId="0" applyNumberFormat="1" applyFont="1" applyFill="1" applyBorder="1"/>
    <xf numFmtId="164" fontId="36" fillId="46" borderId="12" xfId="0" applyNumberFormat="1" applyFont="1" applyFill="1" applyBorder="1"/>
    <xf numFmtId="164" fontId="24" fillId="37" borderId="10" xfId="0" applyNumberFormat="1" applyFont="1" applyFill="1" applyBorder="1"/>
    <xf numFmtId="164" fontId="23" fillId="49" borderId="12" xfId="0" applyNumberFormat="1" applyFont="1" applyFill="1" applyBorder="1"/>
    <xf numFmtId="164" fontId="24" fillId="49" borderId="12" xfId="0" applyNumberFormat="1" applyFont="1" applyFill="1" applyBorder="1"/>
    <xf numFmtId="164" fontId="1" fillId="37" borderId="10" xfId="0" applyNumberFormat="1" applyFont="1" applyFill="1" applyBorder="1"/>
    <xf numFmtId="164" fontId="36" fillId="49" borderId="12" xfId="0" applyNumberFormat="1" applyFont="1" applyFill="1" applyBorder="1"/>
    <xf numFmtId="164" fontId="0" fillId="37" borderId="10" xfId="0" applyNumberFormat="1" applyFill="1" applyBorder="1"/>
    <xf numFmtId="164" fontId="2" fillId="37" borderId="10" xfId="0" applyNumberFormat="1" applyFont="1" applyFill="1" applyBorder="1"/>
    <xf numFmtId="164" fontId="24" fillId="38" borderId="10" xfId="0" applyNumberFormat="1" applyFont="1" applyFill="1" applyBorder="1"/>
    <xf numFmtId="164" fontId="23" fillId="47" borderId="12" xfId="0" applyNumberFormat="1" applyFont="1" applyFill="1" applyBorder="1"/>
    <xf numFmtId="164" fontId="24" fillId="47" borderId="12" xfId="0" applyNumberFormat="1" applyFont="1" applyFill="1" applyBorder="1"/>
    <xf numFmtId="164" fontId="1" fillId="38" borderId="10" xfId="0" applyNumberFormat="1" applyFont="1" applyFill="1" applyBorder="1"/>
    <xf numFmtId="164" fontId="36" fillId="47" borderId="12" xfId="0" applyNumberFormat="1" applyFont="1" applyFill="1" applyBorder="1"/>
    <xf numFmtId="164" fontId="0" fillId="38" borderId="10" xfId="0" applyNumberFormat="1" applyFill="1" applyBorder="1"/>
    <xf numFmtId="164" fontId="2" fillId="38" borderId="10" xfId="0" applyNumberFormat="1" applyFont="1" applyFill="1" applyBorder="1"/>
    <xf numFmtId="164" fontId="24" fillId="51" borderId="12" xfId="0" applyNumberFormat="1" applyFont="1" applyFill="1" applyBorder="1"/>
    <xf numFmtId="164" fontId="24" fillId="41" borderId="12" xfId="0" applyNumberFormat="1" applyFont="1" applyFill="1" applyBorder="1"/>
    <xf numFmtId="164" fontId="23" fillId="51" borderId="12" xfId="0" applyNumberFormat="1" applyFont="1" applyFill="1" applyBorder="1"/>
    <xf numFmtId="2" fontId="29" fillId="42" borderId="0" xfId="0" applyNumberFormat="1" applyFont="1" applyFill="1"/>
    <xf numFmtId="0" fontId="18" fillId="34" borderId="0" xfId="0" applyFont="1" applyFill="1" applyAlignment="1">
      <alignment horizontal="left"/>
    </xf>
    <xf numFmtId="0" fontId="16" fillId="0" borderId="0" xfId="0" applyFont="1"/>
    <xf numFmtId="0" fontId="0" fillId="52" borderId="0" xfId="0" applyFill="1"/>
    <xf numFmtId="0" fontId="23" fillId="54" borderId="0" xfId="0" applyFont="1" applyFill="1"/>
    <xf numFmtId="0" fontId="25" fillId="52" borderId="0" xfId="0" applyFont="1" applyFill="1"/>
    <xf numFmtId="0" fontId="0" fillId="60" borderId="0" xfId="0" applyFill="1"/>
    <xf numFmtId="0" fontId="28" fillId="60" borderId="0" xfId="0" applyFont="1" applyFill="1"/>
    <xf numFmtId="0" fontId="23" fillId="60" borderId="0" xfId="0" applyFont="1" applyFill="1"/>
    <xf numFmtId="164" fontId="25" fillId="47" borderId="12" xfId="0" applyNumberFormat="1" applyFont="1" applyFill="1" applyBorder="1"/>
    <xf numFmtId="49" fontId="28" fillId="36" borderId="10" xfId="0" applyNumberFormat="1" applyFont="1" applyFill="1" applyBorder="1"/>
    <xf numFmtId="165" fontId="29" fillId="42" borderId="13" xfId="0" applyNumberFormat="1" applyFont="1" applyFill="1" applyBorder="1"/>
    <xf numFmtId="165" fontId="24" fillId="36" borderId="10" xfId="0" applyNumberFormat="1" applyFont="1" applyFill="1" applyBorder="1"/>
    <xf numFmtId="165" fontId="23" fillId="46" borderId="12" xfId="0" applyNumberFormat="1" applyFont="1" applyFill="1" applyBorder="1"/>
    <xf numFmtId="165" fontId="24" fillId="46" borderId="12" xfId="0" applyNumberFormat="1" applyFont="1" applyFill="1" applyBorder="1"/>
    <xf numFmtId="165" fontId="1" fillId="36" borderId="10" xfId="0" applyNumberFormat="1" applyFont="1" applyFill="1" applyBorder="1"/>
    <xf numFmtId="165" fontId="36" fillId="46" borderId="12" xfId="0" applyNumberFormat="1" applyFont="1" applyFill="1" applyBorder="1"/>
    <xf numFmtId="165" fontId="0" fillId="36" borderId="10" xfId="0" applyNumberFormat="1" applyFill="1" applyBorder="1"/>
    <xf numFmtId="165" fontId="2" fillId="36" borderId="10" xfId="0" applyNumberFormat="1" applyFont="1" applyFill="1" applyBorder="1"/>
    <xf numFmtId="0" fontId="0" fillId="0" borderId="0" xfId="0"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D6D7"/>
      <color rgb="FFF3CFFF"/>
      <color rgb="FFFFE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environment.data.gov.uk/arcgis/rest/services/EA/RiskOfFloodingFromRiversAndSea/MapServer" TargetMode="External"/><Relationship Id="rId18" Type="http://schemas.openxmlformats.org/officeDocument/2006/relationships/hyperlink" Target="https://environment.data.gov.uk/arcgis/services/EA/RiskOfFloodingFromRiversAndSea/MapServer/WMSServer" TargetMode="External"/><Relationship Id="rId26" Type="http://schemas.openxmlformats.org/officeDocument/2006/relationships/hyperlink" Target="https://environment.data.gov.uk/spatialdata/flood-risk-areas/wms" TargetMode="External"/><Relationship Id="rId39" Type="http://schemas.openxmlformats.org/officeDocument/2006/relationships/hyperlink" Target="https://datamap.gov.wales/capabilities/layergroup/2070/?ows_service=wms" TargetMode="External"/><Relationship Id="rId21" Type="http://schemas.openxmlformats.org/officeDocument/2006/relationships/hyperlink" Target="https://environment.data.gov.uk/spatialdata/flood-map-for-planning-rivers-and-sea-flood-zone-2/wfs" TargetMode="External"/><Relationship Id="rId34" Type="http://schemas.openxmlformats.org/officeDocument/2006/relationships/hyperlink" Target="https://datamap.gov.wales/capabilities/layergroup/889/?ows_service=wms" TargetMode="External"/><Relationship Id="rId7" Type="http://schemas.openxmlformats.org/officeDocument/2006/relationships/hyperlink" Target="https://environment.data.gov.uk/arcgis/rest/services/EA/FloodMapForPlanningRiversAndSeaFloodZone2/MapServer" TargetMode="External"/><Relationship Id="rId2" Type="http://schemas.openxmlformats.org/officeDocument/2006/relationships/hyperlink" Target="https://environment.data.gov.uk/arcgis/rest/services/EA/FloodAlertAreas/MapServer" TargetMode="External"/><Relationship Id="rId16" Type="http://schemas.openxmlformats.org/officeDocument/2006/relationships/hyperlink" Target="https://services1.arcgis.com/ESMARspQHYMw9BZ9/ArcGIS/rest/services/BUA_2022_GB/FeatureServer" TargetMode="External"/><Relationship Id="rId20" Type="http://schemas.openxmlformats.org/officeDocument/2006/relationships/hyperlink" Target="https://environment.data.gov.uk/spatialdata/reduction-in-risk-of-flooding-from-rivers-and-sea/wms" TargetMode="External"/><Relationship Id="rId29" Type="http://schemas.openxmlformats.org/officeDocument/2006/relationships/hyperlink" Target="https://environment.data.gov.uk/spatialdata/risk-of-flooding-from-rivers-and-sea/wms" TargetMode="External"/><Relationship Id="rId41" Type="http://schemas.openxmlformats.org/officeDocument/2006/relationships/hyperlink" Target="https://services1.arcgis.com/ESMARspQHYMw9BZ9/arcgis/rest/services/Westminster_Parliamentary_Constituencies_July_2024_Boundaries_UK_BFC/FeatureServer/" TargetMode="External"/><Relationship Id="rId1" Type="http://schemas.openxmlformats.org/officeDocument/2006/relationships/hyperlink" Target="https://services1.arcgis.com/SfF67lOzKAmtSACX/ArcGIS/rest/services/ClimateJust_FS_WFL3/FeatureServer" TargetMode="External"/><Relationship Id="rId6" Type="http://schemas.openxmlformats.org/officeDocument/2006/relationships/hyperlink" Target="https://environment.data.gov.uk/arcgis/rest/services/EA/FloodRiskAreas/FeatureServer" TargetMode="External"/><Relationship Id="rId11" Type="http://schemas.openxmlformats.org/officeDocument/2006/relationships/hyperlink" Target="https://environment.data.gov.uk/arcgis/rest/services/EA/RecordedFloodOutlines/MapServer" TargetMode="External"/><Relationship Id="rId24" Type="http://schemas.openxmlformats.org/officeDocument/2006/relationships/hyperlink" Target="https://environment.data.gov.uk/spatialdata/flood-map-for-planning-rivers-and-sea-flood-zone-3/wms" TargetMode="External"/><Relationship Id="rId32" Type="http://schemas.openxmlformats.org/officeDocument/2006/relationships/hyperlink" Target="https://datamap.gov.wales/capabilities/layer/346/?ows_service=wfs" TargetMode="External"/><Relationship Id="rId37" Type="http://schemas.openxmlformats.org/officeDocument/2006/relationships/hyperlink" Target="https://datamap.gov.wales/capabilities/layergroup/4126/?ows_service=wms" TargetMode="External"/><Relationship Id="rId40" Type="http://schemas.openxmlformats.org/officeDocument/2006/relationships/hyperlink" Target="https://services1.arcgis.com/SfF67lOzKAmtSACX/arcgis/rest/services/ClimateJust_FS_WFL3/FeatureServer" TargetMode="External"/><Relationship Id="rId5" Type="http://schemas.openxmlformats.org/officeDocument/2006/relationships/hyperlink" Target="https://environment.data.gov.uk/arcgis/rest/services/EA/FloodRiskAreas/MapServer" TargetMode="External"/><Relationship Id="rId15" Type="http://schemas.openxmlformats.org/officeDocument/2006/relationships/hyperlink" Target="https://environment.data.gov.uk/arcgis/rest/services/EA/SaltmarshExtentsAndZonation/FeatureServer" TargetMode="External"/><Relationship Id="rId23" Type="http://schemas.openxmlformats.org/officeDocument/2006/relationships/hyperlink" Target="https://environment.data.gov.uk/spatialdata/flood-map-for-planning-rivers-and-sea-flood-zone-3/wfs" TargetMode="External"/><Relationship Id="rId28" Type="http://schemas.openxmlformats.org/officeDocument/2006/relationships/hyperlink" Target="https://environment.data.gov.uk/spatialdata/recorded-flood-outlines/wms" TargetMode="External"/><Relationship Id="rId36" Type="http://schemas.openxmlformats.org/officeDocument/2006/relationships/hyperlink" Target="https://datamap.gov.wales/capabilities/layergroup/4126/?ows_service=wfs" TargetMode="External"/><Relationship Id="rId10" Type="http://schemas.openxmlformats.org/officeDocument/2006/relationships/hyperlink" Target="https://environment.data.gov.uk/arcgis/rest/services/EA/FloodMapForPlanningRiversAndSeaFloodZone3/FeatureServer" TargetMode="External"/><Relationship Id="rId19" Type="http://schemas.openxmlformats.org/officeDocument/2006/relationships/hyperlink" Target="https://environment.data.gov.uk/spatialdata/flood-alert-areas/wfs" TargetMode="External"/><Relationship Id="rId31" Type="http://schemas.openxmlformats.org/officeDocument/2006/relationships/hyperlink" Target="https://environment.data.gov.uk/spatialdata/saltmarsh-extents-and-zonation/wms" TargetMode="External"/><Relationship Id="rId4" Type="http://schemas.openxmlformats.org/officeDocument/2006/relationships/hyperlink" Target="https://environment.data.gov.uk/arcgis/rest/services/EA/FloodAlertAreas/FeatureServer" TargetMode="External"/><Relationship Id="rId9" Type="http://schemas.openxmlformats.org/officeDocument/2006/relationships/hyperlink" Target="https://environment.data.gov.uk/arcgis/rest/services/EA/FloodMapForPlanningRiversAndSeaFloodZone3/MapServer" TargetMode="External"/><Relationship Id="rId14" Type="http://schemas.openxmlformats.org/officeDocument/2006/relationships/hyperlink" Target="https://environment.data.gov.uk/arcgis/rest/services/EA/SaltmarshExtentsAndZonation/MapServer" TargetMode="External"/><Relationship Id="rId22" Type="http://schemas.openxmlformats.org/officeDocument/2006/relationships/hyperlink" Target="https://environment.data.gov.uk/spatialdata/flood-map-for-planning-rivers-and-sea-flood-zone-2/wms" TargetMode="External"/><Relationship Id="rId27" Type="http://schemas.openxmlformats.org/officeDocument/2006/relationships/hyperlink" Target="https://environment.data.gov.uk/spatialdata/recorded-flood-outlines/wfs" TargetMode="External"/><Relationship Id="rId30" Type="http://schemas.openxmlformats.org/officeDocument/2006/relationships/hyperlink" Target="https://environment.data.gov.uk/spatialdata/saltmarsh-extents-and-zonation/wfs" TargetMode="External"/><Relationship Id="rId35" Type="http://schemas.openxmlformats.org/officeDocument/2006/relationships/hyperlink" Target="https://datamap.gov.wales/capabilities/layergroup/889/?ows_service=wfs" TargetMode="External"/><Relationship Id="rId8" Type="http://schemas.openxmlformats.org/officeDocument/2006/relationships/hyperlink" Target="https://environment.data.gov.uk/arcgis/rest/services/EA/FloodMapForPlanningRiversAndSeaFloodZone2/FeatureServer" TargetMode="External"/><Relationship Id="rId3" Type="http://schemas.openxmlformats.org/officeDocument/2006/relationships/hyperlink" Target="https://environment.data.gov.uk/spatialdata/flood-alert-areas/wms" TargetMode="External"/><Relationship Id="rId12" Type="http://schemas.openxmlformats.org/officeDocument/2006/relationships/hyperlink" Target="https://environment.data.gov.uk/arcgis/rest/services/EA/RecordedFloodOutlines/FeatureServer" TargetMode="External"/><Relationship Id="rId17" Type="http://schemas.openxmlformats.org/officeDocument/2006/relationships/hyperlink" Target="https://datamap.gov.wales/geoserver/inspire-nrw/wfs" TargetMode="External"/><Relationship Id="rId25" Type="http://schemas.openxmlformats.org/officeDocument/2006/relationships/hyperlink" Target="https://environment.data.gov.uk/spatialdata/flood-risk-areas/wfs" TargetMode="External"/><Relationship Id="rId33" Type="http://schemas.openxmlformats.org/officeDocument/2006/relationships/hyperlink" Target="https://datamap.gov.wales/capabilities/layer/346/?ows_service=wms" TargetMode="External"/><Relationship Id="rId38" Type="http://schemas.openxmlformats.org/officeDocument/2006/relationships/hyperlink" Target="https://datamap.gov.wales/capabilities/layergroup/2070/?ows_service=wf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9DDAE-07D5-4FE1-A026-C50071540943}">
  <sheetPr filterMode="1"/>
  <dimension ref="A1:Q1626"/>
  <sheetViews>
    <sheetView workbookViewId="0">
      <pane ySplit="1" topLeftCell="H2" activePane="bottomLeft" state="frozen"/>
      <selection pane="bottomLeft" activeCell="H2" sqref="H2"/>
    </sheetView>
  </sheetViews>
  <sheetFormatPr defaultColWidth="8.85546875" defaultRowHeight="15" customHeight="1"/>
  <cols>
    <col min="1" max="1" width="7.28515625" bestFit="1" customWidth="1"/>
    <col min="2" max="2" width="13.42578125" customWidth="1"/>
    <col min="3" max="3" width="9.85546875" customWidth="1"/>
    <col min="4" max="4" width="11.42578125" customWidth="1"/>
    <col min="5" max="5" width="10.28515625" customWidth="1"/>
    <col min="6" max="6" width="11.7109375" bestFit="1" customWidth="1"/>
    <col min="7" max="7" width="25.140625" bestFit="1" customWidth="1"/>
    <col min="8" max="8" width="67.140625" customWidth="1"/>
    <col min="9" max="9" width="66" customWidth="1"/>
    <col min="10" max="10" width="11.42578125" style="3" customWidth="1"/>
    <col min="11" max="11" width="11.42578125" customWidth="1"/>
    <col min="12" max="12" width="44.42578125" customWidth="1"/>
    <col min="13" max="13" width="38.7109375" bestFit="1" customWidth="1"/>
    <col min="14" max="15" width="14.140625" customWidth="1"/>
    <col min="16" max="16" width="17.7109375" customWidth="1"/>
    <col min="17" max="17" width="18.140625" bestFit="1" customWidth="1"/>
  </cols>
  <sheetData>
    <row r="1" spans="1:17" ht="14.45">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row>
    <row r="2" spans="1:17" ht="14.45">
      <c r="A2" s="15">
        <v>1001</v>
      </c>
      <c r="B2" s="15">
        <v>1</v>
      </c>
      <c r="C2" s="15">
        <v>0</v>
      </c>
      <c r="D2" s="15">
        <v>164</v>
      </c>
      <c r="E2" s="15" t="b">
        <v>1</v>
      </c>
      <c r="F2" s="15" t="b">
        <v>0</v>
      </c>
      <c r="G2" s="17" t="s">
        <v>17</v>
      </c>
      <c r="H2" s="15"/>
      <c r="I2" s="17" t="s">
        <v>18</v>
      </c>
      <c r="J2" s="15"/>
      <c r="K2" s="15">
        <v>101</v>
      </c>
      <c r="L2" s="120" t="s">
        <v>19</v>
      </c>
      <c r="M2" s="15" t="s">
        <v>20</v>
      </c>
      <c r="N2" s="15"/>
      <c r="O2" s="15"/>
      <c r="P2" s="15" t="s">
        <v>21</v>
      </c>
      <c r="Q2" s="15" t="b">
        <v>0</v>
      </c>
    </row>
    <row r="3" spans="1:17" ht="14.45" hidden="1">
      <c r="A3" s="15">
        <v>1002</v>
      </c>
      <c r="B3" s="15">
        <v>2</v>
      </c>
      <c r="C3" s="15">
        <v>0</v>
      </c>
      <c r="D3" s="15">
        <v>164</v>
      </c>
      <c r="E3" s="15" t="b">
        <v>1</v>
      </c>
      <c r="F3" s="15" t="b">
        <v>0</v>
      </c>
      <c r="G3" s="17" t="s">
        <v>17</v>
      </c>
      <c r="H3" s="15" t="s">
        <v>22</v>
      </c>
      <c r="I3" s="17" t="s">
        <v>22</v>
      </c>
      <c r="J3" s="15">
        <v>1</v>
      </c>
      <c r="K3" s="15"/>
      <c r="L3" s="120" t="s">
        <v>19</v>
      </c>
      <c r="M3" s="15" t="s">
        <v>23</v>
      </c>
      <c r="N3" s="15"/>
      <c r="O3" s="15"/>
      <c r="P3" s="15" t="s">
        <v>24</v>
      </c>
      <c r="Q3" s="15" t="b">
        <v>0</v>
      </c>
    </row>
    <row r="4" spans="1:17" ht="14.45" hidden="1">
      <c r="A4" s="15">
        <v>1003</v>
      </c>
      <c r="B4" s="15">
        <v>3</v>
      </c>
      <c r="C4" s="15">
        <v>0</v>
      </c>
      <c r="D4" s="15">
        <v>164</v>
      </c>
      <c r="E4" s="15" t="b">
        <v>1</v>
      </c>
      <c r="F4" s="15" t="b">
        <v>0</v>
      </c>
      <c r="G4" s="17" t="s">
        <v>17</v>
      </c>
      <c r="H4" s="15" t="s">
        <v>25</v>
      </c>
      <c r="I4" s="17" t="s">
        <v>26</v>
      </c>
      <c r="J4" s="15"/>
      <c r="K4" s="15"/>
      <c r="L4" s="120" t="s">
        <v>19</v>
      </c>
      <c r="M4" s="15" t="s">
        <v>27</v>
      </c>
      <c r="N4" s="15"/>
      <c r="O4" s="15"/>
      <c r="P4" s="15" t="s">
        <v>28</v>
      </c>
      <c r="Q4" s="15" t="b">
        <v>0</v>
      </c>
    </row>
    <row r="5" spans="1:17" ht="14.45">
      <c r="A5" s="15">
        <v>1004</v>
      </c>
      <c r="B5" s="15">
        <v>4</v>
      </c>
      <c r="C5" s="15">
        <v>0</v>
      </c>
      <c r="D5" s="15">
        <v>160</v>
      </c>
      <c r="E5" s="15" t="b">
        <v>1</v>
      </c>
      <c r="F5" s="15" t="b">
        <v>0</v>
      </c>
      <c r="G5" s="17" t="s">
        <v>17</v>
      </c>
      <c r="H5" s="15" t="s">
        <v>25</v>
      </c>
      <c r="I5" s="17" t="s">
        <v>29</v>
      </c>
      <c r="J5" s="15"/>
      <c r="K5" s="15">
        <v>102</v>
      </c>
      <c r="L5" s="120" t="s">
        <v>19</v>
      </c>
      <c r="M5" s="15" t="s">
        <v>30</v>
      </c>
      <c r="N5" s="15"/>
      <c r="O5" s="15"/>
      <c r="P5" s="15" t="s">
        <v>31</v>
      </c>
      <c r="Q5" s="15" t="b">
        <v>0</v>
      </c>
    </row>
    <row r="6" spans="1:17" ht="14.45">
      <c r="A6" s="15">
        <v>1005</v>
      </c>
      <c r="B6" s="15">
        <v>5</v>
      </c>
      <c r="C6" s="15">
        <v>0</v>
      </c>
      <c r="D6" s="15">
        <v>153</v>
      </c>
      <c r="E6" s="15" t="b">
        <v>1</v>
      </c>
      <c r="F6" s="15" t="b">
        <v>0</v>
      </c>
      <c r="G6" s="17" t="s">
        <v>17</v>
      </c>
      <c r="H6" s="15" t="s">
        <v>25</v>
      </c>
      <c r="I6" s="17" t="s">
        <v>32</v>
      </c>
      <c r="J6" s="15"/>
      <c r="K6" s="15">
        <v>103</v>
      </c>
      <c r="L6" s="120" t="s">
        <v>19</v>
      </c>
      <c r="M6" s="15" t="s">
        <v>33</v>
      </c>
      <c r="N6" s="15"/>
      <c r="O6" s="15"/>
      <c r="P6" s="15" t="s">
        <v>34</v>
      </c>
      <c r="Q6" s="15" t="b">
        <v>0</v>
      </c>
    </row>
    <row r="7" spans="1:17" ht="14.45" hidden="1">
      <c r="A7" s="15">
        <v>1006</v>
      </c>
      <c r="B7" s="15">
        <v>6</v>
      </c>
      <c r="C7" s="15">
        <v>0</v>
      </c>
      <c r="D7" s="15">
        <v>164</v>
      </c>
      <c r="E7" s="15" t="b">
        <v>1</v>
      </c>
      <c r="F7" s="15" t="b">
        <v>0</v>
      </c>
      <c r="G7" s="17" t="s">
        <v>17</v>
      </c>
      <c r="H7" s="15" t="s">
        <v>35</v>
      </c>
      <c r="I7" s="17" t="s">
        <v>36</v>
      </c>
      <c r="J7" s="15"/>
      <c r="K7" s="15"/>
      <c r="L7" s="120" t="s">
        <v>19</v>
      </c>
      <c r="M7" s="15" t="s">
        <v>37</v>
      </c>
      <c r="N7" s="15"/>
      <c r="O7" s="15"/>
      <c r="P7" s="15" t="s">
        <v>38</v>
      </c>
      <c r="Q7" s="15" t="b">
        <v>0</v>
      </c>
    </row>
    <row r="8" spans="1:17" ht="14.45">
      <c r="A8" s="15">
        <v>1007</v>
      </c>
      <c r="B8" s="15">
        <v>7</v>
      </c>
      <c r="C8" s="15">
        <v>0</v>
      </c>
      <c r="D8" s="15">
        <v>154</v>
      </c>
      <c r="E8" s="15" t="b">
        <v>1</v>
      </c>
      <c r="F8" s="15" t="b">
        <v>0</v>
      </c>
      <c r="G8" s="17" t="s">
        <v>17</v>
      </c>
      <c r="H8" s="15" t="s">
        <v>35</v>
      </c>
      <c r="I8" s="17" t="s">
        <v>39</v>
      </c>
      <c r="J8" s="15"/>
      <c r="K8" s="15">
        <v>104</v>
      </c>
      <c r="L8" s="120" t="s">
        <v>19</v>
      </c>
      <c r="M8" s="15" t="s">
        <v>40</v>
      </c>
      <c r="N8" s="15"/>
      <c r="O8" s="15"/>
      <c r="P8" s="15" t="s">
        <v>41</v>
      </c>
      <c r="Q8" s="15" t="b">
        <v>0</v>
      </c>
    </row>
    <row r="9" spans="1:17" ht="14.45">
      <c r="A9" s="15">
        <v>1008</v>
      </c>
      <c r="B9" s="15">
        <v>8</v>
      </c>
      <c r="C9" s="15">
        <v>0</v>
      </c>
      <c r="D9" s="15">
        <v>148</v>
      </c>
      <c r="E9" s="15" t="b">
        <v>1</v>
      </c>
      <c r="F9" s="15" t="b">
        <v>0</v>
      </c>
      <c r="G9" s="17" t="s">
        <v>17</v>
      </c>
      <c r="H9" s="15" t="s">
        <v>35</v>
      </c>
      <c r="I9" s="17" t="s">
        <v>42</v>
      </c>
      <c r="J9" s="15"/>
      <c r="K9" s="15">
        <v>105</v>
      </c>
      <c r="L9" s="120" t="s">
        <v>19</v>
      </c>
      <c r="M9" s="15" t="s">
        <v>43</v>
      </c>
      <c r="N9" s="15"/>
      <c r="O9" s="15"/>
      <c r="P9" s="15" t="s">
        <v>44</v>
      </c>
      <c r="Q9" s="15" t="b">
        <v>0</v>
      </c>
    </row>
    <row r="10" spans="1:17" ht="14.45" hidden="1">
      <c r="A10" s="15">
        <v>1009</v>
      </c>
      <c r="B10" s="15">
        <v>9</v>
      </c>
      <c r="C10" s="15">
        <v>0</v>
      </c>
      <c r="D10" s="15">
        <v>164</v>
      </c>
      <c r="E10" s="15" t="b">
        <v>1</v>
      </c>
      <c r="F10" s="15" t="b">
        <v>0</v>
      </c>
      <c r="G10" s="17" t="s">
        <v>17</v>
      </c>
      <c r="H10" s="15" t="s">
        <v>45</v>
      </c>
      <c r="I10" s="17" t="s">
        <v>45</v>
      </c>
      <c r="J10" s="15">
        <v>1</v>
      </c>
      <c r="K10" s="15"/>
      <c r="L10" s="120" t="s">
        <v>19</v>
      </c>
      <c r="M10" s="15" t="s">
        <v>46</v>
      </c>
      <c r="N10" s="15"/>
      <c r="O10" s="15"/>
      <c r="P10" s="15" t="s">
        <v>47</v>
      </c>
      <c r="Q10" s="15" t="b">
        <v>0</v>
      </c>
    </row>
    <row r="11" spans="1:17" ht="14.45">
      <c r="A11" s="15">
        <v>1010</v>
      </c>
      <c r="B11" s="15">
        <v>10</v>
      </c>
      <c r="C11" s="15">
        <v>0</v>
      </c>
      <c r="D11" s="15">
        <v>164</v>
      </c>
      <c r="E11" s="15" t="b">
        <v>1</v>
      </c>
      <c r="F11" s="15" t="b">
        <v>0</v>
      </c>
      <c r="G11" s="17" t="s">
        <v>17</v>
      </c>
      <c r="H11" s="15" t="s">
        <v>48</v>
      </c>
      <c r="I11" s="17" t="s">
        <v>49</v>
      </c>
      <c r="J11" s="15"/>
      <c r="K11" s="15">
        <v>106</v>
      </c>
      <c r="L11" s="120" t="s">
        <v>19</v>
      </c>
      <c r="M11" s="15" t="s">
        <v>50</v>
      </c>
      <c r="N11" s="15"/>
      <c r="O11" s="15"/>
      <c r="P11" s="15" t="s">
        <v>51</v>
      </c>
      <c r="Q11" s="15" t="b">
        <v>0</v>
      </c>
    </row>
    <row r="12" spans="1:17" ht="14.45">
      <c r="A12" s="15">
        <v>1011</v>
      </c>
      <c r="B12" s="15">
        <v>11</v>
      </c>
      <c r="C12" s="15">
        <v>0</v>
      </c>
      <c r="D12" s="15">
        <v>159</v>
      </c>
      <c r="E12" s="15" t="b">
        <v>1</v>
      </c>
      <c r="F12" s="15" t="b">
        <v>0</v>
      </c>
      <c r="G12" s="17" t="s">
        <v>17</v>
      </c>
      <c r="H12" s="15" t="s">
        <v>48</v>
      </c>
      <c r="I12" s="17" t="s">
        <v>52</v>
      </c>
      <c r="J12" s="15"/>
      <c r="K12" s="15">
        <v>107</v>
      </c>
      <c r="L12" s="120" t="s">
        <v>19</v>
      </c>
      <c r="M12" s="15" t="s">
        <v>53</v>
      </c>
      <c r="N12" s="15"/>
      <c r="O12" s="15"/>
      <c r="P12" s="15" t="s">
        <v>54</v>
      </c>
      <c r="Q12" s="15" t="b">
        <v>0</v>
      </c>
    </row>
    <row r="13" spans="1:17" ht="14.45">
      <c r="A13" s="15">
        <v>1012</v>
      </c>
      <c r="B13" s="15">
        <v>12</v>
      </c>
      <c r="C13" s="15">
        <v>0</v>
      </c>
      <c r="D13" s="15">
        <v>149</v>
      </c>
      <c r="E13" s="15" t="b">
        <v>1</v>
      </c>
      <c r="F13" s="15" t="b">
        <v>0</v>
      </c>
      <c r="G13" s="17" t="s">
        <v>17</v>
      </c>
      <c r="H13" s="15" t="s">
        <v>48</v>
      </c>
      <c r="I13" s="17" t="s">
        <v>55</v>
      </c>
      <c r="J13" s="15"/>
      <c r="K13" s="15">
        <v>108</v>
      </c>
      <c r="L13" s="120" t="s">
        <v>19</v>
      </c>
      <c r="M13" s="15" t="s">
        <v>56</v>
      </c>
      <c r="N13" s="15"/>
      <c r="O13" s="15"/>
      <c r="P13" s="15" t="s">
        <v>57</v>
      </c>
      <c r="Q13" s="15" t="b">
        <v>0</v>
      </c>
    </row>
    <row r="14" spans="1:17" ht="14.45">
      <c r="A14" s="15">
        <v>1013</v>
      </c>
      <c r="B14" s="15">
        <v>13</v>
      </c>
      <c r="C14" s="15">
        <v>0</v>
      </c>
      <c r="D14" s="15">
        <v>150</v>
      </c>
      <c r="E14" s="15" t="b">
        <v>1</v>
      </c>
      <c r="F14" s="15" t="b">
        <v>0</v>
      </c>
      <c r="G14" s="17" t="s">
        <v>17</v>
      </c>
      <c r="H14" s="15" t="s">
        <v>48</v>
      </c>
      <c r="I14" s="17" t="s">
        <v>58</v>
      </c>
      <c r="J14" s="15"/>
      <c r="K14" s="15">
        <v>109</v>
      </c>
      <c r="L14" s="120" t="s">
        <v>19</v>
      </c>
      <c r="M14" s="15" t="s">
        <v>59</v>
      </c>
      <c r="N14" s="15"/>
      <c r="O14" s="15"/>
      <c r="P14" s="15" t="s">
        <v>60</v>
      </c>
      <c r="Q14" s="15" t="b">
        <v>0</v>
      </c>
    </row>
    <row r="15" spans="1:17" ht="14.45">
      <c r="A15" s="15">
        <v>1014</v>
      </c>
      <c r="B15" s="15">
        <v>14</v>
      </c>
      <c r="C15" s="15">
        <v>0</v>
      </c>
      <c r="D15" s="15">
        <v>142</v>
      </c>
      <c r="E15" s="15" t="b">
        <v>1</v>
      </c>
      <c r="F15" s="15" t="b">
        <v>0</v>
      </c>
      <c r="G15" s="17" t="s">
        <v>17</v>
      </c>
      <c r="H15" s="15" t="s">
        <v>48</v>
      </c>
      <c r="I15" s="17" t="s">
        <v>61</v>
      </c>
      <c r="J15" s="15"/>
      <c r="K15" s="15">
        <v>110</v>
      </c>
      <c r="L15" s="120" t="s">
        <v>19</v>
      </c>
      <c r="M15" s="15" t="s">
        <v>62</v>
      </c>
      <c r="N15" s="15"/>
      <c r="O15" s="15"/>
      <c r="P15" s="15" t="s">
        <v>63</v>
      </c>
      <c r="Q15" s="15" t="b">
        <v>0</v>
      </c>
    </row>
    <row r="16" spans="1:17" ht="14.45" hidden="1">
      <c r="A16" s="15">
        <v>1015</v>
      </c>
      <c r="B16" s="15">
        <v>15</v>
      </c>
      <c r="C16" s="15">
        <v>0</v>
      </c>
      <c r="D16" s="15">
        <v>163</v>
      </c>
      <c r="E16" s="15" t="b">
        <v>1</v>
      </c>
      <c r="F16" s="15" t="b">
        <v>0</v>
      </c>
      <c r="G16" s="17" t="s">
        <v>17</v>
      </c>
      <c r="H16" s="15" t="s">
        <v>48</v>
      </c>
      <c r="I16" s="17" t="s">
        <v>64</v>
      </c>
      <c r="J16" s="15"/>
      <c r="K16" s="15"/>
      <c r="L16" s="120" t="s">
        <v>19</v>
      </c>
      <c r="M16" s="15" t="s">
        <v>65</v>
      </c>
      <c r="N16" s="15"/>
      <c r="O16" s="15"/>
      <c r="P16" s="15" t="s">
        <v>66</v>
      </c>
      <c r="Q16" s="15" t="b">
        <v>0</v>
      </c>
    </row>
    <row r="17" spans="1:17" ht="14.45">
      <c r="A17" s="15">
        <v>1016</v>
      </c>
      <c r="B17" s="15">
        <v>16</v>
      </c>
      <c r="C17" s="15">
        <v>0</v>
      </c>
      <c r="D17" s="15">
        <v>176</v>
      </c>
      <c r="E17" s="15" t="b">
        <v>1</v>
      </c>
      <c r="F17" s="15" t="b">
        <v>0</v>
      </c>
      <c r="G17" s="17" t="s">
        <v>17</v>
      </c>
      <c r="H17" s="15" t="s">
        <v>67</v>
      </c>
      <c r="I17" s="17" t="s">
        <v>68</v>
      </c>
      <c r="J17" s="15"/>
      <c r="K17" s="15">
        <v>111</v>
      </c>
      <c r="L17" s="120" t="s">
        <v>19</v>
      </c>
      <c r="M17" s="15" t="s">
        <v>69</v>
      </c>
      <c r="N17" s="15"/>
      <c r="O17" s="15"/>
      <c r="P17" s="15" t="s">
        <v>70</v>
      </c>
      <c r="Q17" s="15" t="b">
        <v>0</v>
      </c>
    </row>
    <row r="18" spans="1:17" ht="14.45">
      <c r="A18" s="15">
        <v>1017</v>
      </c>
      <c r="B18" s="15">
        <v>17</v>
      </c>
      <c r="C18" s="15">
        <v>0</v>
      </c>
      <c r="D18" s="15">
        <v>138</v>
      </c>
      <c r="E18" s="15" t="b">
        <v>1</v>
      </c>
      <c r="F18" s="15" t="b">
        <v>0</v>
      </c>
      <c r="G18" s="17" t="s">
        <v>17</v>
      </c>
      <c r="H18" s="15" t="s">
        <v>67</v>
      </c>
      <c r="I18" s="17" t="s">
        <v>71</v>
      </c>
      <c r="J18" s="15"/>
      <c r="K18" s="15">
        <v>112</v>
      </c>
      <c r="L18" s="120" t="s">
        <v>19</v>
      </c>
      <c r="M18" s="15" t="s">
        <v>72</v>
      </c>
      <c r="N18" s="15"/>
      <c r="O18" s="15"/>
      <c r="P18" s="15" t="s">
        <v>73</v>
      </c>
      <c r="Q18" s="15" t="b">
        <v>0</v>
      </c>
    </row>
    <row r="19" spans="1:17" ht="14.45" hidden="1">
      <c r="A19" s="15">
        <v>1018</v>
      </c>
      <c r="B19" s="15">
        <v>18</v>
      </c>
      <c r="C19" s="15">
        <v>0</v>
      </c>
      <c r="D19" s="15">
        <v>144</v>
      </c>
      <c r="E19" s="15" t="b">
        <v>1</v>
      </c>
      <c r="F19" s="15" t="b">
        <v>0</v>
      </c>
      <c r="G19" s="17" t="s">
        <v>17</v>
      </c>
      <c r="H19" s="15" t="s">
        <v>67</v>
      </c>
      <c r="I19" s="17" t="s">
        <v>74</v>
      </c>
      <c r="J19" s="15"/>
      <c r="K19" s="15"/>
      <c r="L19" s="120" t="s">
        <v>19</v>
      </c>
      <c r="M19" s="15" t="s">
        <v>75</v>
      </c>
      <c r="N19" s="15"/>
      <c r="O19" s="15"/>
      <c r="P19" s="15" t="s">
        <v>76</v>
      </c>
      <c r="Q19" s="15" t="b">
        <v>0</v>
      </c>
    </row>
    <row r="20" spans="1:17" ht="14.45">
      <c r="A20" s="15">
        <v>1019</v>
      </c>
      <c r="B20" s="15">
        <v>19</v>
      </c>
      <c r="C20" s="15">
        <v>0</v>
      </c>
      <c r="D20" s="15">
        <v>164</v>
      </c>
      <c r="E20" s="15" t="b">
        <v>1</v>
      </c>
      <c r="F20" s="15" t="b">
        <v>0</v>
      </c>
      <c r="G20" s="17" t="s">
        <v>17</v>
      </c>
      <c r="H20" s="15" t="s">
        <v>77</v>
      </c>
      <c r="I20" s="17" t="s">
        <v>78</v>
      </c>
      <c r="J20" s="15"/>
      <c r="K20" s="15">
        <v>113</v>
      </c>
      <c r="L20" s="120" t="s">
        <v>19</v>
      </c>
      <c r="M20" s="15" t="s">
        <v>79</v>
      </c>
      <c r="N20" s="15"/>
      <c r="O20" s="15"/>
      <c r="P20" s="15" t="s">
        <v>80</v>
      </c>
      <c r="Q20" s="15" t="b">
        <v>0</v>
      </c>
    </row>
    <row r="21" spans="1:17" ht="14.45" hidden="1">
      <c r="A21" s="15">
        <v>1020</v>
      </c>
      <c r="B21" s="15">
        <v>20</v>
      </c>
      <c r="C21" s="15">
        <v>0</v>
      </c>
      <c r="D21" s="15">
        <v>151</v>
      </c>
      <c r="E21" s="15" t="b">
        <v>1</v>
      </c>
      <c r="F21" s="15" t="b">
        <v>0</v>
      </c>
      <c r="G21" s="17" t="s">
        <v>17</v>
      </c>
      <c r="H21" s="15" t="s">
        <v>77</v>
      </c>
      <c r="I21" s="17" t="s">
        <v>81</v>
      </c>
      <c r="J21" s="15"/>
      <c r="K21" s="15"/>
      <c r="L21" s="120" t="s">
        <v>19</v>
      </c>
      <c r="M21" s="15" t="s">
        <v>82</v>
      </c>
      <c r="N21" s="15"/>
      <c r="O21" s="15"/>
      <c r="P21" s="15" t="s">
        <v>83</v>
      </c>
      <c r="Q21" s="15" t="b">
        <v>0</v>
      </c>
    </row>
    <row r="22" spans="1:17" ht="14.45">
      <c r="A22" s="15">
        <v>1021</v>
      </c>
      <c r="B22" s="15">
        <v>21</v>
      </c>
      <c r="C22" s="15">
        <v>0</v>
      </c>
      <c r="D22" s="15">
        <v>164</v>
      </c>
      <c r="E22" s="15" t="b">
        <v>1</v>
      </c>
      <c r="F22" s="15" t="b">
        <v>0</v>
      </c>
      <c r="G22" s="17" t="s">
        <v>17</v>
      </c>
      <c r="H22" s="15" t="s">
        <v>84</v>
      </c>
      <c r="I22" s="17" t="s">
        <v>85</v>
      </c>
      <c r="J22" s="15"/>
      <c r="K22" s="15">
        <v>114</v>
      </c>
      <c r="L22" s="120" t="s">
        <v>19</v>
      </c>
      <c r="M22" s="20" t="s">
        <v>86</v>
      </c>
      <c r="P22" s="15" t="s">
        <v>87</v>
      </c>
      <c r="Q22" s="15" t="b">
        <v>0</v>
      </c>
    </row>
    <row r="23" spans="1:17" ht="14.45">
      <c r="A23" s="15">
        <v>1022</v>
      </c>
      <c r="B23" s="15">
        <v>22</v>
      </c>
      <c r="C23" s="15">
        <v>0</v>
      </c>
      <c r="D23" s="15">
        <v>156</v>
      </c>
      <c r="E23" s="15" t="b">
        <v>1</v>
      </c>
      <c r="F23" s="15" t="b">
        <v>0</v>
      </c>
      <c r="G23" s="17" t="s">
        <v>17</v>
      </c>
      <c r="H23" s="15" t="s">
        <v>84</v>
      </c>
      <c r="I23" s="17" t="s">
        <v>88</v>
      </c>
      <c r="J23" s="15"/>
      <c r="K23" s="15">
        <v>115</v>
      </c>
      <c r="L23" s="120" t="s">
        <v>19</v>
      </c>
      <c r="M23" s="15" t="s">
        <v>89</v>
      </c>
      <c r="N23" s="15"/>
      <c r="O23" s="15"/>
      <c r="P23" s="15" t="s">
        <v>90</v>
      </c>
      <c r="Q23" s="15" t="b">
        <v>0</v>
      </c>
    </row>
    <row r="24" spans="1:17" ht="14.45">
      <c r="A24" s="15">
        <v>1023</v>
      </c>
      <c r="B24" s="15">
        <v>23</v>
      </c>
      <c r="C24" s="15">
        <v>0</v>
      </c>
      <c r="D24" s="15">
        <v>158</v>
      </c>
      <c r="E24" s="15" t="b">
        <v>1</v>
      </c>
      <c r="F24" s="15" t="b">
        <v>0</v>
      </c>
      <c r="G24" s="17" t="s">
        <v>17</v>
      </c>
      <c r="H24" s="15" t="s">
        <v>84</v>
      </c>
      <c r="I24" s="17" t="s">
        <v>91</v>
      </c>
      <c r="J24" s="15"/>
      <c r="K24" s="15">
        <v>116</v>
      </c>
      <c r="L24" s="120" t="s">
        <v>19</v>
      </c>
      <c r="M24" s="15" t="s">
        <v>92</v>
      </c>
      <c r="N24" s="15"/>
      <c r="O24" s="15"/>
      <c r="P24" s="15" t="s">
        <v>93</v>
      </c>
      <c r="Q24" s="15" t="b">
        <v>0</v>
      </c>
    </row>
    <row r="25" spans="1:17" ht="14.45" hidden="1">
      <c r="A25" s="15">
        <v>1024</v>
      </c>
      <c r="B25" s="15">
        <v>24</v>
      </c>
      <c r="C25" s="15">
        <v>0</v>
      </c>
      <c r="D25" s="15">
        <v>164</v>
      </c>
      <c r="E25" s="15" t="b">
        <v>1</v>
      </c>
      <c r="F25" s="15" t="b">
        <v>0</v>
      </c>
      <c r="G25" s="17" t="s">
        <v>17</v>
      </c>
      <c r="H25" s="15" t="s">
        <v>94</v>
      </c>
      <c r="I25" s="17" t="s">
        <v>94</v>
      </c>
      <c r="J25" s="15">
        <v>1</v>
      </c>
      <c r="K25" s="15"/>
      <c r="L25" s="120" t="s">
        <v>19</v>
      </c>
      <c r="M25" s="15" t="s">
        <v>95</v>
      </c>
      <c r="N25" s="15"/>
      <c r="O25" s="15"/>
      <c r="P25" s="15" t="s">
        <v>96</v>
      </c>
      <c r="Q25" s="15" t="b">
        <v>0</v>
      </c>
    </row>
    <row r="26" spans="1:17" ht="14.45">
      <c r="A26" s="15">
        <v>1025</v>
      </c>
      <c r="B26" s="15">
        <v>25</v>
      </c>
      <c r="C26" s="15">
        <v>0</v>
      </c>
      <c r="D26" s="15">
        <v>164</v>
      </c>
      <c r="E26" s="15" t="b">
        <v>1</v>
      </c>
      <c r="F26" s="15" t="b">
        <v>0</v>
      </c>
      <c r="G26" s="17" t="s">
        <v>17</v>
      </c>
      <c r="H26" s="15" t="s">
        <v>97</v>
      </c>
      <c r="I26" s="17" t="s">
        <v>49</v>
      </c>
      <c r="J26" s="15"/>
      <c r="K26" s="15">
        <v>106</v>
      </c>
      <c r="L26" s="120" t="s">
        <v>19</v>
      </c>
      <c r="M26" s="15" t="s">
        <v>50</v>
      </c>
      <c r="N26" s="15"/>
      <c r="O26" s="15"/>
      <c r="P26" s="15" t="s">
        <v>51</v>
      </c>
      <c r="Q26" s="15" t="b">
        <v>0</v>
      </c>
    </row>
    <row r="27" spans="1:17" ht="14.45">
      <c r="A27" s="15">
        <v>1026</v>
      </c>
      <c r="B27" s="15">
        <v>26</v>
      </c>
      <c r="C27" s="15">
        <v>0</v>
      </c>
      <c r="D27" s="15">
        <v>159</v>
      </c>
      <c r="E27" s="15" t="b">
        <v>1</v>
      </c>
      <c r="F27" s="15" t="b">
        <v>0</v>
      </c>
      <c r="G27" s="17" t="s">
        <v>17</v>
      </c>
      <c r="H27" s="15" t="s">
        <v>97</v>
      </c>
      <c r="I27" s="17" t="s">
        <v>52</v>
      </c>
      <c r="J27" s="15"/>
      <c r="K27" s="15">
        <v>107</v>
      </c>
      <c r="L27" s="120" t="s">
        <v>19</v>
      </c>
      <c r="M27" s="15" t="s">
        <v>53</v>
      </c>
      <c r="N27" s="15"/>
      <c r="O27" s="15"/>
      <c r="P27" s="15" t="s">
        <v>54</v>
      </c>
      <c r="Q27" s="15" t="b">
        <v>0</v>
      </c>
    </row>
    <row r="28" spans="1:17" ht="14.45">
      <c r="A28" s="15">
        <v>1027</v>
      </c>
      <c r="B28" s="15">
        <v>27</v>
      </c>
      <c r="C28" s="15">
        <v>0</v>
      </c>
      <c r="D28" s="15">
        <v>149</v>
      </c>
      <c r="E28" s="15" t="b">
        <v>1</v>
      </c>
      <c r="F28" s="15" t="b">
        <v>0</v>
      </c>
      <c r="G28" s="17" t="s">
        <v>17</v>
      </c>
      <c r="H28" s="15" t="s">
        <v>97</v>
      </c>
      <c r="I28" s="17" t="s">
        <v>55</v>
      </c>
      <c r="J28" s="15"/>
      <c r="K28" s="15">
        <v>108</v>
      </c>
      <c r="L28" s="120" t="s">
        <v>19</v>
      </c>
      <c r="M28" s="15" t="s">
        <v>56</v>
      </c>
      <c r="N28" s="15"/>
      <c r="O28" s="15"/>
      <c r="P28" s="15" t="s">
        <v>57</v>
      </c>
      <c r="Q28" s="15" t="b">
        <v>0</v>
      </c>
    </row>
    <row r="29" spans="1:17" ht="14.45">
      <c r="A29" s="15">
        <v>1028</v>
      </c>
      <c r="B29" s="15">
        <v>28</v>
      </c>
      <c r="C29" s="15">
        <v>0</v>
      </c>
      <c r="D29" s="15">
        <v>150</v>
      </c>
      <c r="E29" s="15" t="b">
        <v>1</v>
      </c>
      <c r="F29" s="15" t="b">
        <v>0</v>
      </c>
      <c r="G29" s="17" t="s">
        <v>17</v>
      </c>
      <c r="H29" s="15" t="s">
        <v>97</v>
      </c>
      <c r="I29" s="17" t="s">
        <v>58</v>
      </c>
      <c r="J29" s="15"/>
      <c r="K29" s="15">
        <v>109</v>
      </c>
      <c r="L29" s="120" t="s">
        <v>19</v>
      </c>
      <c r="M29" s="15" t="s">
        <v>59</v>
      </c>
      <c r="N29" s="15"/>
      <c r="O29" s="15"/>
      <c r="P29" s="15" t="s">
        <v>60</v>
      </c>
      <c r="Q29" s="15" t="b">
        <v>0</v>
      </c>
    </row>
    <row r="30" spans="1:17" ht="14.45">
      <c r="A30" s="15">
        <v>1029</v>
      </c>
      <c r="B30" s="15">
        <v>29</v>
      </c>
      <c r="C30" s="15">
        <v>0</v>
      </c>
      <c r="D30" s="15">
        <v>142</v>
      </c>
      <c r="E30" s="15" t="b">
        <v>1</v>
      </c>
      <c r="F30" s="15" t="b">
        <v>0</v>
      </c>
      <c r="G30" s="17" t="s">
        <v>17</v>
      </c>
      <c r="H30" s="15" t="s">
        <v>97</v>
      </c>
      <c r="I30" s="17" t="s">
        <v>61</v>
      </c>
      <c r="J30" s="15"/>
      <c r="K30" s="15">
        <v>110</v>
      </c>
      <c r="L30" s="120" t="s">
        <v>19</v>
      </c>
      <c r="M30" s="15" t="s">
        <v>62</v>
      </c>
      <c r="N30" s="15"/>
      <c r="O30" s="15"/>
      <c r="P30" s="15" t="s">
        <v>63</v>
      </c>
      <c r="Q30" s="15" t="b">
        <v>0</v>
      </c>
    </row>
    <row r="31" spans="1:17" ht="14.45" hidden="1">
      <c r="A31" s="15">
        <v>1030</v>
      </c>
      <c r="B31" s="15">
        <v>30</v>
      </c>
      <c r="C31" s="15">
        <v>0</v>
      </c>
      <c r="D31" s="15">
        <v>163</v>
      </c>
      <c r="E31" s="15" t="b">
        <v>1</v>
      </c>
      <c r="F31" s="15" t="b">
        <v>0</v>
      </c>
      <c r="G31" s="17" t="s">
        <v>17</v>
      </c>
      <c r="H31" s="15" t="s">
        <v>97</v>
      </c>
      <c r="I31" s="17" t="s">
        <v>64</v>
      </c>
      <c r="J31" s="15"/>
      <c r="K31" s="15"/>
      <c r="L31" s="120" t="s">
        <v>19</v>
      </c>
      <c r="M31" s="15" t="s">
        <v>65</v>
      </c>
      <c r="N31" s="15"/>
      <c r="O31" s="15"/>
      <c r="P31" s="15" t="s">
        <v>66</v>
      </c>
      <c r="Q31" s="15" t="b">
        <v>0</v>
      </c>
    </row>
    <row r="32" spans="1:17" ht="14.45">
      <c r="A32" s="15">
        <v>1031</v>
      </c>
      <c r="B32" s="15">
        <v>31</v>
      </c>
      <c r="C32" s="15">
        <v>0</v>
      </c>
      <c r="D32" s="15">
        <v>176</v>
      </c>
      <c r="E32" s="15" t="b">
        <v>1</v>
      </c>
      <c r="F32" s="15" t="b">
        <v>0</v>
      </c>
      <c r="G32" s="17" t="s">
        <v>17</v>
      </c>
      <c r="H32" s="15" t="s">
        <v>98</v>
      </c>
      <c r="I32" s="17" t="s">
        <v>68</v>
      </c>
      <c r="J32" s="15"/>
      <c r="K32" s="15">
        <v>111</v>
      </c>
      <c r="L32" s="120" t="s">
        <v>19</v>
      </c>
      <c r="M32" s="15" t="s">
        <v>69</v>
      </c>
      <c r="N32" s="15"/>
      <c r="O32" s="15"/>
      <c r="P32" s="15" t="s">
        <v>70</v>
      </c>
      <c r="Q32" s="15" t="b">
        <v>0</v>
      </c>
    </row>
    <row r="33" spans="1:17" ht="14.45">
      <c r="A33" s="15">
        <v>1032</v>
      </c>
      <c r="B33" s="15">
        <v>32</v>
      </c>
      <c r="C33" s="15">
        <v>0</v>
      </c>
      <c r="D33" s="15">
        <v>138</v>
      </c>
      <c r="E33" s="15" t="b">
        <v>1</v>
      </c>
      <c r="F33" s="15" t="b">
        <v>0</v>
      </c>
      <c r="G33" s="17" t="s">
        <v>17</v>
      </c>
      <c r="H33" s="15" t="s">
        <v>98</v>
      </c>
      <c r="I33" s="17" t="s">
        <v>71</v>
      </c>
      <c r="J33" s="15"/>
      <c r="K33" s="15">
        <v>112</v>
      </c>
      <c r="L33" s="120" t="s">
        <v>19</v>
      </c>
      <c r="M33" s="15" t="s">
        <v>72</v>
      </c>
      <c r="N33" s="15"/>
      <c r="O33" s="15"/>
      <c r="P33" s="15" t="s">
        <v>73</v>
      </c>
      <c r="Q33" s="15" t="b">
        <v>0</v>
      </c>
    </row>
    <row r="34" spans="1:17" ht="14.45" hidden="1">
      <c r="A34" s="15">
        <v>1033</v>
      </c>
      <c r="B34" s="15">
        <v>33</v>
      </c>
      <c r="C34" s="15">
        <v>0</v>
      </c>
      <c r="D34" s="15">
        <v>144</v>
      </c>
      <c r="E34" s="15" t="b">
        <v>1</v>
      </c>
      <c r="F34" s="15" t="b">
        <v>0</v>
      </c>
      <c r="G34" s="17" t="s">
        <v>17</v>
      </c>
      <c r="H34" s="15" t="s">
        <v>98</v>
      </c>
      <c r="I34" s="17" t="s">
        <v>74</v>
      </c>
      <c r="J34" s="15"/>
      <c r="K34" s="15"/>
      <c r="L34" s="120" t="s">
        <v>19</v>
      </c>
      <c r="M34" s="15" t="s">
        <v>75</v>
      </c>
      <c r="N34" s="15"/>
      <c r="O34" s="15"/>
      <c r="P34" s="15" t="s">
        <v>76</v>
      </c>
      <c r="Q34" s="15" t="b">
        <v>0</v>
      </c>
    </row>
    <row r="35" spans="1:17" ht="14.45">
      <c r="A35" s="15">
        <v>1034</v>
      </c>
      <c r="B35" s="15">
        <v>34</v>
      </c>
      <c r="C35" s="15">
        <v>0</v>
      </c>
      <c r="D35" s="15">
        <v>164</v>
      </c>
      <c r="E35" s="15" t="b">
        <v>1</v>
      </c>
      <c r="F35" s="15" t="b">
        <v>0</v>
      </c>
      <c r="G35" s="17" t="s">
        <v>17</v>
      </c>
      <c r="H35" s="15" t="s">
        <v>99</v>
      </c>
      <c r="I35" s="17" t="s">
        <v>78</v>
      </c>
      <c r="J35" s="15"/>
      <c r="K35" s="15">
        <v>113</v>
      </c>
      <c r="L35" s="120" t="s">
        <v>19</v>
      </c>
      <c r="M35" s="15" t="s">
        <v>79</v>
      </c>
      <c r="N35" s="15"/>
      <c r="O35" s="15"/>
      <c r="P35" s="15" t="s">
        <v>80</v>
      </c>
      <c r="Q35" s="15" t="b">
        <v>0</v>
      </c>
    </row>
    <row r="36" spans="1:17" ht="14.45" hidden="1">
      <c r="A36" s="15">
        <v>1035</v>
      </c>
      <c r="B36" s="15">
        <v>35</v>
      </c>
      <c r="C36" s="15">
        <v>0</v>
      </c>
      <c r="D36" s="15">
        <v>151</v>
      </c>
      <c r="E36" s="15" t="b">
        <v>1</v>
      </c>
      <c r="F36" s="15" t="b">
        <v>0</v>
      </c>
      <c r="G36" s="17" t="s">
        <v>17</v>
      </c>
      <c r="H36" s="15" t="s">
        <v>99</v>
      </c>
      <c r="I36" s="17" t="s">
        <v>81</v>
      </c>
      <c r="J36" s="15"/>
      <c r="K36" s="15"/>
      <c r="L36" s="120" t="s">
        <v>19</v>
      </c>
      <c r="M36" s="15" t="s">
        <v>82</v>
      </c>
      <c r="N36" s="15"/>
      <c r="O36" s="15"/>
      <c r="P36" s="15" t="s">
        <v>83</v>
      </c>
      <c r="Q36" s="15" t="b">
        <v>0</v>
      </c>
    </row>
    <row r="37" spans="1:17" ht="14.45">
      <c r="A37" s="15">
        <v>1036</v>
      </c>
      <c r="B37" s="15">
        <v>36</v>
      </c>
      <c r="C37" s="15">
        <v>0</v>
      </c>
      <c r="D37" s="15">
        <v>164</v>
      </c>
      <c r="E37" s="15" t="b">
        <v>1</v>
      </c>
      <c r="F37" s="15" t="b">
        <v>0</v>
      </c>
      <c r="G37" s="17" t="s">
        <v>17</v>
      </c>
      <c r="H37" s="15" t="s">
        <v>100</v>
      </c>
      <c r="I37" s="17" t="s">
        <v>101</v>
      </c>
      <c r="J37" s="15"/>
      <c r="K37" s="15">
        <v>117</v>
      </c>
      <c r="L37" s="120" t="s">
        <v>19</v>
      </c>
      <c r="M37" s="15" t="s">
        <v>102</v>
      </c>
      <c r="N37" s="15"/>
      <c r="O37" s="15"/>
      <c r="P37" s="15" t="s">
        <v>103</v>
      </c>
      <c r="Q37" s="15" t="b">
        <v>0</v>
      </c>
    </row>
    <row r="38" spans="1:17" ht="14.45">
      <c r="A38" s="15">
        <v>1037</v>
      </c>
      <c r="B38" s="15">
        <v>37</v>
      </c>
      <c r="C38" s="15">
        <v>0</v>
      </c>
      <c r="D38" s="15">
        <v>155</v>
      </c>
      <c r="E38" s="15" t="b">
        <v>1</v>
      </c>
      <c r="F38" s="15" t="b">
        <v>0</v>
      </c>
      <c r="G38" s="17" t="s">
        <v>17</v>
      </c>
      <c r="H38" s="15" t="s">
        <v>100</v>
      </c>
      <c r="I38" s="17" t="s">
        <v>104</v>
      </c>
      <c r="J38" s="15"/>
      <c r="K38" s="119">
        <v>118</v>
      </c>
      <c r="L38" s="120" t="s">
        <v>19</v>
      </c>
      <c r="M38" s="15" t="s">
        <v>105</v>
      </c>
      <c r="N38" s="15"/>
      <c r="O38" s="15"/>
      <c r="P38" s="15" t="s">
        <v>106</v>
      </c>
      <c r="Q38" s="15" t="b">
        <v>0</v>
      </c>
    </row>
    <row r="39" spans="1:17" ht="14.45">
      <c r="A39" s="15">
        <v>1038</v>
      </c>
      <c r="B39" s="15">
        <v>38</v>
      </c>
      <c r="C39" s="15">
        <v>0</v>
      </c>
      <c r="D39" s="15">
        <v>152</v>
      </c>
      <c r="E39" s="15" t="b">
        <v>1</v>
      </c>
      <c r="F39" s="15" t="b">
        <v>0</v>
      </c>
      <c r="G39" s="17" t="s">
        <v>17</v>
      </c>
      <c r="H39" s="15" t="s">
        <v>100</v>
      </c>
      <c r="I39" s="17" t="s">
        <v>107</v>
      </c>
      <c r="J39" s="15"/>
      <c r="K39" s="119">
        <v>119</v>
      </c>
      <c r="L39" s="120" t="s">
        <v>19</v>
      </c>
      <c r="M39" s="15" t="s">
        <v>108</v>
      </c>
      <c r="N39" s="15"/>
      <c r="O39" s="15"/>
      <c r="P39" s="15" t="s">
        <v>109</v>
      </c>
      <c r="Q39" s="15" t="b">
        <v>0</v>
      </c>
    </row>
    <row r="40" spans="1:17" ht="14.45">
      <c r="A40" s="15">
        <v>1039</v>
      </c>
      <c r="B40" s="15">
        <v>39</v>
      </c>
      <c r="C40" s="15">
        <v>0</v>
      </c>
      <c r="D40" s="15">
        <v>146</v>
      </c>
      <c r="E40" s="15" t="b">
        <v>1</v>
      </c>
      <c r="F40" s="15" t="b">
        <v>0</v>
      </c>
      <c r="G40" s="17" t="s">
        <v>17</v>
      </c>
      <c r="H40" s="15" t="s">
        <v>100</v>
      </c>
      <c r="I40" s="17" t="s">
        <v>110</v>
      </c>
      <c r="J40" s="15"/>
      <c r="K40" s="15">
        <v>122</v>
      </c>
      <c r="L40" s="120" t="s">
        <v>19</v>
      </c>
      <c r="M40" s="15" t="s">
        <v>111</v>
      </c>
      <c r="N40" s="15"/>
      <c r="O40" s="15"/>
      <c r="P40" s="15" t="s">
        <v>112</v>
      </c>
      <c r="Q40" s="15" t="b">
        <v>0</v>
      </c>
    </row>
    <row r="41" spans="1:17" ht="14.45">
      <c r="A41" s="15">
        <v>1040</v>
      </c>
      <c r="B41" s="15">
        <v>40</v>
      </c>
      <c r="C41" s="15">
        <v>0</v>
      </c>
      <c r="D41" s="15">
        <v>162</v>
      </c>
      <c r="E41" s="15" t="b">
        <v>1</v>
      </c>
      <c r="F41" s="15" t="b">
        <v>0</v>
      </c>
      <c r="G41" s="17" t="s">
        <v>17</v>
      </c>
      <c r="H41" s="15" t="s">
        <v>113</v>
      </c>
      <c r="I41" s="17" t="s">
        <v>114</v>
      </c>
      <c r="J41" s="15"/>
      <c r="K41" s="15">
        <v>120</v>
      </c>
      <c r="L41" s="120" t="s">
        <v>19</v>
      </c>
      <c r="M41" s="15" t="s">
        <v>115</v>
      </c>
      <c r="N41" s="15"/>
      <c r="O41" s="15"/>
      <c r="P41" s="15" t="s">
        <v>116</v>
      </c>
      <c r="Q41" s="15" t="b">
        <v>0</v>
      </c>
    </row>
    <row r="42" spans="1:17" ht="14.45">
      <c r="A42" s="15">
        <v>1041</v>
      </c>
      <c r="B42" s="15">
        <v>41</v>
      </c>
      <c r="C42" s="15">
        <v>0</v>
      </c>
      <c r="D42" s="15">
        <v>161</v>
      </c>
      <c r="E42" s="15" t="b">
        <v>1</v>
      </c>
      <c r="F42" s="15" t="b">
        <v>0</v>
      </c>
      <c r="G42" s="17" t="s">
        <v>17</v>
      </c>
      <c r="H42" s="15" t="s">
        <v>113</v>
      </c>
      <c r="I42" s="17" t="s">
        <v>117</v>
      </c>
      <c r="J42" s="15"/>
      <c r="K42" s="15">
        <v>123</v>
      </c>
      <c r="L42" s="120" t="s">
        <v>19</v>
      </c>
      <c r="M42" s="15" t="s">
        <v>118</v>
      </c>
      <c r="N42" s="15"/>
      <c r="O42" s="15"/>
      <c r="P42" s="15" t="s">
        <v>119</v>
      </c>
      <c r="Q42" s="15" t="b">
        <v>0</v>
      </c>
    </row>
    <row r="43" spans="1:17" ht="14.45" hidden="1">
      <c r="A43" s="15">
        <v>1042</v>
      </c>
      <c r="B43" s="15">
        <v>42</v>
      </c>
      <c r="C43" s="15">
        <v>0</v>
      </c>
      <c r="D43" s="15">
        <v>164</v>
      </c>
      <c r="E43" s="15" t="b">
        <v>1</v>
      </c>
      <c r="F43" s="15" t="b">
        <v>0</v>
      </c>
      <c r="G43" s="17" t="s">
        <v>17</v>
      </c>
      <c r="H43" s="15" t="s">
        <v>120</v>
      </c>
      <c r="I43" s="17" t="s">
        <v>120</v>
      </c>
      <c r="J43" s="15">
        <v>1</v>
      </c>
      <c r="K43" s="15"/>
      <c r="L43" s="120" t="s">
        <v>19</v>
      </c>
      <c r="M43" s="15" t="s">
        <v>121</v>
      </c>
      <c r="N43" s="15"/>
      <c r="O43" s="15"/>
      <c r="P43" s="15" t="s">
        <v>122</v>
      </c>
      <c r="Q43" s="15" t="b">
        <v>0</v>
      </c>
    </row>
    <row r="44" spans="1:17" ht="14.45">
      <c r="A44" s="15">
        <v>1043</v>
      </c>
      <c r="B44" s="15">
        <v>43</v>
      </c>
      <c r="C44" s="15">
        <v>0</v>
      </c>
      <c r="D44" s="15">
        <v>164</v>
      </c>
      <c r="E44" s="15" t="b">
        <v>1</v>
      </c>
      <c r="F44" s="15" t="b">
        <v>0</v>
      </c>
      <c r="G44" s="17" t="s">
        <v>17</v>
      </c>
      <c r="H44" s="15" t="s">
        <v>123</v>
      </c>
      <c r="I44" s="17" t="s">
        <v>49</v>
      </c>
      <c r="J44" s="15"/>
      <c r="K44" s="15">
        <v>106</v>
      </c>
      <c r="L44" s="120" t="s">
        <v>19</v>
      </c>
      <c r="M44" s="15" t="s">
        <v>50</v>
      </c>
      <c r="N44" s="15"/>
      <c r="O44" s="15"/>
      <c r="P44" s="15" t="s">
        <v>51</v>
      </c>
      <c r="Q44" s="15" t="b">
        <v>0</v>
      </c>
    </row>
    <row r="45" spans="1:17" ht="14.45">
      <c r="A45" s="15">
        <v>1044</v>
      </c>
      <c r="B45" s="15">
        <v>44</v>
      </c>
      <c r="C45" s="15">
        <v>0</v>
      </c>
      <c r="D45" s="15">
        <v>159</v>
      </c>
      <c r="E45" s="15" t="b">
        <v>1</v>
      </c>
      <c r="F45" s="15" t="b">
        <v>0</v>
      </c>
      <c r="G45" s="17" t="s">
        <v>17</v>
      </c>
      <c r="H45" s="15" t="s">
        <v>123</v>
      </c>
      <c r="I45" s="17" t="s">
        <v>52</v>
      </c>
      <c r="J45" s="15"/>
      <c r="K45" s="15">
        <v>107</v>
      </c>
      <c r="L45" s="120" t="s">
        <v>19</v>
      </c>
      <c r="M45" s="15" t="s">
        <v>53</v>
      </c>
      <c r="N45" s="15"/>
      <c r="O45" s="15"/>
      <c r="P45" s="15" t="s">
        <v>54</v>
      </c>
      <c r="Q45" s="15" t="b">
        <v>0</v>
      </c>
    </row>
    <row r="46" spans="1:17" ht="14.45">
      <c r="A46" s="15">
        <v>1045</v>
      </c>
      <c r="B46" s="15">
        <v>45</v>
      </c>
      <c r="C46" s="15">
        <v>0</v>
      </c>
      <c r="D46" s="15">
        <v>149</v>
      </c>
      <c r="E46" s="15" t="b">
        <v>1</v>
      </c>
      <c r="F46" s="15" t="b">
        <v>0</v>
      </c>
      <c r="G46" s="17" t="s">
        <v>17</v>
      </c>
      <c r="H46" s="15" t="s">
        <v>123</v>
      </c>
      <c r="I46" s="17" t="s">
        <v>55</v>
      </c>
      <c r="J46" s="15"/>
      <c r="K46" s="15">
        <v>108</v>
      </c>
      <c r="L46" s="120" t="s">
        <v>19</v>
      </c>
      <c r="M46" s="15" t="s">
        <v>56</v>
      </c>
      <c r="N46" s="15"/>
      <c r="O46" s="15"/>
      <c r="P46" s="15" t="s">
        <v>57</v>
      </c>
      <c r="Q46" s="15" t="b">
        <v>0</v>
      </c>
    </row>
    <row r="47" spans="1:17" ht="14.45">
      <c r="A47" s="15">
        <v>1046</v>
      </c>
      <c r="B47" s="15">
        <v>46</v>
      </c>
      <c r="C47" s="15">
        <v>0</v>
      </c>
      <c r="D47" s="15">
        <v>150</v>
      </c>
      <c r="E47" s="15" t="b">
        <v>1</v>
      </c>
      <c r="F47" s="15" t="b">
        <v>0</v>
      </c>
      <c r="G47" s="17" t="s">
        <v>17</v>
      </c>
      <c r="H47" s="15" t="s">
        <v>123</v>
      </c>
      <c r="I47" s="17" t="s">
        <v>58</v>
      </c>
      <c r="J47" s="15"/>
      <c r="K47" s="15">
        <v>109</v>
      </c>
      <c r="L47" s="120" t="s">
        <v>19</v>
      </c>
      <c r="M47" s="15" t="s">
        <v>59</v>
      </c>
      <c r="N47" s="15"/>
      <c r="O47" s="15"/>
      <c r="P47" s="15" t="s">
        <v>60</v>
      </c>
      <c r="Q47" s="15" t="b">
        <v>0</v>
      </c>
    </row>
    <row r="48" spans="1:17" ht="14.45">
      <c r="A48" s="15">
        <v>1047</v>
      </c>
      <c r="B48" s="15">
        <v>47</v>
      </c>
      <c r="C48" s="15">
        <v>0</v>
      </c>
      <c r="D48" s="15">
        <v>142</v>
      </c>
      <c r="E48" s="15" t="b">
        <v>1</v>
      </c>
      <c r="F48" s="15" t="b">
        <v>0</v>
      </c>
      <c r="G48" s="17" t="s">
        <v>17</v>
      </c>
      <c r="H48" s="15" t="s">
        <v>123</v>
      </c>
      <c r="I48" s="17" t="s">
        <v>61</v>
      </c>
      <c r="J48" s="15"/>
      <c r="K48" s="15">
        <v>110</v>
      </c>
      <c r="L48" s="120" t="s">
        <v>19</v>
      </c>
      <c r="M48" s="15" t="s">
        <v>62</v>
      </c>
      <c r="N48" s="15"/>
      <c r="O48" s="15"/>
      <c r="P48" s="15" t="s">
        <v>63</v>
      </c>
      <c r="Q48" s="15" t="b">
        <v>0</v>
      </c>
    </row>
    <row r="49" spans="1:17" ht="14.45" hidden="1">
      <c r="A49" s="15">
        <v>1048</v>
      </c>
      <c r="B49" s="15">
        <v>48</v>
      </c>
      <c r="C49" s="15">
        <v>0</v>
      </c>
      <c r="D49" s="15">
        <v>163</v>
      </c>
      <c r="E49" s="15" t="b">
        <v>1</v>
      </c>
      <c r="F49" s="15" t="b">
        <v>0</v>
      </c>
      <c r="G49" s="17" t="s">
        <v>17</v>
      </c>
      <c r="H49" s="15" t="s">
        <v>123</v>
      </c>
      <c r="I49" s="17" t="s">
        <v>64</v>
      </c>
      <c r="J49" s="15"/>
      <c r="K49" s="15"/>
      <c r="L49" s="120" t="s">
        <v>19</v>
      </c>
      <c r="M49" s="15" t="s">
        <v>65</v>
      </c>
      <c r="N49" s="15"/>
      <c r="O49" s="15"/>
      <c r="P49" s="15" t="s">
        <v>66</v>
      </c>
      <c r="Q49" s="15" t="b">
        <v>0</v>
      </c>
    </row>
    <row r="50" spans="1:17" ht="14.45">
      <c r="A50" s="15">
        <v>1049</v>
      </c>
      <c r="B50" s="15">
        <v>49</v>
      </c>
      <c r="C50" s="15">
        <v>0</v>
      </c>
      <c r="D50" s="15">
        <v>176</v>
      </c>
      <c r="E50" s="15" t="b">
        <v>1</v>
      </c>
      <c r="F50" s="15" t="b">
        <v>0</v>
      </c>
      <c r="G50" s="17" t="s">
        <v>17</v>
      </c>
      <c r="H50" s="15" t="s">
        <v>124</v>
      </c>
      <c r="I50" s="17" t="s">
        <v>68</v>
      </c>
      <c r="J50" s="15"/>
      <c r="K50" s="15">
        <v>111</v>
      </c>
      <c r="L50" s="120" t="s">
        <v>19</v>
      </c>
      <c r="M50" s="15" t="s">
        <v>69</v>
      </c>
      <c r="N50" s="15"/>
      <c r="O50" s="15"/>
      <c r="P50" s="15" t="s">
        <v>70</v>
      </c>
      <c r="Q50" s="15" t="b">
        <v>0</v>
      </c>
    </row>
    <row r="51" spans="1:17" ht="14.45">
      <c r="A51" s="15">
        <v>1050</v>
      </c>
      <c r="B51" s="15">
        <v>50</v>
      </c>
      <c r="C51" s="15">
        <v>0</v>
      </c>
      <c r="D51" s="15">
        <v>138</v>
      </c>
      <c r="E51" s="15" t="b">
        <v>1</v>
      </c>
      <c r="F51" s="15" t="b">
        <v>0</v>
      </c>
      <c r="G51" s="17" t="s">
        <v>17</v>
      </c>
      <c r="H51" s="15" t="s">
        <v>124</v>
      </c>
      <c r="I51" s="17" t="s">
        <v>71</v>
      </c>
      <c r="J51" s="15"/>
      <c r="K51" s="15">
        <v>112</v>
      </c>
      <c r="L51" s="120" t="s">
        <v>19</v>
      </c>
      <c r="M51" s="15" t="s">
        <v>72</v>
      </c>
      <c r="N51" s="15"/>
      <c r="O51" s="15"/>
      <c r="P51" s="15" t="s">
        <v>73</v>
      </c>
      <c r="Q51" s="15" t="b">
        <v>0</v>
      </c>
    </row>
    <row r="52" spans="1:17" ht="14.45" hidden="1">
      <c r="A52" s="15">
        <v>1051</v>
      </c>
      <c r="B52" s="15">
        <v>51</v>
      </c>
      <c r="C52" s="15">
        <v>0</v>
      </c>
      <c r="D52" s="15">
        <v>144</v>
      </c>
      <c r="E52" s="15" t="b">
        <v>1</v>
      </c>
      <c r="F52" s="15" t="b">
        <v>0</v>
      </c>
      <c r="G52" s="17" t="s">
        <v>17</v>
      </c>
      <c r="H52" s="15" t="s">
        <v>124</v>
      </c>
      <c r="I52" s="17" t="s">
        <v>74</v>
      </c>
      <c r="J52" s="15"/>
      <c r="K52" s="15"/>
      <c r="L52" s="120" t="s">
        <v>19</v>
      </c>
      <c r="M52" s="15" t="s">
        <v>75</v>
      </c>
      <c r="N52" s="15"/>
      <c r="O52" s="15"/>
      <c r="P52" s="15" t="s">
        <v>76</v>
      </c>
      <c r="Q52" s="15" t="b">
        <v>0</v>
      </c>
    </row>
    <row r="53" spans="1:17" ht="14.45">
      <c r="A53" s="15">
        <v>1052</v>
      </c>
      <c r="B53" s="15">
        <v>52</v>
      </c>
      <c r="C53" s="15">
        <v>0</v>
      </c>
      <c r="D53" s="15">
        <v>164</v>
      </c>
      <c r="E53" s="15" t="b">
        <v>1</v>
      </c>
      <c r="F53" s="15" t="b">
        <v>0</v>
      </c>
      <c r="G53" s="17" t="s">
        <v>17</v>
      </c>
      <c r="H53" s="15" t="s">
        <v>125</v>
      </c>
      <c r="I53" s="17" t="s">
        <v>101</v>
      </c>
      <c r="J53" s="15"/>
      <c r="K53" s="15">
        <v>117</v>
      </c>
      <c r="L53" s="120" t="s">
        <v>19</v>
      </c>
      <c r="M53" s="15" t="s">
        <v>102</v>
      </c>
      <c r="N53" s="15"/>
      <c r="O53" s="15"/>
      <c r="P53" s="15" t="s">
        <v>103</v>
      </c>
      <c r="Q53" s="15" t="b">
        <v>0</v>
      </c>
    </row>
    <row r="54" spans="1:17" ht="14.45">
      <c r="A54" s="15">
        <v>1053</v>
      </c>
      <c r="B54" s="15">
        <v>53</v>
      </c>
      <c r="C54" s="15">
        <v>0</v>
      </c>
      <c r="D54" s="15">
        <v>155</v>
      </c>
      <c r="E54" s="15" t="b">
        <v>1</v>
      </c>
      <c r="F54" s="15" t="b">
        <v>0</v>
      </c>
      <c r="G54" s="17" t="s">
        <v>17</v>
      </c>
      <c r="H54" s="15" t="s">
        <v>125</v>
      </c>
      <c r="I54" s="17" t="s">
        <v>104</v>
      </c>
      <c r="J54" s="15"/>
      <c r="K54" s="15">
        <v>118</v>
      </c>
      <c r="L54" s="120" t="s">
        <v>19</v>
      </c>
      <c r="M54" s="15" t="s">
        <v>105</v>
      </c>
      <c r="N54" s="15"/>
      <c r="O54" s="15"/>
      <c r="P54" s="15" t="s">
        <v>106</v>
      </c>
      <c r="Q54" s="15" t="b">
        <v>0</v>
      </c>
    </row>
    <row r="55" spans="1:17" ht="14.45">
      <c r="A55" s="15">
        <v>1054</v>
      </c>
      <c r="B55" s="15">
        <v>54</v>
      </c>
      <c r="C55" s="15">
        <v>0</v>
      </c>
      <c r="D55" s="15">
        <v>152</v>
      </c>
      <c r="E55" s="15" t="b">
        <v>1</v>
      </c>
      <c r="F55" s="15" t="b">
        <v>0</v>
      </c>
      <c r="G55" s="17" t="s">
        <v>17</v>
      </c>
      <c r="H55" s="15" t="s">
        <v>125</v>
      </c>
      <c r="I55" s="17" t="s">
        <v>107</v>
      </c>
      <c r="J55" s="15"/>
      <c r="K55" s="15">
        <v>119</v>
      </c>
      <c r="L55" s="120" t="s">
        <v>19</v>
      </c>
      <c r="M55" s="15" t="s">
        <v>108</v>
      </c>
      <c r="N55" s="15"/>
      <c r="O55" s="15"/>
      <c r="P55" s="15" t="s">
        <v>109</v>
      </c>
      <c r="Q55" s="15" t="b">
        <v>0</v>
      </c>
    </row>
    <row r="56" spans="1:17" ht="14.45">
      <c r="A56" s="15">
        <v>1055</v>
      </c>
      <c r="B56" s="15">
        <v>55</v>
      </c>
      <c r="C56" s="15">
        <v>0</v>
      </c>
      <c r="D56" s="15">
        <v>146</v>
      </c>
      <c r="E56" s="15" t="b">
        <v>1</v>
      </c>
      <c r="F56" s="15" t="b">
        <v>0</v>
      </c>
      <c r="G56" s="17" t="s">
        <v>17</v>
      </c>
      <c r="H56" s="15" t="s">
        <v>125</v>
      </c>
      <c r="I56" s="17" t="s">
        <v>110</v>
      </c>
      <c r="J56" s="15"/>
      <c r="K56" s="15">
        <v>122</v>
      </c>
      <c r="L56" s="120" t="s">
        <v>19</v>
      </c>
      <c r="M56" s="15" t="s">
        <v>111</v>
      </c>
      <c r="N56" s="15"/>
      <c r="O56" s="15"/>
      <c r="P56" s="15" t="s">
        <v>112</v>
      </c>
      <c r="Q56" s="15" t="b">
        <v>0</v>
      </c>
    </row>
    <row r="57" spans="1:17" ht="14.45" hidden="1">
      <c r="A57" s="15">
        <v>1056</v>
      </c>
      <c r="B57" s="15">
        <v>56</v>
      </c>
      <c r="C57" s="15">
        <v>0</v>
      </c>
      <c r="D57" s="15">
        <v>164</v>
      </c>
      <c r="E57" s="15" t="b">
        <v>1</v>
      </c>
      <c r="F57" s="15" t="b">
        <v>0</v>
      </c>
      <c r="G57" s="17" t="s">
        <v>17</v>
      </c>
      <c r="H57" s="15" t="s">
        <v>126</v>
      </c>
      <c r="I57" s="17" t="s">
        <v>127</v>
      </c>
      <c r="J57" s="15">
        <v>1</v>
      </c>
      <c r="K57" s="15"/>
      <c r="L57" s="120" t="s">
        <v>19</v>
      </c>
      <c r="M57" s="15" t="s">
        <v>128</v>
      </c>
      <c r="N57" s="15"/>
      <c r="O57" s="15"/>
      <c r="P57" s="15" t="s">
        <v>129</v>
      </c>
      <c r="Q57" s="15" t="b">
        <v>0</v>
      </c>
    </row>
    <row r="58" spans="1:17" ht="14.45" hidden="1">
      <c r="A58" s="15">
        <v>1057</v>
      </c>
      <c r="B58" s="15">
        <v>57</v>
      </c>
      <c r="C58" s="15">
        <v>0</v>
      </c>
      <c r="D58" s="15">
        <v>164</v>
      </c>
      <c r="E58" s="15" t="b">
        <v>1</v>
      </c>
      <c r="F58" s="15" t="b">
        <v>0</v>
      </c>
      <c r="G58" s="17" t="s">
        <v>17</v>
      </c>
      <c r="H58" s="15" t="s">
        <v>130</v>
      </c>
      <c r="I58" s="17" t="s">
        <v>131</v>
      </c>
      <c r="J58" s="15"/>
      <c r="K58" s="15"/>
      <c r="L58" s="120" t="s">
        <v>19</v>
      </c>
      <c r="M58" s="15" t="s">
        <v>132</v>
      </c>
      <c r="N58" s="15"/>
      <c r="O58" s="15"/>
      <c r="P58" s="15" t="s">
        <v>133</v>
      </c>
      <c r="Q58" s="15" t="b">
        <v>0</v>
      </c>
    </row>
    <row r="59" spans="1:17" ht="14.45">
      <c r="A59" s="15">
        <v>1058</v>
      </c>
      <c r="B59" s="15">
        <v>58</v>
      </c>
      <c r="C59" s="15">
        <v>0</v>
      </c>
      <c r="D59" s="15">
        <v>139</v>
      </c>
      <c r="E59" s="15" t="b">
        <v>1</v>
      </c>
      <c r="F59" s="15" t="b">
        <v>0</v>
      </c>
      <c r="G59" s="17" t="s">
        <v>17</v>
      </c>
      <c r="H59" s="15" t="s">
        <v>130</v>
      </c>
      <c r="I59" s="17" t="s">
        <v>134</v>
      </c>
      <c r="J59" s="15"/>
      <c r="K59" s="15">
        <v>130</v>
      </c>
      <c r="L59" s="120" t="s">
        <v>19</v>
      </c>
      <c r="M59" s="15" t="s">
        <v>135</v>
      </c>
      <c r="N59" s="15"/>
      <c r="O59" s="15"/>
      <c r="P59" s="15" t="s">
        <v>136</v>
      </c>
      <c r="Q59" s="15" t="b">
        <v>0</v>
      </c>
    </row>
    <row r="60" spans="1:17" ht="14.45" hidden="1">
      <c r="A60" s="15">
        <v>1059</v>
      </c>
      <c r="B60" s="15">
        <v>59</v>
      </c>
      <c r="C60" s="15">
        <v>0</v>
      </c>
      <c r="D60" s="15">
        <v>170</v>
      </c>
      <c r="E60" s="15" t="b">
        <v>1</v>
      </c>
      <c r="F60" s="15" t="b">
        <v>0</v>
      </c>
      <c r="G60" s="17" t="s">
        <v>17</v>
      </c>
      <c r="H60" s="15" t="s">
        <v>137</v>
      </c>
      <c r="I60" s="17" t="s">
        <v>138</v>
      </c>
      <c r="J60" s="15" t="s">
        <v>139</v>
      </c>
      <c r="K60" s="15"/>
      <c r="L60" s="120" t="s">
        <v>19</v>
      </c>
      <c r="M60" s="15" t="s">
        <v>140</v>
      </c>
      <c r="N60" s="15"/>
      <c r="O60" s="15"/>
      <c r="P60" s="15" t="s">
        <v>141</v>
      </c>
      <c r="Q60" s="15" t="b">
        <v>0</v>
      </c>
    </row>
    <row r="61" spans="1:17" ht="14.45" hidden="1">
      <c r="A61" s="15">
        <v>1060</v>
      </c>
      <c r="B61" s="15">
        <v>60</v>
      </c>
      <c r="C61" s="15">
        <v>0</v>
      </c>
      <c r="D61" s="15">
        <v>164</v>
      </c>
      <c r="E61" s="15" t="b">
        <v>1</v>
      </c>
      <c r="F61" s="15" t="b">
        <v>0</v>
      </c>
      <c r="G61" s="17" t="s">
        <v>17</v>
      </c>
      <c r="H61" s="15" t="s">
        <v>142</v>
      </c>
      <c r="I61" s="17" t="s">
        <v>143</v>
      </c>
      <c r="J61" s="15" t="s">
        <v>144</v>
      </c>
      <c r="K61" s="15"/>
      <c r="L61" s="120" t="s">
        <v>19</v>
      </c>
      <c r="M61" s="15" t="s">
        <v>145</v>
      </c>
      <c r="N61" s="15"/>
      <c r="O61" s="15"/>
      <c r="P61" s="15" t="s">
        <v>146</v>
      </c>
      <c r="Q61" s="15" t="b">
        <v>0</v>
      </c>
    </row>
    <row r="62" spans="1:17" ht="14.45" hidden="1">
      <c r="A62" s="15">
        <v>1061</v>
      </c>
      <c r="B62" s="15">
        <v>61</v>
      </c>
      <c r="C62" s="15">
        <v>0</v>
      </c>
      <c r="D62" s="15">
        <v>143</v>
      </c>
      <c r="E62" s="15" t="b">
        <v>1</v>
      </c>
      <c r="F62" s="15" t="b">
        <v>0</v>
      </c>
      <c r="G62" s="17" t="s">
        <v>17</v>
      </c>
      <c r="H62" s="15" t="s">
        <v>142</v>
      </c>
      <c r="I62" s="17" t="s">
        <v>147</v>
      </c>
      <c r="J62" s="15"/>
      <c r="K62" s="15"/>
      <c r="L62" s="120" t="s">
        <v>19</v>
      </c>
      <c r="M62" s="15" t="s">
        <v>148</v>
      </c>
      <c r="N62" s="15"/>
      <c r="O62" s="15"/>
      <c r="P62" s="15" t="s">
        <v>149</v>
      </c>
      <c r="Q62" s="15" t="b">
        <v>0</v>
      </c>
    </row>
    <row r="63" spans="1:17" ht="14.45" hidden="1">
      <c r="A63" s="15">
        <v>1062</v>
      </c>
      <c r="B63" s="15">
        <v>62</v>
      </c>
      <c r="C63" s="15">
        <v>0</v>
      </c>
      <c r="D63" s="15">
        <v>140</v>
      </c>
      <c r="E63" s="15" t="b">
        <v>1</v>
      </c>
      <c r="F63" s="15" t="b">
        <v>0</v>
      </c>
      <c r="G63" s="17" t="s">
        <v>17</v>
      </c>
      <c r="H63" s="15" t="s">
        <v>142</v>
      </c>
      <c r="I63" s="17" t="s">
        <v>150</v>
      </c>
      <c r="J63" s="15"/>
      <c r="K63" s="15"/>
      <c r="L63" s="120" t="s">
        <v>19</v>
      </c>
      <c r="M63" s="15" t="s">
        <v>151</v>
      </c>
      <c r="N63" s="15"/>
      <c r="O63" s="15"/>
      <c r="P63" s="15" t="s">
        <v>152</v>
      </c>
      <c r="Q63" s="15" t="b">
        <v>0</v>
      </c>
    </row>
    <row r="64" spans="1:17" ht="14.45" hidden="1">
      <c r="A64" s="15">
        <v>1063</v>
      </c>
      <c r="B64" s="15">
        <v>63</v>
      </c>
      <c r="C64" s="15">
        <v>0</v>
      </c>
      <c r="D64" s="15">
        <v>145</v>
      </c>
      <c r="E64" s="15" t="b">
        <v>1</v>
      </c>
      <c r="F64" s="15" t="b">
        <v>0</v>
      </c>
      <c r="G64" s="17" t="s">
        <v>17</v>
      </c>
      <c r="H64" s="15" t="s">
        <v>142</v>
      </c>
      <c r="I64" s="17" t="s">
        <v>153</v>
      </c>
      <c r="J64" s="15"/>
      <c r="K64" s="15"/>
      <c r="L64" s="120" t="s">
        <v>19</v>
      </c>
      <c r="M64" s="15" t="s">
        <v>154</v>
      </c>
      <c r="N64" s="15"/>
      <c r="O64" s="15"/>
      <c r="P64" s="15" t="s">
        <v>155</v>
      </c>
      <c r="Q64" s="15" t="b">
        <v>0</v>
      </c>
    </row>
    <row r="65" spans="1:17" ht="14.45" hidden="1">
      <c r="A65" s="15">
        <v>1064</v>
      </c>
      <c r="B65" s="15">
        <v>64</v>
      </c>
      <c r="C65" s="15">
        <v>0</v>
      </c>
      <c r="D65" s="15">
        <v>157</v>
      </c>
      <c r="E65" s="15" t="b">
        <v>1</v>
      </c>
      <c r="F65" s="15" t="b">
        <v>0</v>
      </c>
      <c r="G65" s="17" t="s">
        <v>17</v>
      </c>
      <c r="H65" s="15" t="s">
        <v>142</v>
      </c>
      <c r="I65" s="17" t="s">
        <v>156</v>
      </c>
      <c r="J65" s="15"/>
      <c r="K65" s="15"/>
      <c r="L65" s="120" t="s">
        <v>19</v>
      </c>
      <c r="M65" s="15" t="s">
        <v>157</v>
      </c>
      <c r="N65" s="15"/>
      <c r="O65" s="15"/>
      <c r="P65" s="15" t="s">
        <v>158</v>
      </c>
      <c r="Q65" s="15" t="b">
        <v>0</v>
      </c>
    </row>
    <row r="66" spans="1:17" ht="14.45" hidden="1">
      <c r="A66" s="15">
        <v>1065</v>
      </c>
      <c r="B66" s="15">
        <v>65</v>
      </c>
      <c r="C66" s="15">
        <v>0</v>
      </c>
      <c r="D66" s="15">
        <v>164</v>
      </c>
      <c r="E66" s="15" t="b">
        <v>1</v>
      </c>
      <c r="F66" s="15" t="b">
        <v>0</v>
      </c>
      <c r="G66" s="17" t="s">
        <v>17</v>
      </c>
      <c r="H66" s="15" t="s">
        <v>159</v>
      </c>
      <c r="I66" s="17" t="s">
        <v>160</v>
      </c>
      <c r="J66" s="15" t="s">
        <v>161</v>
      </c>
      <c r="K66" s="15"/>
      <c r="L66" s="120" t="s">
        <v>19</v>
      </c>
      <c r="M66" s="20" t="s">
        <v>162</v>
      </c>
      <c r="P66" s="15" t="s">
        <v>163</v>
      </c>
      <c r="Q66" s="15" t="b">
        <v>0</v>
      </c>
    </row>
    <row r="67" spans="1:17" ht="14.45">
      <c r="A67" s="15">
        <v>1066</v>
      </c>
      <c r="B67" s="15">
        <v>66</v>
      </c>
      <c r="C67" s="15">
        <v>0</v>
      </c>
      <c r="D67" s="15">
        <v>132</v>
      </c>
      <c r="E67" s="15" t="b">
        <v>1</v>
      </c>
      <c r="F67" s="15" t="b">
        <v>0</v>
      </c>
      <c r="G67" s="17" t="s">
        <v>17</v>
      </c>
      <c r="H67" s="15" t="s">
        <v>159</v>
      </c>
      <c r="I67" s="17" t="s">
        <v>164</v>
      </c>
      <c r="J67" s="15"/>
      <c r="K67" s="15">
        <v>131</v>
      </c>
      <c r="L67" s="120" t="s">
        <v>19</v>
      </c>
      <c r="M67" s="15" t="s">
        <v>165</v>
      </c>
      <c r="N67" s="15"/>
      <c r="O67" s="15"/>
      <c r="P67" s="15" t="s">
        <v>166</v>
      </c>
      <c r="Q67" s="15" t="b">
        <v>0</v>
      </c>
    </row>
    <row r="68" spans="1:17" ht="14.45">
      <c r="A68" s="15">
        <v>1067</v>
      </c>
      <c r="B68" s="15">
        <v>67</v>
      </c>
      <c r="C68" s="15">
        <v>0</v>
      </c>
      <c r="D68" s="15">
        <v>147</v>
      </c>
      <c r="E68" s="15" t="b">
        <v>1</v>
      </c>
      <c r="F68" s="15" t="b">
        <v>0</v>
      </c>
      <c r="G68" s="17" t="s">
        <v>17</v>
      </c>
      <c r="H68" s="15" t="s">
        <v>159</v>
      </c>
      <c r="I68" s="17" t="s">
        <v>167</v>
      </c>
      <c r="J68" s="15"/>
      <c r="K68" s="15">
        <v>132</v>
      </c>
      <c r="L68" s="120" t="s">
        <v>19</v>
      </c>
      <c r="M68" s="15" t="s">
        <v>168</v>
      </c>
      <c r="N68" s="15"/>
      <c r="O68" s="15"/>
      <c r="P68" s="15" t="s">
        <v>169</v>
      </c>
      <c r="Q68" s="15" t="b">
        <v>0</v>
      </c>
    </row>
    <row r="69" spans="1:17" ht="14.45" hidden="1">
      <c r="A69" s="15">
        <v>1068</v>
      </c>
      <c r="B69" s="15">
        <v>68</v>
      </c>
      <c r="C69" s="15">
        <v>0</v>
      </c>
      <c r="D69" s="15">
        <v>141</v>
      </c>
      <c r="E69" s="15" t="b">
        <v>1</v>
      </c>
      <c r="F69" s="15" t="b">
        <v>0</v>
      </c>
      <c r="G69" s="17" t="s">
        <v>17</v>
      </c>
      <c r="H69" s="15" t="s">
        <v>159</v>
      </c>
      <c r="I69" s="17" t="s">
        <v>170</v>
      </c>
      <c r="J69" s="15"/>
      <c r="K69" s="15"/>
      <c r="L69" s="120" t="s">
        <v>19</v>
      </c>
      <c r="M69" s="15" t="s">
        <v>171</v>
      </c>
      <c r="N69" s="15"/>
      <c r="O69" s="15"/>
      <c r="P69" s="15" t="s">
        <v>172</v>
      </c>
      <c r="Q69" s="15" t="b">
        <v>0</v>
      </c>
    </row>
    <row r="70" spans="1:17" ht="14.45" hidden="1">
      <c r="A70" s="15">
        <v>1069</v>
      </c>
      <c r="B70" s="15">
        <v>69</v>
      </c>
      <c r="C70" s="15">
        <v>0</v>
      </c>
      <c r="D70" s="15">
        <v>181</v>
      </c>
      <c r="E70" s="15" t="b">
        <v>1</v>
      </c>
      <c r="F70" s="15" t="b">
        <v>0</v>
      </c>
      <c r="G70" s="17" t="s">
        <v>17</v>
      </c>
      <c r="H70" s="15" t="s">
        <v>173</v>
      </c>
      <c r="I70" s="17" t="s">
        <v>174</v>
      </c>
      <c r="J70" s="15" t="s">
        <v>175</v>
      </c>
      <c r="K70" s="15"/>
      <c r="L70" s="120" t="s">
        <v>19</v>
      </c>
      <c r="M70" s="15" t="s">
        <v>176</v>
      </c>
      <c r="N70" s="15"/>
      <c r="O70" s="15"/>
      <c r="P70" s="15" t="s">
        <v>177</v>
      </c>
      <c r="Q70" s="15" t="b">
        <v>0</v>
      </c>
    </row>
    <row r="71" spans="1:17" ht="14.45" hidden="1">
      <c r="A71" s="15">
        <v>1070</v>
      </c>
      <c r="B71" s="15">
        <v>70</v>
      </c>
      <c r="C71" s="15">
        <v>0</v>
      </c>
      <c r="D71" s="15">
        <v>181</v>
      </c>
      <c r="E71" s="15" t="b">
        <v>1</v>
      </c>
      <c r="F71" s="15" t="b">
        <v>0</v>
      </c>
      <c r="G71" s="17" t="s">
        <v>17</v>
      </c>
      <c r="H71" s="15" t="s">
        <v>173</v>
      </c>
      <c r="I71" s="17" t="s">
        <v>178</v>
      </c>
      <c r="J71" s="15"/>
      <c r="K71" s="15"/>
      <c r="L71" s="120" t="s">
        <v>19</v>
      </c>
      <c r="M71" s="15" t="s">
        <v>179</v>
      </c>
      <c r="N71" s="15"/>
      <c r="O71" s="15"/>
      <c r="P71" s="15" t="s">
        <v>180</v>
      </c>
      <c r="Q71" s="15" t="b">
        <v>0</v>
      </c>
    </row>
    <row r="72" spans="1:17" ht="14.45" hidden="1">
      <c r="A72" s="15">
        <v>1071</v>
      </c>
      <c r="B72" s="15">
        <v>71</v>
      </c>
      <c r="C72" s="15">
        <v>0</v>
      </c>
      <c r="D72" s="15">
        <v>181</v>
      </c>
      <c r="E72" s="15" t="b">
        <v>1</v>
      </c>
      <c r="F72" s="15" t="b">
        <v>0</v>
      </c>
      <c r="G72" s="17" t="s">
        <v>17</v>
      </c>
      <c r="H72" s="15" t="s">
        <v>173</v>
      </c>
      <c r="I72" s="17" t="s">
        <v>181</v>
      </c>
      <c r="J72" s="15"/>
      <c r="K72" s="15"/>
      <c r="L72" s="120" t="s">
        <v>19</v>
      </c>
      <c r="M72" s="15" t="s">
        <v>182</v>
      </c>
      <c r="N72" s="15"/>
      <c r="O72" s="15"/>
      <c r="P72" s="15" t="s">
        <v>183</v>
      </c>
      <c r="Q72" s="15" t="b">
        <v>0</v>
      </c>
    </row>
    <row r="73" spans="1:17" ht="14.45" hidden="1">
      <c r="A73" s="15">
        <v>1072</v>
      </c>
      <c r="B73" s="15">
        <v>72</v>
      </c>
      <c r="C73" s="15">
        <v>0</v>
      </c>
      <c r="D73" s="15">
        <v>181</v>
      </c>
      <c r="E73" s="15" t="b">
        <v>1</v>
      </c>
      <c r="F73" s="15" t="b">
        <v>0</v>
      </c>
      <c r="G73" s="17" t="s">
        <v>17</v>
      </c>
      <c r="H73" s="15" t="s">
        <v>184</v>
      </c>
      <c r="I73" s="17" t="s">
        <v>174</v>
      </c>
      <c r="J73" s="15"/>
      <c r="K73" s="15"/>
      <c r="L73" s="120" t="s">
        <v>19</v>
      </c>
      <c r="M73" s="15" t="s">
        <v>185</v>
      </c>
      <c r="N73" s="15"/>
      <c r="O73" s="15"/>
      <c r="P73" s="15" t="s">
        <v>186</v>
      </c>
      <c r="Q73" s="15" t="b">
        <v>0</v>
      </c>
    </row>
    <row r="74" spans="1:17" ht="14.45" hidden="1">
      <c r="A74" s="15">
        <v>1073</v>
      </c>
      <c r="B74" s="15">
        <v>73</v>
      </c>
      <c r="C74" s="15">
        <v>0</v>
      </c>
      <c r="D74" s="15">
        <v>181</v>
      </c>
      <c r="E74" s="15" t="b">
        <v>1</v>
      </c>
      <c r="F74" s="15" t="b">
        <v>0</v>
      </c>
      <c r="G74" s="17" t="s">
        <v>17</v>
      </c>
      <c r="H74" s="15" t="s">
        <v>184</v>
      </c>
      <c r="I74" s="17" t="s">
        <v>178</v>
      </c>
      <c r="J74" s="15"/>
      <c r="K74" s="15"/>
      <c r="L74" s="120" t="s">
        <v>19</v>
      </c>
      <c r="M74" s="15" t="s">
        <v>187</v>
      </c>
      <c r="N74" s="15"/>
      <c r="O74" s="15"/>
      <c r="P74" s="15" t="s">
        <v>188</v>
      </c>
      <c r="Q74" s="15" t="b">
        <v>0</v>
      </c>
    </row>
    <row r="75" spans="1:17" ht="14.45" hidden="1">
      <c r="A75" s="15">
        <v>1074</v>
      </c>
      <c r="B75" s="15">
        <v>74</v>
      </c>
      <c r="C75" s="15">
        <v>0</v>
      </c>
      <c r="D75" s="15">
        <v>181</v>
      </c>
      <c r="E75" s="15" t="b">
        <v>1</v>
      </c>
      <c r="F75" s="15" t="b">
        <v>0</v>
      </c>
      <c r="G75" s="17" t="s">
        <v>17</v>
      </c>
      <c r="H75" s="15" t="s">
        <v>184</v>
      </c>
      <c r="I75" s="17" t="s">
        <v>181</v>
      </c>
      <c r="J75" s="15"/>
      <c r="K75" s="15"/>
      <c r="L75" s="120" t="s">
        <v>19</v>
      </c>
      <c r="M75" s="15" t="s">
        <v>189</v>
      </c>
      <c r="N75" s="15"/>
      <c r="O75" s="15"/>
      <c r="P75" s="15" t="s">
        <v>190</v>
      </c>
      <c r="Q75" s="15" t="b">
        <v>0</v>
      </c>
    </row>
    <row r="76" spans="1:17" ht="14.45" hidden="1">
      <c r="A76" s="15">
        <v>1075</v>
      </c>
      <c r="B76" s="15">
        <v>75</v>
      </c>
      <c r="C76" s="15">
        <v>0</v>
      </c>
      <c r="D76" s="20">
        <v>183</v>
      </c>
      <c r="E76" s="15" t="b">
        <v>1</v>
      </c>
      <c r="F76" s="15" t="b">
        <v>0</v>
      </c>
      <c r="G76" s="17" t="s">
        <v>17</v>
      </c>
      <c r="H76" s="15" t="s">
        <v>191</v>
      </c>
      <c r="I76" s="17" t="s">
        <v>174</v>
      </c>
      <c r="J76" s="15"/>
      <c r="K76" s="15"/>
      <c r="L76" s="120" t="s">
        <v>19</v>
      </c>
      <c r="M76" s="15" t="s">
        <v>192</v>
      </c>
      <c r="N76" s="15"/>
      <c r="O76" s="15"/>
      <c r="P76" s="15" t="s">
        <v>193</v>
      </c>
      <c r="Q76" s="15" t="b">
        <v>0</v>
      </c>
    </row>
    <row r="77" spans="1:17" ht="14.45" hidden="1">
      <c r="A77" s="15">
        <v>1076</v>
      </c>
      <c r="B77" s="15">
        <v>76</v>
      </c>
      <c r="C77" s="15">
        <v>0</v>
      </c>
      <c r="D77" s="20">
        <v>183</v>
      </c>
      <c r="E77" s="15" t="b">
        <v>1</v>
      </c>
      <c r="F77" s="15" t="b">
        <v>0</v>
      </c>
      <c r="G77" s="17" t="s">
        <v>17</v>
      </c>
      <c r="H77" s="15" t="s">
        <v>194</v>
      </c>
      <c r="I77" s="17" t="s">
        <v>178</v>
      </c>
      <c r="J77" s="15"/>
      <c r="K77" s="15"/>
      <c r="L77" s="120" t="s">
        <v>19</v>
      </c>
      <c r="M77" s="15" t="s">
        <v>195</v>
      </c>
      <c r="N77" s="15"/>
      <c r="O77" s="15"/>
      <c r="P77" s="15" t="s">
        <v>196</v>
      </c>
      <c r="Q77" s="15" t="b">
        <v>0</v>
      </c>
    </row>
    <row r="78" spans="1:17" ht="14.45" hidden="1">
      <c r="A78" s="15">
        <v>1077</v>
      </c>
      <c r="B78" s="15">
        <v>77</v>
      </c>
      <c r="C78" s="15">
        <v>0</v>
      </c>
      <c r="D78" s="20">
        <v>183</v>
      </c>
      <c r="E78" s="15" t="b">
        <v>1</v>
      </c>
      <c r="F78" s="15" t="b">
        <v>0</v>
      </c>
      <c r="G78" s="17" t="s">
        <v>17</v>
      </c>
      <c r="H78" s="15" t="s">
        <v>194</v>
      </c>
      <c r="I78" s="17" t="s">
        <v>181</v>
      </c>
      <c r="J78" s="15"/>
      <c r="K78" s="15"/>
      <c r="L78" s="120" t="s">
        <v>19</v>
      </c>
      <c r="M78" s="15" t="s">
        <v>197</v>
      </c>
      <c r="N78" s="15"/>
      <c r="O78" s="15"/>
      <c r="P78" s="15" t="s">
        <v>198</v>
      </c>
      <c r="Q78" s="15" t="b">
        <v>0</v>
      </c>
    </row>
    <row r="79" spans="1:17" ht="14.45" hidden="1">
      <c r="A79" s="15">
        <v>1078</v>
      </c>
      <c r="B79" s="15">
        <v>78</v>
      </c>
      <c r="C79" s="15">
        <v>0</v>
      </c>
      <c r="D79" s="15">
        <v>181</v>
      </c>
      <c r="E79" s="15" t="b">
        <v>1</v>
      </c>
      <c r="F79" s="15" t="b">
        <v>0</v>
      </c>
      <c r="G79" s="17" t="s">
        <v>17</v>
      </c>
      <c r="H79" s="15" t="s">
        <v>199</v>
      </c>
      <c r="I79" s="17" t="s">
        <v>174</v>
      </c>
      <c r="J79" s="15"/>
      <c r="K79" s="15"/>
      <c r="L79" s="120" t="s">
        <v>19</v>
      </c>
      <c r="M79" s="15" t="s">
        <v>200</v>
      </c>
      <c r="N79" s="15"/>
      <c r="O79" s="15"/>
      <c r="P79" s="15" t="s">
        <v>201</v>
      </c>
      <c r="Q79" s="15" t="b">
        <v>0</v>
      </c>
    </row>
    <row r="80" spans="1:17" ht="14.45" hidden="1">
      <c r="A80" s="15">
        <v>1079</v>
      </c>
      <c r="B80" s="15">
        <v>79</v>
      </c>
      <c r="C80" s="15">
        <v>0</v>
      </c>
      <c r="D80" s="15">
        <v>181</v>
      </c>
      <c r="E80" s="15" t="b">
        <v>1</v>
      </c>
      <c r="F80" s="15" t="b">
        <v>0</v>
      </c>
      <c r="G80" s="17" t="s">
        <v>17</v>
      </c>
      <c r="H80" s="15" t="s">
        <v>199</v>
      </c>
      <c r="I80" s="17" t="s">
        <v>178</v>
      </c>
      <c r="J80" s="15"/>
      <c r="K80" s="15"/>
      <c r="L80" s="120" t="s">
        <v>19</v>
      </c>
      <c r="M80" s="15" t="s">
        <v>202</v>
      </c>
      <c r="N80" s="15"/>
      <c r="O80" s="15"/>
      <c r="P80" s="15" t="s">
        <v>203</v>
      </c>
      <c r="Q80" s="15" t="b">
        <v>0</v>
      </c>
    </row>
    <row r="81" spans="1:17" ht="14.45" hidden="1">
      <c r="A81" s="15">
        <v>1080</v>
      </c>
      <c r="B81" s="15">
        <v>80</v>
      </c>
      <c r="C81" s="15">
        <v>0</v>
      </c>
      <c r="D81" s="15">
        <v>181</v>
      </c>
      <c r="E81" s="15" t="b">
        <v>1</v>
      </c>
      <c r="F81" s="15" t="b">
        <v>0</v>
      </c>
      <c r="G81" s="17" t="s">
        <v>17</v>
      </c>
      <c r="H81" s="15" t="s">
        <v>199</v>
      </c>
      <c r="I81" s="17" t="s">
        <v>181</v>
      </c>
      <c r="J81" s="15"/>
      <c r="K81" s="15"/>
      <c r="L81" s="120" t="s">
        <v>19</v>
      </c>
      <c r="M81" s="15" t="s">
        <v>204</v>
      </c>
      <c r="N81" s="15"/>
      <c r="O81" s="15"/>
      <c r="P81" s="15" t="s">
        <v>205</v>
      </c>
      <c r="Q81" s="15" t="b">
        <v>0</v>
      </c>
    </row>
    <row r="82" spans="1:17" ht="15" hidden="1" customHeight="1">
      <c r="A82" s="15">
        <v>3001</v>
      </c>
      <c r="B82" s="15">
        <v>81</v>
      </c>
      <c r="C82" s="15">
        <v>0</v>
      </c>
      <c r="D82" s="15">
        <v>194</v>
      </c>
      <c r="E82" s="15" t="b">
        <v>1</v>
      </c>
      <c r="F82" s="15" t="b">
        <v>0</v>
      </c>
      <c r="G82" s="33" t="s">
        <v>206</v>
      </c>
      <c r="H82" s="15" t="s">
        <v>207</v>
      </c>
      <c r="I82" s="33" t="s">
        <v>208</v>
      </c>
      <c r="J82" s="15" t="s">
        <v>209</v>
      </c>
      <c r="K82" s="15"/>
      <c r="L82" s="120" t="s">
        <v>210</v>
      </c>
      <c r="M82" s="15" t="s">
        <v>211</v>
      </c>
      <c r="N82" s="15" t="s">
        <v>212</v>
      </c>
      <c r="O82" s="15"/>
      <c r="P82" s="15"/>
      <c r="Q82" s="15" t="b">
        <v>0</v>
      </c>
    </row>
    <row r="83" spans="1:17" ht="15" hidden="1" customHeight="1">
      <c r="A83" s="15">
        <v>3002</v>
      </c>
      <c r="B83" s="15">
        <v>82</v>
      </c>
      <c r="C83" s="15">
        <v>0</v>
      </c>
      <c r="D83" s="15">
        <v>194</v>
      </c>
      <c r="E83" s="15" t="b">
        <v>1</v>
      </c>
      <c r="F83" s="15" t="b">
        <v>0</v>
      </c>
      <c r="G83" s="33" t="s">
        <v>206</v>
      </c>
      <c r="H83" s="15" t="s">
        <v>207</v>
      </c>
      <c r="I83" s="33" t="s">
        <v>213</v>
      </c>
      <c r="J83" s="15"/>
      <c r="K83" s="15"/>
      <c r="L83" s="120" t="s">
        <v>210</v>
      </c>
      <c r="M83" s="15" t="s">
        <v>214</v>
      </c>
      <c r="N83" s="15" t="s">
        <v>215</v>
      </c>
      <c r="O83" s="15"/>
      <c r="P83" s="15"/>
      <c r="Q83" s="15" t="b">
        <v>0</v>
      </c>
    </row>
    <row r="84" spans="1:17" ht="15" hidden="1" customHeight="1">
      <c r="A84" s="15">
        <v>3003</v>
      </c>
      <c r="B84" s="15">
        <v>83</v>
      </c>
      <c r="C84" s="15">
        <v>0</v>
      </c>
      <c r="D84" s="15">
        <v>194</v>
      </c>
      <c r="E84" s="15" t="b">
        <v>1</v>
      </c>
      <c r="F84" s="15" t="b">
        <v>0</v>
      </c>
      <c r="G84" s="33" t="s">
        <v>206</v>
      </c>
      <c r="H84" s="15" t="s">
        <v>207</v>
      </c>
      <c r="I84" s="33" t="s">
        <v>216</v>
      </c>
      <c r="J84" s="15"/>
      <c r="K84" s="15"/>
      <c r="L84" s="120" t="s">
        <v>210</v>
      </c>
      <c r="M84" s="15" t="s">
        <v>217</v>
      </c>
      <c r="N84" s="15" t="s">
        <v>218</v>
      </c>
      <c r="O84" s="15"/>
      <c r="P84" s="15"/>
      <c r="Q84" s="15" t="b">
        <v>0</v>
      </c>
    </row>
    <row r="85" spans="1:17" ht="15" hidden="1" customHeight="1">
      <c r="A85" s="15">
        <v>3004</v>
      </c>
      <c r="B85" s="15">
        <v>84</v>
      </c>
      <c r="C85" s="15">
        <v>0</v>
      </c>
      <c r="D85" s="15">
        <v>194</v>
      </c>
      <c r="E85" s="15" t="b">
        <v>0</v>
      </c>
      <c r="F85" s="15" t="b">
        <v>0</v>
      </c>
      <c r="G85" s="33" t="s">
        <v>206</v>
      </c>
      <c r="H85" s="15" t="s">
        <v>219</v>
      </c>
      <c r="I85" s="33" t="s">
        <v>208</v>
      </c>
      <c r="J85" s="15"/>
      <c r="K85" s="15"/>
      <c r="L85" s="120" t="s">
        <v>220</v>
      </c>
      <c r="M85" s="15" t="s">
        <v>221</v>
      </c>
      <c r="N85" s="15" t="s">
        <v>222</v>
      </c>
      <c r="O85" s="15"/>
      <c r="P85" s="15"/>
      <c r="Q85" s="15" t="b">
        <v>0</v>
      </c>
    </row>
    <row r="86" spans="1:17" ht="15" hidden="1" customHeight="1">
      <c r="A86" s="15">
        <v>3005</v>
      </c>
      <c r="B86" s="15">
        <v>85</v>
      </c>
      <c r="C86" s="15">
        <v>0</v>
      </c>
      <c r="D86" s="15">
        <v>194</v>
      </c>
      <c r="E86" s="15" t="b">
        <v>0</v>
      </c>
      <c r="F86" s="15" t="b">
        <v>0</v>
      </c>
      <c r="G86" s="33" t="s">
        <v>206</v>
      </c>
      <c r="H86" s="15" t="s">
        <v>219</v>
      </c>
      <c r="I86" s="33" t="s">
        <v>213</v>
      </c>
      <c r="J86" s="15"/>
      <c r="K86" s="15"/>
      <c r="L86" s="120" t="s">
        <v>220</v>
      </c>
      <c r="M86" s="15" t="s">
        <v>223</v>
      </c>
      <c r="N86" s="15" t="s">
        <v>224</v>
      </c>
      <c r="O86" s="15"/>
      <c r="P86" s="15"/>
      <c r="Q86" s="15" t="b">
        <v>0</v>
      </c>
    </row>
    <row r="87" spans="1:17" ht="15" hidden="1" customHeight="1">
      <c r="A87" s="15">
        <v>3006</v>
      </c>
      <c r="B87" s="15">
        <v>86</v>
      </c>
      <c r="C87" s="15">
        <v>0</v>
      </c>
      <c r="D87" s="15">
        <v>194</v>
      </c>
      <c r="E87" s="15" t="b">
        <v>0</v>
      </c>
      <c r="F87" s="15" t="b">
        <v>0</v>
      </c>
      <c r="G87" s="33" t="s">
        <v>206</v>
      </c>
      <c r="H87" s="15" t="s">
        <v>219</v>
      </c>
      <c r="I87" s="33" t="s">
        <v>216</v>
      </c>
      <c r="J87" s="15"/>
      <c r="K87" s="15"/>
      <c r="L87" s="120" t="s">
        <v>220</v>
      </c>
      <c r="M87" s="15" t="s">
        <v>225</v>
      </c>
      <c r="N87" s="15" t="s">
        <v>226</v>
      </c>
      <c r="O87" s="15"/>
      <c r="P87" s="15"/>
      <c r="Q87" s="15" t="b">
        <v>0</v>
      </c>
    </row>
    <row r="88" spans="1:17" ht="15" hidden="1" customHeight="1">
      <c r="A88" s="15">
        <v>3007</v>
      </c>
      <c r="B88" s="15">
        <v>87</v>
      </c>
      <c r="C88" s="15">
        <v>0</v>
      </c>
      <c r="D88" s="15">
        <v>194</v>
      </c>
      <c r="E88" s="15" t="b">
        <v>0</v>
      </c>
      <c r="F88" s="15" t="b">
        <v>0</v>
      </c>
      <c r="G88" s="33" t="s">
        <v>206</v>
      </c>
      <c r="H88" s="15" t="s">
        <v>227</v>
      </c>
      <c r="I88" s="33" t="s">
        <v>208</v>
      </c>
      <c r="J88" s="15"/>
      <c r="K88" s="15"/>
      <c r="L88" s="120" t="s">
        <v>220</v>
      </c>
      <c r="M88" s="15" t="s">
        <v>228</v>
      </c>
      <c r="N88" s="15" t="s">
        <v>229</v>
      </c>
      <c r="O88" s="15"/>
      <c r="P88" s="15"/>
      <c r="Q88" s="15" t="b">
        <v>0</v>
      </c>
    </row>
    <row r="89" spans="1:17" ht="15" hidden="1" customHeight="1">
      <c r="A89" s="15">
        <v>3008</v>
      </c>
      <c r="B89" s="15">
        <v>88</v>
      </c>
      <c r="C89" s="15">
        <v>0</v>
      </c>
      <c r="D89" s="15">
        <v>194</v>
      </c>
      <c r="E89" s="15" t="b">
        <v>0</v>
      </c>
      <c r="F89" s="15" t="b">
        <v>0</v>
      </c>
      <c r="G89" s="33" t="s">
        <v>206</v>
      </c>
      <c r="H89" s="15" t="s">
        <v>227</v>
      </c>
      <c r="I89" s="33" t="s">
        <v>213</v>
      </c>
      <c r="J89" s="15"/>
      <c r="K89" s="15"/>
      <c r="L89" s="120" t="s">
        <v>220</v>
      </c>
      <c r="M89" s="15" t="s">
        <v>230</v>
      </c>
      <c r="N89" s="15" t="s">
        <v>231</v>
      </c>
      <c r="O89" s="15"/>
      <c r="P89" s="15"/>
      <c r="Q89" s="15" t="b">
        <v>0</v>
      </c>
    </row>
    <row r="90" spans="1:17" ht="15" hidden="1" customHeight="1">
      <c r="A90" s="15">
        <v>3009</v>
      </c>
      <c r="B90" s="15">
        <v>89</v>
      </c>
      <c r="C90" s="15">
        <v>0</v>
      </c>
      <c r="D90" s="15">
        <v>194</v>
      </c>
      <c r="E90" s="15" t="b">
        <v>0</v>
      </c>
      <c r="F90" s="15" t="b">
        <v>0</v>
      </c>
      <c r="G90" s="33" t="s">
        <v>206</v>
      </c>
      <c r="H90" s="15" t="s">
        <v>227</v>
      </c>
      <c r="I90" s="33" t="s">
        <v>216</v>
      </c>
      <c r="J90" s="15"/>
      <c r="K90" s="15"/>
      <c r="L90" s="120" t="s">
        <v>220</v>
      </c>
      <c r="M90" s="15" t="s">
        <v>232</v>
      </c>
      <c r="N90" s="15" t="s">
        <v>233</v>
      </c>
      <c r="O90" s="15"/>
      <c r="P90" s="15"/>
      <c r="Q90" s="15" t="b">
        <v>0</v>
      </c>
    </row>
    <row r="91" spans="1:17" ht="15" hidden="1" customHeight="1">
      <c r="A91" s="15">
        <v>3010</v>
      </c>
      <c r="B91" s="15">
        <v>90</v>
      </c>
      <c r="C91" s="15">
        <v>0</v>
      </c>
      <c r="D91" s="15">
        <v>194</v>
      </c>
      <c r="E91" s="15" t="b">
        <v>1</v>
      </c>
      <c r="F91" s="15" t="b">
        <v>0</v>
      </c>
      <c r="G91" s="33" t="s">
        <v>206</v>
      </c>
      <c r="H91" s="15" t="s">
        <v>234</v>
      </c>
      <c r="I91" s="33" t="s">
        <v>208</v>
      </c>
      <c r="J91" s="15"/>
      <c r="K91" s="15"/>
      <c r="L91" s="120" t="s">
        <v>210</v>
      </c>
      <c r="M91" s="15" t="s">
        <v>235</v>
      </c>
      <c r="N91" s="15" t="s">
        <v>236</v>
      </c>
      <c r="O91" s="15"/>
      <c r="P91" s="15"/>
      <c r="Q91" s="15" t="b">
        <v>0</v>
      </c>
    </row>
    <row r="92" spans="1:17" ht="15" hidden="1" customHeight="1">
      <c r="A92" s="15">
        <v>3011</v>
      </c>
      <c r="B92" s="15">
        <v>91</v>
      </c>
      <c r="C92" s="15">
        <v>0</v>
      </c>
      <c r="D92" s="15">
        <v>194</v>
      </c>
      <c r="E92" s="15" t="b">
        <v>1</v>
      </c>
      <c r="F92" s="15" t="b">
        <v>0</v>
      </c>
      <c r="G92" s="33" t="s">
        <v>206</v>
      </c>
      <c r="H92" s="15" t="s">
        <v>234</v>
      </c>
      <c r="I92" s="33" t="s">
        <v>213</v>
      </c>
      <c r="J92" s="15"/>
      <c r="K92" s="15"/>
      <c r="L92" s="120" t="s">
        <v>210</v>
      </c>
      <c r="M92" s="15" t="s">
        <v>237</v>
      </c>
      <c r="N92" s="15" t="s">
        <v>238</v>
      </c>
      <c r="O92" s="15"/>
      <c r="P92" s="15"/>
      <c r="Q92" s="15" t="b">
        <v>0</v>
      </c>
    </row>
    <row r="93" spans="1:17" ht="15" hidden="1" customHeight="1">
      <c r="A93" s="15">
        <v>3012</v>
      </c>
      <c r="B93" s="15">
        <v>92</v>
      </c>
      <c r="C93" s="15">
        <v>0</v>
      </c>
      <c r="D93" s="15">
        <v>194</v>
      </c>
      <c r="E93" s="15" t="b">
        <v>1</v>
      </c>
      <c r="F93" s="15" t="b">
        <v>0</v>
      </c>
      <c r="G93" s="33" t="s">
        <v>206</v>
      </c>
      <c r="H93" s="15" t="s">
        <v>234</v>
      </c>
      <c r="I93" s="33" t="s">
        <v>216</v>
      </c>
      <c r="J93" s="15"/>
      <c r="K93" s="15"/>
      <c r="L93" s="120" t="s">
        <v>210</v>
      </c>
      <c r="M93" s="15" t="s">
        <v>239</v>
      </c>
      <c r="N93" s="15" t="s">
        <v>240</v>
      </c>
      <c r="O93" s="15"/>
      <c r="P93" s="15"/>
      <c r="Q93" s="15" t="b">
        <v>0</v>
      </c>
    </row>
    <row r="94" spans="1:17" ht="15" hidden="1" customHeight="1">
      <c r="A94" s="15">
        <v>3013</v>
      </c>
      <c r="B94" s="15">
        <v>93</v>
      </c>
      <c r="C94" s="15">
        <v>0</v>
      </c>
      <c r="D94" s="15">
        <v>194</v>
      </c>
      <c r="E94" s="15" t="b">
        <v>0</v>
      </c>
      <c r="F94" s="15" t="b">
        <v>0</v>
      </c>
      <c r="G94" s="33" t="s">
        <v>206</v>
      </c>
      <c r="H94" s="15" t="s">
        <v>241</v>
      </c>
      <c r="I94" s="33" t="s">
        <v>208</v>
      </c>
      <c r="J94" s="15"/>
      <c r="K94" s="15"/>
      <c r="L94" s="120" t="s">
        <v>220</v>
      </c>
      <c r="M94" s="15" t="s">
        <v>242</v>
      </c>
      <c r="N94" s="15" t="s">
        <v>243</v>
      </c>
      <c r="O94" s="15"/>
      <c r="P94" s="15"/>
      <c r="Q94" s="15" t="b">
        <v>0</v>
      </c>
    </row>
    <row r="95" spans="1:17" ht="15" hidden="1" customHeight="1">
      <c r="A95" s="15">
        <v>3014</v>
      </c>
      <c r="B95" s="15">
        <v>94</v>
      </c>
      <c r="C95" s="15">
        <v>0</v>
      </c>
      <c r="D95" s="15">
        <v>194</v>
      </c>
      <c r="E95" s="15" t="b">
        <v>0</v>
      </c>
      <c r="F95" s="15" t="b">
        <v>0</v>
      </c>
      <c r="G95" s="33" t="s">
        <v>206</v>
      </c>
      <c r="H95" s="15" t="s">
        <v>241</v>
      </c>
      <c r="I95" s="33" t="s">
        <v>213</v>
      </c>
      <c r="J95" s="15"/>
      <c r="K95" s="15"/>
      <c r="L95" s="120" t="s">
        <v>220</v>
      </c>
      <c r="M95" s="15" t="s">
        <v>244</v>
      </c>
      <c r="N95" s="15" t="s">
        <v>245</v>
      </c>
      <c r="O95" s="15"/>
      <c r="P95" s="15"/>
      <c r="Q95" s="15" t="b">
        <v>0</v>
      </c>
    </row>
    <row r="96" spans="1:17" ht="15" hidden="1" customHeight="1">
      <c r="A96" s="15">
        <v>3015</v>
      </c>
      <c r="B96" s="15">
        <v>95</v>
      </c>
      <c r="C96" s="15">
        <v>0</v>
      </c>
      <c r="D96" s="15">
        <v>194</v>
      </c>
      <c r="E96" s="15" t="b">
        <v>0</v>
      </c>
      <c r="F96" s="15" t="b">
        <v>0</v>
      </c>
      <c r="G96" s="33" t="s">
        <v>206</v>
      </c>
      <c r="H96" s="15" t="s">
        <v>241</v>
      </c>
      <c r="I96" s="33" t="s">
        <v>216</v>
      </c>
      <c r="J96" s="15"/>
      <c r="K96" s="15"/>
      <c r="L96" s="120" t="s">
        <v>220</v>
      </c>
      <c r="M96" s="15" t="s">
        <v>246</v>
      </c>
      <c r="N96" s="15" t="s">
        <v>247</v>
      </c>
      <c r="O96" s="15"/>
      <c r="P96" s="15"/>
      <c r="Q96" s="15" t="b">
        <v>0</v>
      </c>
    </row>
    <row r="97" spans="1:17" ht="15" hidden="1" customHeight="1">
      <c r="A97" s="15">
        <v>3016</v>
      </c>
      <c r="B97" s="15">
        <v>96</v>
      </c>
      <c r="C97" s="15">
        <v>0</v>
      </c>
      <c r="D97" s="15">
        <v>194</v>
      </c>
      <c r="E97" s="15" t="b">
        <v>0</v>
      </c>
      <c r="F97" s="15" t="b">
        <v>0</v>
      </c>
      <c r="G97" s="33" t="s">
        <v>206</v>
      </c>
      <c r="H97" s="15" t="s">
        <v>248</v>
      </c>
      <c r="I97" s="33" t="s">
        <v>208</v>
      </c>
      <c r="J97" s="15"/>
      <c r="K97" s="15"/>
      <c r="L97" s="120" t="s">
        <v>220</v>
      </c>
      <c r="M97" s="15" t="s">
        <v>249</v>
      </c>
      <c r="N97" s="15" t="s">
        <v>250</v>
      </c>
      <c r="O97" s="15"/>
      <c r="P97" s="15"/>
      <c r="Q97" s="15" t="b">
        <v>0</v>
      </c>
    </row>
    <row r="98" spans="1:17" ht="15" hidden="1" customHeight="1">
      <c r="A98" s="15">
        <v>3017</v>
      </c>
      <c r="B98" s="15">
        <v>97</v>
      </c>
      <c r="C98" s="15">
        <v>0</v>
      </c>
      <c r="D98" s="15">
        <v>194</v>
      </c>
      <c r="E98" s="15" t="b">
        <v>0</v>
      </c>
      <c r="F98" s="15" t="b">
        <v>0</v>
      </c>
      <c r="G98" s="33" t="s">
        <v>206</v>
      </c>
      <c r="H98" s="15" t="s">
        <v>248</v>
      </c>
      <c r="I98" s="33" t="s">
        <v>213</v>
      </c>
      <c r="J98" s="15"/>
      <c r="K98" s="15"/>
      <c r="L98" s="120" t="s">
        <v>220</v>
      </c>
      <c r="M98" s="15" t="s">
        <v>251</v>
      </c>
      <c r="N98" s="15" t="s">
        <v>252</v>
      </c>
      <c r="O98" s="15"/>
      <c r="P98" s="15"/>
      <c r="Q98" s="15" t="b">
        <v>0</v>
      </c>
    </row>
    <row r="99" spans="1:17" ht="15" hidden="1" customHeight="1">
      <c r="A99" s="15">
        <v>3018</v>
      </c>
      <c r="B99" s="15">
        <v>98</v>
      </c>
      <c r="C99" s="15">
        <v>0</v>
      </c>
      <c r="D99" s="15">
        <v>194</v>
      </c>
      <c r="E99" s="15" t="b">
        <v>0</v>
      </c>
      <c r="F99" s="15" t="b">
        <v>0</v>
      </c>
      <c r="G99" s="33" t="s">
        <v>206</v>
      </c>
      <c r="H99" s="15" t="s">
        <v>248</v>
      </c>
      <c r="I99" s="33" t="s">
        <v>216</v>
      </c>
      <c r="J99" s="15"/>
      <c r="K99" s="15"/>
      <c r="L99" s="120" t="s">
        <v>220</v>
      </c>
      <c r="M99" s="15" t="s">
        <v>253</v>
      </c>
      <c r="N99" s="15" t="s">
        <v>254</v>
      </c>
      <c r="O99" s="15"/>
      <c r="P99" s="15"/>
      <c r="Q99" s="15" t="b">
        <v>0</v>
      </c>
    </row>
    <row r="100" spans="1:17" ht="15" hidden="1" customHeight="1">
      <c r="A100" s="15">
        <v>3019</v>
      </c>
      <c r="B100" s="15">
        <v>99</v>
      </c>
      <c r="C100" s="15">
        <v>0</v>
      </c>
      <c r="D100" s="15">
        <v>194</v>
      </c>
      <c r="E100" s="15" t="b">
        <v>1</v>
      </c>
      <c r="F100" s="15" t="b">
        <v>0</v>
      </c>
      <c r="G100" s="33" t="s">
        <v>206</v>
      </c>
      <c r="H100" s="15" t="s">
        <v>255</v>
      </c>
      <c r="I100" s="33" t="s">
        <v>208</v>
      </c>
      <c r="J100" s="15"/>
      <c r="K100" s="15"/>
      <c r="L100" s="120" t="s">
        <v>210</v>
      </c>
      <c r="M100" s="15" t="s">
        <v>256</v>
      </c>
      <c r="N100" s="15" t="s">
        <v>257</v>
      </c>
      <c r="O100" s="15"/>
      <c r="P100" s="15"/>
      <c r="Q100" s="15" t="b">
        <v>0</v>
      </c>
    </row>
    <row r="101" spans="1:17" ht="15" hidden="1" customHeight="1">
      <c r="A101" s="15">
        <v>3020</v>
      </c>
      <c r="B101" s="15">
        <v>100</v>
      </c>
      <c r="C101" s="15">
        <v>0</v>
      </c>
      <c r="D101" s="15">
        <v>194</v>
      </c>
      <c r="E101" s="15" t="b">
        <v>1</v>
      </c>
      <c r="F101" s="15" t="b">
        <v>0</v>
      </c>
      <c r="G101" s="33" t="s">
        <v>206</v>
      </c>
      <c r="H101" s="15" t="s">
        <v>255</v>
      </c>
      <c r="I101" s="33" t="s">
        <v>213</v>
      </c>
      <c r="J101" s="15"/>
      <c r="K101" s="15"/>
      <c r="L101" s="120" t="s">
        <v>210</v>
      </c>
      <c r="M101" s="15" t="s">
        <v>258</v>
      </c>
      <c r="N101" s="15" t="s">
        <v>259</v>
      </c>
      <c r="O101" s="15"/>
      <c r="P101" s="15"/>
      <c r="Q101" s="15" t="b">
        <v>0</v>
      </c>
    </row>
    <row r="102" spans="1:17" ht="15" hidden="1" customHeight="1">
      <c r="A102" s="15">
        <v>3021</v>
      </c>
      <c r="B102" s="15">
        <v>101</v>
      </c>
      <c r="C102" s="15">
        <v>0</v>
      </c>
      <c r="D102" s="15">
        <v>194</v>
      </c>
      <c r="E102" s="15" t="b">
        <v>1</v>
      </c>
      <c r="F102" s="15" t="b">
        <v>0</v>
      </c>
      <c r="G102" s="33" t="s">
        <v>206</v>
      </c>
      <c r="H102" s="15" t="s">
        <v>255</v>
      </c>
      <c r="I102" s="33" t="s">
        <v>216</v>
      </c>
      <c r="J102" s="15"/>
      <c r="K102" s="15"/>
      <c r="L102" s="120" t="s">
        <v>210</v>
      </c>
      <c r="M102" s="15" t="s">
        <v>260</v>
      </c>
      <c r="N102" s="15" t="s">
        <v>261</v>
      </c>
      <c r="O102" s="15"/>
      <c r="P102" s="15"/>
      <c r="Q102" s="15" t="b">
        <v>0</v>
      </c>
    </row>
    <row r="103" spans="1:17" ht="15" hidden="1" customHeight="1">
      <c r="A103" s="15">
        <v>3022</v>
      </c>
      <c r="B103" s="15">
        <v>102</v>
      </c>
      <c r="C103" s="15">
        <v>0</v>
      </c>
      <c r="D103" s="15">
        <v>194</v>
      </c>
      <c r="E103" s="15" t="b">
        <v>0</v>
      </c>
      <c r="F103" s="15" t="b">
        <v>0</v>
      </c>
      <c r="G103" s="33" t="s">
        <v>206</v>
      </c>
      <c r="H103" s="15" t="s">
        <v>262</v>
      </c>
      <c r="I103" s="33" t="s">
        <v>208</v>
      </c>
      <c r="J103" s="15"/>
      <c r="K103" s="15"/>
      <c r="L103" s="120" t="s">
        <v>220</v>
      </c>
      <c r="M103" s="15" t="s">
        <v>263</v>
      </c>
      <c r="N103" s="15" t="s">
        <v>264</v>
      </c>
      <c r="O103" s="15"/>
      <c r="P103" s="15"/>
      <c r="Q103" s="15" t="b">
        <v>0</v>
      </c>
    </row>
    <row r="104" spans="1:17" ht="15" hidden="1" customHeight="1">
      <c r="A104" s="15">
        <v>3023</v>
      </c>
      <c r="B104" s="15">
        <v>103</v>
      </c>
      <c r="C104" s="15">
        <v>0</v>
      </c>
      <c r="D104" s="15">
        <v>194</v>
      </c>
      <c r="E104" s="15" t="b">
        <v>0</v>
      </c>
      <c r="F104" s="15" t="b">
        <v>0</v>
      </c>
      <c r="G104" s="33" t="s">
        <v>206</v>
      </c>
      <c r="H104" s="15" t="s">
        <v>262</v>
      </c>
      <c r="I104" s="33" t="s">
        <v>213</v>
      </c>
      <c r="J104" s="15"/>
      <c r="K104" s="15"/>
      <c r="L104" s="120" t="s">
        <v>220</v>
      </c>
      <c r="M104" s="15" t="s">
        <v>265</v>
      </c>
      <c r="N104" s="15" t="s">
        <v>266</v>
      </c>
      <c r="O104" s="15"/>
      <c r="P104" s="15"/>
      <c r="Q104" s="15" t="b">
        <v>0</v>
      </c>
    </row>
    <row r="105" spans="1:17" ht="15" hidden="1" customHeight="1">
      <c r="A105" s="15">
        <v>3024</v>
      </c>
      <c r="B105" s="15">
        <v>104</v>
      </c>
      <c r="C105" s="15">
        <v>0</v>
      </c>
      <c r="D105" s="15">
        <v>194</v>
      </c>
      <c r="E105" s="15" t="b">
        <v>0</v>
      </c>
      <c r="F105" s="15" t="b">
        <v>0</v>
      </c>
      <c r="G105" s="33" t="s">
        <v>206</v>
      </c>
      <c r="H105" s="15" t="s">
        <v>262</v>
      </c>
      <c r="I105" s="33" t="s">
        <v>216</v>
      </c>
      <c r="J105" s="15"/>
      <c r="K105" s="15"/>
      <c r="L105" s="120" t="s">
        <v>220</v>
      </c>
      <c r="M105" s="15" t="s">
        <v>267</v>
      </c>
      <c r="N105" s="15" t="s">
        <v>268</v>
      </c>
      <c r="O105" s="15"/>
      <c r="P105" s="15"/>
      <c r="Q105" s="15" t="b">
        <v>0</v>
      </c>
    </row>
    <row r="106" spans="1:17" ht="15" hidden="1" customHeight="1">
      <c r="A106" s="15">
        <v>3025</v>
      </c>
      <c r="B106" s="15">
        <v>105</v>
      </c>
      <c r="C106" s="15">
        <v>0</v>
      </c>
      <c r="D106" s="15">
        <v>194</v>
      </c>
      <c r="E106" s="15" t="b">
        <v>1</v>
      </c>
      <c r="F106" s="15" t="b">
        <v>0</v>
      </c>
      <c r="G106" s="33" t="s">
        <v>206</v>
      </c>
      <c r="H106" s="15" t="s">
        <v>269</v>
      </c>
      <c r="I106" s="33" t="s">
        <v>208</v>
      </c>
      <c r="J106" s="15"/>
      <c r="K106" s="15"/>
      <c r="L106" s="120" t="s">
        <v>210</v>
      </c>
      <c r="M106" s="15" t="s">
        <v>270</v>
      </c>
      <c r="N106" s="15" t="s">
        <v>271</v>
      </c>
      <c r="O106" s="15"/>
      <c r="P106" s="15"/>
      <c r="Q106" s="15" t="b">
        <v>0</v>
      </c>
    </row>
    <row r="107" spans="1:17" ht="15" hidden="1" customHeight="1">
      <c r="A107" s="15">
        <v>3026</v>
      </c>
      <c r="B107" s="15">
        <v>106</v>
      </c>
      <c r="C107" s="15">
        <v>0</v>
      </c>
      <c r="D107" s="15">
        <v>194</v>
      </c>
      <c r="E107" s="15" t="b">
        <v>1</v>
      </c>
      <c r="F107" s="15" t="b">
        <v>0</v>
      </c>
      <c r="G107" s="33" t="s">
        <v>206</v>
      </c>
      <c r="H107" s="15" t="s">
        <v>269</v>
      </c>
      <c r="I107" s="33" t="s">
        <v>272</v>
      </c>
      <c r="J107" s="15"/>
      <c r="K107" s="15"/>
      <c r="L107" s="120" t="s">
        <v>210</v>
      </c>
      <c r="M107" s="15" t="s">
        <v>273</v>
      </c>
      <c r="N107" s="15" t="s">
        <v>274</v>
      </c>
      <c r="O107" s="15"/>
      <c r="P107" s="15"/>
      <c r="Q107" s="15" t="b">
        <v>0</v>
      </c>
    </row>
    <row r="108" spans="1:17" ht="15" hidden="1" customHeight="1">
      <c r="A108" s="15">
        <v>3027</v>
      </c>
      <c r="B108" s="15">
        <v>107</v>
      </c>
      <c r="C108" s="15">
        <v>0</v>
      </c>
      <c r="D108" s="15">
        <v>194</v>
      </c>
      <c r="E108" s="15" t="b">
        <v>1</v>
      </c>
      <c r="F108" s="15" t="b">
        <v>0</v>
      </c>
      <c r="G108" s="33" t="s">
        <v>206</v>
      </c>
      <c r="H108" s="15" t="s">
        <v>269</v>
      </c>
      <c r="I108" s="33" t="s">
        <v>216</v>
      </c>
      <c r="J108" s="15"/>
      <c r="K108" s="15"/>
      <c r="L108" s="120" t="s">
        <v>210</v>
      </c>
      <c r="M108" s="15" t="s">
        <v>275</v>
      </c>
      <c r="N108" s="15" t="s">
        <v>276</v>
      </c>
      <c r="O108" s="15"/>
      <c r="P108" s="15"/>
      <c r="Q108" s="15" t="b">
        <v>0</v>
      </c>
    </row>
    <row r="109" spans="1:17" ht="15" hidden="1" customHeight="1">
      <c r="A109" s="15">
        <v>3028</v>
      </c>
      <c r="B109" s="15">
        <v>108</v>
      </c>
      <c r="C109" s="15">
        <v>0</v>
      </c>
      <c r="D109" s="15">
        <v>194</v>
      </c>
      <c r="E109" s="15" t="b">
        <v>0</v>
      </c>
      <c r="F109" s="15" t="b">
        <v>0</v>
      </c>
      <c r="G109" s="33" t="s">
        <v>206</v>
      </c>
      <c r="H109" s="15" t="s">
        <v>277</v>
      </c>
      <c r="I109" s="33" t="s">
        <v>208</v>
      </c>
      <c r="J109" s="15"/>
      <c r="K109" s="15"/>
      <c r="L109" s="120" t="s">
        <v>220</v>
      </c>
      <c r="M109" s="15" t="s">
        <v>278</v>
      </c>
      <c r="N109" s="15" t="s">
        <v>279</v>
      </c>
      <c r="O109" s="15"/>
      <c r="P109" s="15"/>
      <c r="Q109" s="15" t="b">
        <v>0</v>
      </c>
    </row>
    <row r="110" spans="1:17" ht="15" hidden="1" customHeight="1">
      <c r="A110" s="15">
        <v>3029</v>
      </c>
      <c r="B110" s="15">
        <v>109</v>
      </c>
      <c r="C110" s="15">
        <v>0</v>
      </c>
      <c r="D110" s="15">
        <v>194</v>
      </c>
      <c r="E110" s="15" t="b">
        <v>0</v>
      </c>
      <c r="F110" s="15" t="b">
        <v>0</v>
      </c>
      <c r="G110" s="33" t="s">
        <v>206</v>
      </c>
      <c r="H110" s="15" t="s">
        <v>277</v>
      </c>
      <c r="I110" s="33" t="s">
        <v>213</v>
      </c>
      <c r="J110" s="15"/>
      <c r="K110" s="15"/>
      <c r="L110" s="120" t="s">
        <v>220</v>
      </c>
      <c r="M110" s="15" t="s">
        <v>280</v>
      </c>
      <c r="N110" s="15" t="s">
        <v>281</v>
      </c>
      <c r="O110" s="15"/>
      <c r="P110" s="15"/>
      <c r="Q110" s="15" t="b">
        <v>0</v>
      </c>
    </row>
    <row r="111" spans="1:17" ht="15" hidden="1" customHeight="1">
      <c r="A111" s="15">
        <v>3030</v>
      </c>
      <c r="B111" s="15">
        <v>110</v>
      </c>
      <c r="C111" s="15">
        <v>0</v>
      </c>
      <c r="D111" s="15">
        <v>194</v>
      </c>
      <c r="E111" s="15" t="b">
        <v>0</v>
      </c>
      <c r="F111" s="15" t="b">
        <v>0</v>
      </c>
      <c r="G111" s="33" t="s">
        <v>206</v>
      </c>
      <c r="H111" s="15" t="s">
        <v>277</v>
      </c>
      <c r="I111" s="33" t="s">
        <v>216</v>
      </c>
      <c r="J111" s="15"/>
      <c r="K111" s="15"/>
      <c r="L111" s="120" t="s">
        <v>220</v>
      </c>
      <c r="M111" s="15" t="s">
        <v>282</v>
      </c>
      <c r="N111" s="15" t="s">
        <v>283</v>
      </c>
      <c r="O111" s="15"/>
      <c r="P111" s="15"/>
      <c r="Q111" s="15" t="b">
        <v>0</v>
      </c>
    </row>
    <row r="112" spans="1:17" ht="15" hidden="1" customHeight="1">
      <c r="A112" s="15">
        <v>3031</v>
      </c>
      <c r="B112" s="15">
        <v>111</v>
      </c>
      <c r="C112" s="15">
        <v>0</v>
      </c>
      <c r="D112" s="15">
        <v>194</v>
      </c>
      <c r="E112" s="15" t="b">
        <v>0</v>
      </c>
      <c r="F112" s="15" t="b">
        <v>0</v>
      </c>
      <c r="G112" s="33" t="s">
        <v>206</v>
      </c>
      <c r="H112" s="15" t="s">
        <v>284</v>
      </c>
      <c r="I112" s="33" t="s">
        <v>208</v>
      </c>
      <c r="J112" s="15"/>
      <c r="K112" s="15"/>
      <c r="L112" s="120" t="s">
        <v>220</v>
      </c>
      <c r="M112" s="15" t="s">
        <v>285</v>
      </c>
      <c r="N112" s="15" t="s">
        <v>286</v>
      </c>
      <c r="O112" s="15"/>
      <c r="P112" s="15"/>
      <c r="Q112" s="15" t="b">
        <v>0</v>
      </c>
    </row>
    <row r="113" spans="1:17" ht="15" hidden="1" customHeight="1">
      <c r="A113" s="15">
        <v>3032</v>
      </c>
      <c r="B113" s="15">
        <v>112</v>
      </c>
      <c r="C113" s="15">
        <v>0</v>
      </c>
      <c r="D113" s="15">
        <v>194</v>
      </c>
      <c r="E113" s="15" t="b">
        <v>0</v>
      </c>
      <c r="F113" s="15" t="b">
        <v>0</v>
      </c>
      <c r="G113" s="33" t="s">
        <v>206</v>
      </c>
      <c r="H113" s="15" t="s">
        <v>284</v>
      </c>
      <c r="I113" s="33" t="s">
        <v>213</v>
      </c>
      <c r="J113" s="15"/>
      <c r="K113" s="15"/>
      <c r="L113" s="120" t="s">
        <v>220</v>
      </c>
      <c r="M113" s="15" t="s">
        <v>287</v>
      </c>
      <c r="N113" s="15" t="s">
        <v>288</v>
      </c>
      <c r="O113" s="15"/>
      <c r="P113" s="15"/>
      <c r="Q113" s="15" t="b">
        <v>0</v>
      </c>
    </row>
    <row r="114" spans="1:17" ht="15" hidden="1" customHeight="1">
      <c r="A114" s="15">
        <v>3033</v>
      </c>
      <c r="B114" s="15">
        <v>113</v>
      </c>
      <c r="C114" s="15">
        <v>0</v>
      </c>
      <c r="D114" s="15">
        <v>194</v>
      </c>
      <c r="E114" s="15" t="b">
        <v>0</v>
      </c>
      <c r="F114" s="15" t="b">
        <v>0</v>
      </c>
      <c r="G114" s="33" t="s">
        <v>206</v>
      </c>
      <c r="H114" s="15" t="s">
        <v>284</v>
      </c>
      <c r="I114" s="33" t="s">
        <v>216</v>
      </c>
      <c r="J114" s="15"/>
      <c r="K114" s="15"/>
      <c r="L114" s="120" t="s">
        <v>220</v>
      </c>
      <c r="M114" s="15" t="s">
        <v>289</v>
      </c>
      <c r="N114" s="15" t="s">
        <v>290</v>
      </c>
      <c r="O114" s="15"/>
      <c r="P114" s="15"/>
      <c r="Q114" s="15" t="b">
        <v>0</v>
      </c>
    </row>
    <row r="115" spans="1:17" ht="15" hidden="1" customHeight="1">
      <c r="A115" s="15">
        <v>3034</v>
      </c>
      <c r="B115" s="15">
        <v>114</v>
      </c>
      <c r="C115" s="15">
        <v>0</v>
      </c>
      <c r="D115" s="15">
        <v>194</v>
      </c>
      <c r="E115" s="15" t="b">
        <v>1</v>
      </c>
      <c r="F115" s="15" t="b">
        <v>0</v>
      </c>
      <c r="G115" s="33" t="s">
        <v>206</v>
      </c>
      <c r="H115" s="15" t="s">
        <v>291</v>
      </c>
      <c r="I115" s="33" t="s">
        <v>208</v>
      </c>
      <c r="J115" s="15"/>
      <c r="K115" s="15"/>
      <c r="L115" s="120" t="s">
        <v>210</v>
      </c>
      <c r="M115" s="15" t="s">
        <v>292</v>
      </c>
      <c r="N115" s="15" t="s">
        <v>293</v>
      </c>
      <c r="O115" s="15"/>
      <c r="P115" s="15"/>
      <c r="Q115" s="15" t="b">
        <v>0</v>
      </c>
    </row>
    <row r="116" spans="1:17" ht="15" hidden="1" customHeight="1">
      <c r="A116" s="15">
        <v>3035</v>
      </c>
      <c r="B116" s="15">
        <v>115</v>
      </c>
      <c r="C116" s="15">
        <v>0</v>
      </c>
      <c r="D116" s="15">
        <v>194</v>
      </c>
      <c r="E116" s="15" t="b">
        <v>1</v>
      </c>
      <c r="F116" s="15" t="b">
        <v>0</v>
      </c>
      <c r="G116" s="33" t="s">
        <v>206</v>
      </c>
      <c r="H116" s="15" t="s">
        <v>291</v>
      </c>
      <c r="I116" s="33" t="s">
        <v>272</v>
      </c>
      <c r="J116" s="15"/>
      <c r="K116" s="15"/>
      <c r="L116" s="120" t="s">
        <v>210</v>
      </c>
      <c r="M116" s="15" t="s">
        <v>294</v>
      </c>
      <c r="N116" s="15" t="s">
        <v>295</v>
      </c>
      <c r="O116" s="15"/>
      <c r="P116" s="15"/>
      <c r="Q116" s="15" t="b">
        <v>0</v>
      </c>
    </row>
    <row r="117" spans="1:17" ht="15" hidden="1" customHeight="1">
      <c r="A117" s="15">
        <v>3036</v>
      </c>
      <c r="B117" s="15">
        <v>116</v>
      </c>
      <c r="C117" s="15">
        <v>0</v>
      </c>
      <c r="D117" s="15">
        <v>194</v>
      </c>
      <c r="E117" s="15" t="b">
        <v>1</v>
      </c>
      <c r="F117" s="15" t="b">
        <v>0</v>
      </c>
      <c r="G117" s="33" t="s">
        <v>206</v>
      </c>
      <c r="H117" s="15" t="s">
        <v>291</v>
      </c>
      <c r="I117" s="33" t="s">
        <v>216</v>
      </c>
      <c r="J117" s="15"/>
      <c r="K117" s="15"/>
      <c r="L117" s="120" t="s">
        <v>210</v>
      </c>
      <c r="M117" s="15" t="s">
        <v>296</v>
      </c>
      <c r="N117" s="15" t="s">
        <v>297</v>
      </c>
      <c r="O117" s="15"/>
      <c r="P117" s="15"/>
      <c r="Q117" s="15" t="b">
        <v>0</v>
      </c>
    </row>
    <row r="118" spans="1:17" ht="15" hidden="1" customHeight="1">
      <c r="A118" s="15">
        <v>3037</v>
      </c>
      <c r="B118" s="15">
        <v>117</v>
      </c>
      <c r="C118" s="15">
        <v>0</v>
      </c>
      <c r="D118" s="15">
        <v>194</v>
      </c>
      <c r="E118" s="15" t="b">
        <v>0</v>
      </c>
      <c r="F118" s="15" t="b">
        <v>0</v>
      </c>
      <c r="G118" s="33" t="s">
        <v>206</v>
      </c>
      <c r="H118" s="15" t="s">
        <v>298</v>
      </c>
      <c r="I118" s="33" t="s">
        <v>208</v>
      </c>
      <c r="J118" s="15"/>
      <c r="K118" s="15"/>
      <c r="L118" s="120" t="s">
        <v>220</v>
      </c>
      <c r="M118" s="15" t="s">
        <v>299</v>
      </c>
      <c r="N118" s="15" t="s">
        <v>300</v>
      </c>
      <c r="O118" s="15"/>
      <c r="P118" s="15"/>
      <c r="Q118" s="15" t="b">
        <v>0</v>
      </c>
    </row>
    <row r="119" spans="1:17" ht="15" hidden="1" customHeight="1">
      <c r="A119" s="15">
        <v>3038</v>
      </c>
      <c r="B119" s="15">
        <v>118</v>
      </c>
      <c r="C119" s="15">
        <v>0</v>
      </c>
      <c r="D119" s="15">
        <v>194</v>
      </c>
      <c r="E119" s="15" t="b">
        <v>0</v>
      </c>
      <c r="F119" s="15" t="b">
        <v>0</v>
      </c>
      <c r="G119" s="33" t="s">
        <v>206</v>
      </c>
      <c r="H119" s="15" t="s">
        <v>298</v>
      </c>
      <c r="I119" s="33" t="s">
        <v>213</v>
      </c>
      <c r="J119" s="15"/>
      <c r="K119" s="15"/>
      <c r="L119" s="120" t="s">
        <v>220</v>
      </c>
      <c r="M119" s="15" t="s">
        <v>301</v>
      </c>
      <c r="N119" s="15" t="s">
        <v>302</v>
      </c>
      <c r="O119" s="15"/>
      <c r="P119" s="15"/>
      <c r="Q119" s="15" t="b">
        <v>0</v>
      </c>
    </row>
    <row r="120" spans="1:17" ht="15" hidden="1" customHeight="1">
      <c r="A120" s="15">
        <v>3039</v>
      </c>
      <c r="B120" s="15">
        <v>119</v>
      </c>
      <c r="C120" s="15">
        <v>0</v>
      </c>
      <c r="D120" s="15">
        <v>194</v>
      </c>
      <c r="E120" s="15" t="b">
        <v>0</v>
      </c>
      <c r="F120" s="15" t="b">
        <v>0</v>
      </c>
      <c r="G120" s="33" t="s">
        <v>206</v>
      </c>
      <c r="H120" s="15" t="s">
        <v>298</v>
      </c>
      <c r="I120" s="33" t="s">
        <v>216</v>
      </c>
      <c r="J120" s="15"/>
      <c r="K120" s="15"/>
      <c r="L120" s="120" t="s">
        <v>220</v>
      </c>
      <c r="M120" s="15" t="s">
        <v>303</v>
      </c>
      <c r="N120" s="15" t="s">
        <v>304</v>
      </c>
      <c r="O120" s="15"/>
      <c r="P120" s="15"/>
      <c r="Q120" s="15" t="b">
        <v>0</v>
      </c>
    </row>
    <row r="121" spans="1:17" ht="15" hidden="1" customHeight="1">
      <c r="A121" s="15">
        <v>3040</v>
      </c>
      <c r="B121" s="15">
        <v>120</v>
      </c>
      <c r="C121" s="15">
        <v>0</v>
      </c>
      <c r="D121" s="15">
        <v>194</v>
      </c>
      <c r="E121" s="15" t="b">
        <v>0</v>
      </c>
      <c r="F121" s="15" t="b">
        <v>0</v>
      </c>
      <c r="G121" s="33" t="s">
        <v>206</v>
      </c>
      <c r="H121" s="15" t="s">
        <v>305</v>
      </c>
      <c r="I121" s="33" t="s">
        <v>208</v>
      </c>
      <c r="J121" s="15"/>
      <c r="K121" s="15"/>
      <c r="L121" s="120" t="s">
        <v>220</v>
      </c>
      <c r="M121" s="15" t="s">
        <v>306</v>
      </c>
      <c r="N121" s="15" t="s">
        <v>307</v>
      </c>
      <c r="O121" s="15"/>
      <c r="P121" s="15"/>
      <c r="Q121" s="15" t="b">
        <v>0</v>
      </c>
    </row>
    <row r="122" spans="1:17" ht="15" hidden="1" customHeight="1">
      <c r="A122" s="15">
        <v>3041</v>
      </c>
      <c r="B122" s="15">
        <v>121</v>
      </c>
      <c r="C122" s="15">
        <v>0</v>
      </c>
      <c r="D122" s="15">
        <v>194</v>
      </c>
      <c r="E122" s="15" t="b">
        <v>0</v>
      </c>
      <c r="F122" s="15" t="b">
        <v>0</v>
      </c>
      <c r="G122" s="33" t="s">
        <v>206</v>
      </c>
      <c r="H122" s="15" t="s">
        <v>305</v>
      </c>
      <c r="I122" s="33" t="s">
        <v>213</v>
      </c>
      <c r="J122" s="15"/>
      <c r="K122" s="15"/>
      <c r="L122" s="120" t="s">
        <v>220</v>
      </c>
      <c r="M122" s="15" t="s">
        <v>308</v>
      </c>
      <c r="N122" s="15" t="s">
        <v>309</v>
      </c>
      <c r="O122" s="15"/>
      <c r="P122" s="15"/>
      <c r="Q122" s="15" t="b">
        <v>0</v>
      </c>
    </row>
    <row r="123" spans="1:17" ht="15" hidden="1" customHeight="1">
      <c r="A123" s="15">
        <v>3042</v>
      </c>
      <c r="B123" s="15">
        <v>122</v>
      </c>
      <c r="C123" s="15">
        <v>0</v>
      </c>
      <c r="D123" s="15">
        <v>194</v>
      </c>
      <c r="E123" s="15" t="b">
        <v>0</v>
      </c>
      <c r="F123" s="15" t="b">
        <v>0</v>
      </c>
      <c r="G123" s="33" t="s">
        <v>206</v>
      </c>
      <c r="H123" s="15" t="s">
        <v>305</v>
      </c>
      <c r="I123" s="33" t="s">
        <v>216</v>
      </c>
      <c r="J123" s="15"/>
      <c r="K123" s="15"/>
      <c r="L123" s="120" t="s">
        <v>220</v>
      </c>
      <c r="M123" s="15" t="s">
        <v>310</v>
      </c>
      <c r="N123" s="15" t="s">
        <v>311</v>
      </c>
      <c r="O123" s="15"/>
      <c r="P123" s="15"/>
      <c r="Q123" s="15" t="b">
        <v>0</v>
      </c>
    </row>
    <row r="124" spans="1:17" ht="15" hidden="1" customHeight="1">
      <c r="A124" s="15">
        <v>3043</v>
      </c>
      <c r="B124" s="15">
        <v>123</v>
      </c>
      <c r="C124" s="15">
        <v>0</v>
      </c>
      <c r="D124" s="15">
        <v>194</v>
      </c>
      <c r="E124" s="15" t="b">
        <v>1</v>
      </c>
      <c r="F124" s="15" t="b">
        <v>0</v>
      </c>
      <c r="G124" s="33" t="s">
        <v>206</v>
      </c>
      <c r="H124" s="15" t="s">
        <v>312</v>
      </c>
      <c r="I124" s="33" t="s">
        <v>208</v>
      </c>
      <c r="J124" s="15"/>
      <c r="K124" s="15"/>
      <c r="L124" s="120" t="s">
        <v>210</v>
      </c>
      <c r="M124" s="15" t="s">
        <v>313</v>
      </c>
      <c r="N124" s="15" t="s">
        <v>314</v>
      </c>
      <c r="O124" s="15"/>
      <c r="P124" s="15"/>
      <c r="Q124" s="15" t="b">
        <v>0</v>
      </c>
    </row>
    <row r="125" spans="1:17" ht="15" hidden="1" customHeight="1">
      <c r="A125" s="15">
        <v>3044</v>
      </c>
      <c r="B125" s="15">
        <v>124</v>
      </c>
      <c r="C125" s="15">
        <v>0</v>
      </c>
      <c r="D125" s="15">
        <v>194</v>
      </c>
      <c r="E125" s="15" t="b">
        <v>1</v>
      </c>
      <c r="F125" s="15" t="b">
        <v>0</v>
      </c>
      <c r="G125" s="33" t="s">
        <v>206</v>
      </c>
      <c r="H125" s="15" t="s">
        <v>312</v>
      </c>
      <c r="I125" s="33" t="s">
        <v>272</v>
      </c>
      <c r="J125" s="15"/>
      <c r="K125" s="15"/>
      <c r="L125" s="120" t="s">
        <v>210</v>
      </c>
      <c r="M125" s="15" t="s">
        <v>315</v>
      </c>
      <c r="N125" s="15" t="s">
        <v>316</v>
      </c>
      <c r="O125" s="15"/>
      <c r="P125" s="15"/>
      <c r="Q125" s="15" t="b">
        <v>0</v>
      </c>
    </row>
    <row r="126" spans="1:17" ht="15" hidden="1" customHeight="1">
      <c r="A126" s="15">
        <v>3045</v>
      </c>
      <c r="B126" s="15">
        <v>125</v>
      </c>
      <c r="C126" s="15">
        <v>0</v>
      </c>
      <c r="D126" s="15">
        <v>194</v>
      </c>
      <c r="E126" s="15" t="b">
        <v>1</v>
      </c>
      <c r="F126" s="15" t="b">
        <v>0</v>
      </c>
      <c r="G126" s="33" t="s">
        <v>206</v>
      </c>
      <c r="H126" s="15" t="s">
        <v>312</v>
      </c>
      <c r="I126" s="33" t="s">
        <v>216</v>
      </c>
      <c r="J126" s="15"/>
      <c r="K126" s="15"/>
      <c r="L126" s="120" t="s">
        <v>210</v>
      </c>
      <c r="M126" s="15" t="s">
        <v>317</v>
      </c>
      <c r="N126" s="15" t="s">
        <v>318</v>
      </c>
      <c r="O126" s="15"/>
      <c r="P126" s="15"/>
      <c r="Q126" s="15" t="b">
        <v>0</v>
      </c>
    </row>
    <row r="127" spans="1:17" ht="15" hidden="1" customHeight="1">
      <c r="A127" s="15">
        <v>3046</v>
      </c>
      <c r="B127" s="15">
        <v>126</v>
      </c>
      <c r="C127" s="15">
        <v>0</v>
      </c>
      <c r="D127" s="15">
        <v>194</v>
      </c>
      <c r="E127" s="15" t="b">
        <v>0</v>
      </c>
      <c r="F127" s="15" t="b">
        <v>0</v>
      </c>
      <c r="G127" s="33" t="s">
        <v>206</v>
      </c>
      <c r="H127" s="15" t="s">
        <v>319</v>
      </c>
      <c r="I127" s="33" t="s">
        <v>208</v>
      </c>
      <c r="J127" s="15"/>
      <c r="K127" s="15"/>
      <c r="L127" s="120" t="s">
        <v>220</v>
      </c>
      <c r="M127" s="15" t="s">
        <v>320</v>
      </c>
      <c r="N127" s="15" t="s">
        <v>321</v>
      </c>
      <c r="O127" s="15"/>
      <c r="P127" s="15"/>
      <c r="Q127" s="15" t="b">
        <v>0</v>
      </c>
    </row>
    <row r="128" spans="1:17" ht="15" hidden="1" customHeight="1">
      <c r="A128" s="15">
        <v>3047</v>
      </c>
      <c r="B128" s="15">
        <v>127</v>
      </c>
      <c r="C128" s="15">
        <v>0</v>
      </c>
      <c r="D128" s="15">
        <v>194</v>
      </c>
      <c r="E128" s="15" t="b">
        <v>0</v>
      </c>
      <c r="F128" s="15" t="b">
        <v>0</v>
      </c>
      <c r="G128" s="33" t="s">
        <v>206</v>
      </c>
      <c r="H128" s="15" t="s">
        <v>319</v>
      </c>
      <c r="I128" s="33" t="s">
        <v>213</v>
      </c>
      <c r="J128" s="15"/>
      <c r="K128" s="15"/>
      <c r="L128" s="120" t="s">
        <v>220</v>
      </c>
      <c r="M128" s="15" t="s">
        <v>322</v>
      </c>
      <c r="N128" s="15" t="s">
        <v>323</v>
      </c>
      <c r="O128" s="15"/>
      <c r="P128" s="15"/>
      <c r="Q128" s="15" t="b">
        <v>0</v>
      </c>
    </row>
    <row r="129" spans="1:17" ht="15" hidden="1" customHeight="1">
      <c r="A129" s="15">
        <v>3048</v>
      </c>
      <c r="B129" s="15">
        <v>128</v>
      </c>
      <c r="C129" s="15">
        <v>0</v>
      </c>
      <c r="D129" s="15">
        <v>194</v>
      </c>
      <c r="E129" s="15" t="b">
        <v>0</v>
      </c>
      <c r="F129" s="15" t="b">
        <v>0</v>
      </c>
      <c r="G129" s="33" t="s">
        <v>206</v>
      </c>
      <c r="H129" s="15" t="s">
        <v>319</v>
      </c>
      <c r="I129" s="33" t="s">
        <v>216</v>
      </c>
      <c r="J129" s="15"/>
      <c r="K129" s="15"/>
      <c r="L129" s="120" t="s">
        <v>220</v>
      </c>
      <c r="M129" s="15" t="s">
        <v>324</v>
      </c>
      <c r="N129" s="15" t="s">
        <v>325</v>
      </c>
      <c r="O129" s="15"/>
      <c r="P129" s="15"/>
      <c r="Q129" s="15" t="b">
        <v>0</v>
      </c>
    </row>
    <row r="130" spans="1:17" ht="15" hidden="1" customHeight="1">
      <c r="A130" s="15">
        <v>3049</v>
      </c>
      <c r="B130" s="15">
        <v>129</v>
      </c>
      <c r="C130" s="15">
        <v>0</v>
      </c>
      <c r="D130" s="15">
        <v>194</v>
      </c>
      <c r="E130" s="15" t="b">
        <v>1</v>
      </c>
      <c r="F130" s="15" t="b">
        <v>0</v>
      </c>
      <c r="G130" s="33" t="s">
        <v>206</v>
      </c>
      <c r="H130" s="15" t="s">
        <v>326</v>
      </c>
      <c r="I130" s="33" t="s">
        <v>208</v>
      </c>
      <c r="J130" s="15"/>
      <c r="K130" s="15"/>
      <c r="L130" s="120" t="s">
        <v>210</v>
      </c>
      <c r="M130" s="15" t="s">
        <v>327</v>
      </c>
      <c r="N130" s="15" t="s">
        <v>328</v>
      </c>
      <c r="O130" s="15"/>
      <c r="P130" s="15"/>
      <c r="Q130" s="15" t="b">
        <v>0</v>
      </c>
    </row>
    <row r="131" spans="1:17" ht="15" hidden="1" customHeight="1">
      <c r="A131" s="15">
        <v>3050</v>
      </c>
      <c r="B131" s="15">
        <v>130</v>
      </c>
      <c r="C131" s="15">
        <v>0</v>
      </c>
      <c r="D131" s="15">
        <v>194</v>
      </c>
      <c r="E131" s="15" t="b">
        <v>1</v>
      </c>
      <c r="F131" s="15" t="b">
        <v>0</v>
      </c>
      <c r="G131" s="33" t="s">
        <v>206</v>
      </c>
      <c r="H131" s="15" t="s">
        <v>326</v>
      </c>
      <c r="I131" s="33" t="s">
        <v>213</v>
      </c>
      <c r="J131" s="15"/>
      <c r="K131" s="15"/>
      <c r="L131" s="120" t="s">
        <v>210</v>
      </c>
      <c r="M131" s="15" t="s">
        <v>329</v>
      </c>
      <c r="N131" s="15" t="s">
        <v>330</v>
      </c>
      <c r="O131" s="15"/>
      <c r="P131" s="15"/>
      <c r="Q131" s="15" t="b">
        <v>0</v>
      </c>
    </row>
    <row r="132" spans="1:17" ht="15" hidden="1" customHeight="1">
      <c r="A132" s="15">
        <v>3051</v>
      </c>
      <c r="B132" s="15">
        <v>131</v>
      </c>
      <c r="C132" s="15">
        <v>0</v>
      </c>
      <c r="D132" s="15">
        <v>194</v>
      </c>
      <c r="E132" s="15" t="b">
        <v>1</v>
      </c>
      <c r="F132" s="15" t="b">
        <v>0</v>
      </c>
      <c r="G132" s="33" t="s">
        <v>206</v>
      </c>
      <c r="H132" s="15" t="s">
        <v>326</v>
      </c>
      <c r="I132" s="33" t="s">
        <v>216</v>
      </c>
      <c r="J132" s="15"/>
      <c r="K132" s="15"/>
      <c r="L132" s="120" t="s">
        <v>210</v>
      </c>
      <c r="M132" s="15" t="s">
        <v>331</v>
      </c>
      <c r="N132" s="15" t="s">
        <v>332</v>
      </c>
      <c r="O132" s="15"/>
      <c r="P132" s="15"/>
      <c r="Q132" s="15" t="b">
        <v>0</v>
      </c>
    </row>
    <row r="133" spans="1:17" ht="15" hidden="1" customHeight="1">
      <c r="A133" s="15">
        <v>3052</v>
      </c>
      <c r="B133" s="15">
        <v>132</v>
      </c>
      <c r="C133" s="15">
        <v>0</v>
      </c>
      <c r="D133" s="15">
        <v>194</v>
      </c>
      <c r="E133" s="15" t="b">
        <v>0</v>
      </c>
      <c r="F133" s="15" t="b">
        <v>0</v>
      </c>
      <c r="G133" s="33" t="s">
        <v>206</v>
      </c>
      <c r="H133" s="15" t="s">
        <v>333</v>
      </c>
      <c r="I133" s="33" t="s">
        <v>208</v>
      </c>
      <c r="J133" s="15"/>
      <c r="K133" s="15"/>
      <c r="L133" s="120" t="s">
        <v>220</v>
      </c>
      <c r="M133" s="15" t="s">
        <v>334</v>
      </c>
      <c r="N133" s="15" t="s">
        <v>335</v>
      </c>
      <c r="O133" s="15"/>
      <c r="P133" s="15"/>
      <c r="Q133" s="15" t="b">
        <v>0</v>
      </c>
    </row>
    <row r="134" spans="1:17" ht="15" hidden="1" customHeight="1">
      <c r="A134" s="15">
        <v>3053</v>
      </c>
      <c r="B134" s="15">
        <v>133</v>
      </c>
      <c r="C134" s="15">
        <v>0</v>
      </c>
      <c r="D134" s="15">
        <v>194</v>
      </c>
      <c r="E134" s="15" t="b">
        <v>0</v>
      </c>
      <c r="F134" s="15" t="b">
        <v>0</v>
      </c>
      <c r="G134" s="33" t="s">
        <v>206</v>
      </c>
      <c r="H134" s="15" t="s">
        <v>333</v>
      </c>
      <c r="I134" s="33" t="s">
        <v>213</v>
      </c>
      <c r="J134" s="15"/>
      <c r="K134" s="15"/>
      <c r="L134" s="120" t="s">
        <v>220</v>
      </c>
      <c r="M134" s="15" t="s">
        <v>336</v>
      </c>
      <c r="N134" s="15" t="s">
        <v>337</v>
      </c>
      <c r="O134" s="15"/>
      <c r="P134" s="15"/>
      <c r="Q134" s="15" t="b">
        <v>0</v>
      </c>
    </row>
    <row r="135" spans="1:17" ht="15" hidden="1" customHeight="1">
      <c r="A135" s="15">
        <v>3054</v>
      </c>
      <c r="B135" s="15">
        <v>134</v>
      </c>
      <c r="C135" s="15">
        <v>0</v>
      </c>
      <c r="D135" s="15">
        <v>194</v>
      </c>
      <c r="E135" s="15" t="b">
        <v>0</v>
      </c>
      <c r="F135" s="15" t="b">
        <v>0</v>
      </c>
      <c r="G135" s="33" t="s">
        <v>206</v>
      </c>
      <c r="H135" s="15" t="s">
        <v>333</v>
      </c>
      <c r="I135" s="33" t="s">
        <v>216</v>
      </c>
      <c r="J135" s="15"/>
      <c r="K135" s="15"/>
      <c r="L135" s="120" t="s">
        <v>220</v>
      </c>
      <c r="M135" s="15" t="s">
        <v>338</v>
      </c>
      <c r="N135" s="15" t="s">
        <v>339</v>
      </c>
      <c r="O135" s="15"/>
      <c r="P135" s="15"/>
      <c r="Q135" s="15" t="b">
        <v>0</v>
      </c>
    </row>
    <row r="136" spans="1:17" ht="15" hidden="1" customHeight="1">
      <c r="A136" s="15">
        <v>3055</v>
      </c>
      <c r="B136" s="15">
        <v>135</v>
      </c>
      <c r="C136" s="15">
        <v>0</v>
      </c>
      <c r="D136" s="15">
        <v>194</v>
      </c>
      <c r="E136" s="15" t="b">
        <v>0</v>
      </c>
      <c r="F136" s="15" t="b">
        <v>0</v>
      </c>
      <c r="G136" s="33" t="s">
        <v>206</v>
      </c>
      <c r="H136" s="15" t="s">
        <v>340</v>
      </c>
      <c r="I136" s="33" t="s">
        <v>208</v>
      </c>
      <c r="J136" s="15"/>
      <c r="K136" s="15"/>
      <c r="L136" s="120" t="s">
        <v>220</v>
      </c>
      <c r="M136" s="15" t="s">
        <v>341</v>
      </c>
      <c r="N136" s="15" t="s">
        <v>342</v>
      </c>
      <c r="O136" s="15"/>
      <c r="P136" s="15"/>
      <c r="Q136" s="15" t="b">
        <v>0</v>
      </c>
    </row>
    <row r="137" spans="1:17" ht="15" hidden="1" customHeight="1">
      <c r="A137" s="15">
        <v>3056</v>
      </c>
      <c r="B137" s="15">
        <v>136</v>
      </c>
      <c r="C137" s="15">
        <v>0</v>
      </c>
      <c r="D137" s="15">
        <v>194</v>
      </c>
      <c r="E137" s="15" t="b">
        <v>0</v>
      </c>
      <c r="F137" s="15" t="b">
        <v>0</v>
      </c>
      <c r="G137" s="33" t="s">
        <v>206</v>
      </c>
      <c r="H137" s="15" t="s">
        <v>340</v>
      </c>
      <c r="I137" s="33" t="s">
        <v>213</v>
      </c>
      <c r="J137" s="15"/>
      <c r="K137" s="15"/>
      <c r="L137" s="120" t="s">
        <v>220</v>
      </c>
      <c r="M137" s="15" t="s">
        <v>343</v>
      </c>
      <c r="N137" s="15" t="s">
        <v>344</v>
      </c>
      <c r="O137" s="15"/>
      <c r="P137" s="15"/>
      <c r="Q137" s="15" t="b">
        <v>0</v>
      </c>
    </row>
    <row r="138" spans="1:17" ht="15" hidden="1" customHeight="1">
      <c r="A138" s="15">
        <v>3057</v>
      </c>
      <c r="B138" s="15">
        <v>137</v>
      </c>
      <c r="C138" s="15">
        <v>0</v>
      </c>
      <c r="D138" s="15">
        <v>194</v>
      </c>
      <c r="E138" s="15" t="b">
        <v>0</v>
      </c>
      <c r="F138" s="15" t="b">
        <v>0</v>
      </c>
      <c r="G138" s="33" t="s">
        <v>206</v>
      </c>
      <c r="H138" s="15" t="s">
        <v>340</v>
      </c>
      <c r="I138" s="33" t="s">
        <v>216</v>
      </c>
      <c r="J138" s="15"/>
      <c r="K138" s="15"/>
      <c r="L138" s="120" t="s">
        <v>220</v>
      </c>
      <c r="M138" s="15" t="s">
        <v>345</v>
      </c>
      <c r="N138" s="15" t="s">
        <v>346</v>
      </c>
      <c r="O138" s="15"/>
      <c r="P138" s="15"/>
      <c r="Q138" s="15" t="b">
        <v>0</v>
      </c>
    </row>
    <row r="139" spans="1:17" ht="15" hidden="1" customHeight="1">
      <c r="A139" s="15">
        <v>3058</v>
      </c>
      <c r="B139" s="15">
        <v>138</v>
      </c>
      <c r="C139" s="15">
        <v>0</v>
      </c>
      <c r="D139" s="15">
        <v>194</v>
      </c>
      <c r="E139" s="15" t="b">
        <v>1</v>
      </c>
      <c r="F139" s="15" t="b">
        <v>0</v>
      </c>
      <c r="G139" s="33" t="s">
        <v>206</v>
      </c>
      <c r="H139" s="15" t="s">
        <v>347</v>
      </c>
      <c r="I139" s="33" t="s">
        <v>208</v>
      </c>
      <c r="J139" s="15"/>
      <c r="K139" s="15"/>
      <c r="L139" s="120" t="s">
        <v>210</v>
      </c>
      <c r="M139" s="15" t="s">
        <v>348</v>
      </c>
      <c r="N139" s="15" t="s">
        <v>349</v>
      </c>
      <c r="O139" s="15"/>
      <c r="P139" s="15"/>
      <c r="Q139" s="15" t="b">
        <v>0</v>
      </c>
    </row>
    <row r="140" spans="1:17" ht="15" hidden="1" customHeight="1">
      <c r="A140" s="15">
        <v>3059</v>
      </c>
      <c r="B140" s="15">
        <v>139</v>
      </c>
      <c r="C140" s="15">
        <v>0</v>
      </c>
      <c r="D140" s="15">
        <v>194</v>
      </c>
      <c r="E140" s="15" t="b">
        <v>1</v>
      </c>
      <c r="F140" s="15" t="b">
        <v>0</v>
      </c>
      <c r="G140" s="33" t="s">
        <v>206</v>
      </c>
      <c r="H140" s="15" t="s">
        <v>347</v>
      </c>
      <c r="I140" s="33" t="s">
        <v>213</v>
      </c>
      <c r="J140" s="15"/>
      <c r="K140" s="15"/>
      <c r="L140" s="120" t="s">
        <v>210</v>
      </c>
      <c r="M140" s="15" t="s">
        <v>350</v>
      </c>
      <c r="N140" s="15" t="s">
        <v>351</v>
      </c>
      <c r="O140" s="15"/>
      <c r="P140" s="15"/>
      <c r="Q140" s="15" t="b">
        <v>0</v>
      </c>
    </row>
    <row r="141" spans="1:17" ht="15" hidden="1" customHeight="1">
      <c r="A141" s="15">
        <v>3060</v>
      </c>
      <c r="B141" s="15">
        <v>140</v>
      </c>
      <c r="C141" s="15">
        <v>0</v>
      </c>
      <c r="D141" s="15">
        <v>194</v>
      </c>
      <c r="E141" s="15" t="b">
        <v>1</v>
      </c>
      <c r="F141" s="15" t="b">
        <v>0</v>
      </c>
      <c r="G141" s="33" t="s">
        <v>206</v>
      </c>
      <c r="H141" s="15" t="s">
        <v>347</v>
      </c>
      <c r="I141" s="33" t="s">
        <v>216</v>
      </c>
      <c r="J141" s="15"/>
      <c r="K141" s="15"/>
      <c r="L141" s="120" t="s">
        <v>210</v>
      </c>
      <c r="M141" s="15" t="s">
        <v>352</v>
      </c>
      <c r="N141" s="15" t="s">
        <v>353</v>
      </c>
      <c r="O141" s="15"/>
      <c r="P141" s="15"/>
      <c r="Q141" s="15" t="b">
        <v>0</v>
      </c>
    </row>
    <row r="142" spans="1:17" ht="15" hidden="1" customHeight="1">
      <c r="A142" s="15">
        <v>3061</v>
      </c>
      <c r="B142" s="15">
        <v>141</v>
      </c>
      <c r="C142" s="15">
        <v>0</v>
      </c>
      <c r="D142" s="15">
        <v>194</v>
      </c>
      <c r="E142" s="15" t="b">
        <v>0</v>
      </c>
      <c r="F142" s="15" t="b">
        <v>0</v>
      </c>
      <c r="G142" s="33" t="s">
        <v>206</v>
      </c>
      <c r="H142" s="15" t="s">
        <v>354</v>
      </c>
      <c r="I142" s="33" t="s">
        <v>208</v>
      </c>
      <c r="J142" s="15"/>
      <c r="K142" s="15"/>
      <c r="L142" s="120" t="s">
        <v>220</v>
      </c>
      <c r="M142" s="15" t="s">
        <v>355</v>
      </c>
      <c r="N142" s="15" t="s">
        <v>356</v>
      </c>
      <c r="O142" s="15"/>
      <c r="P142" s="15"/>
      <c r="Q142" s="15" t="b">
        <v>0</v>
      </c>
    </row>
    <row r="143" spans="1:17" ht="15" hidden="1" customHeight="1">
      <c r="A143" s="15">
        <v>3062</v>
      </c>
      <c r="B143" s="15">
        <v>142</v>
      </c>
      <c r="C143" s="15">
        <v>0</v>
      </c>
      <c r="D143" s="15">
        <v>194</v>
      </c>
      <c r="E143" s="15" t="b">
        <v>0</v>
      </c>
      <c r="F143" s="15" t="b">
        <v>0</v>
      </c>
      <c r="G143" s="33" t="s">
        <v>206</v>
      </c>
      <c r="H143" s="15" t="s">
        <v>354</v>
      </c>
      <c r="I143" s="33" t="s">
        <v>213</v>
      </c>
      <c r="J143" s="15"/>
      <c r="K143" s="15"/>
      <c r="L143" s="120" t="s">
        <v>220</v>
      </c>
      <c r="M143" s="15" t="s">
        <v>357</v>
      </c>
      <c r="N143" s="15" t="s">
        <v>358</v>
      </c>
      <c r="O143" s="15"/>
      <c r="P143" s="15"/>
      <c r="Q143" s="15" t="b">
        <v>0</v>
      </c>
    </row>
    <row r="144" spans="1:17" ht="15" hidden="1" customHeight="1">
      <c r="A144" s="15">
        <v>3063</v>
      </c>
      <c r="B144" s="15">
        <v>143</v>
      </c>
      <c r="C144" s="15">
        <v>0</v>
      </c>
      <c r="D144" s="15">
        <v>194</v>
      </c>
      <c r="E144" s="15" t="b">
        <v>0</v>
      </c>
      <c r="F144" s="15" t="b">
        <v>0</v>
      </c>
      <c r="G144" s="33" t="s">
        <v>206</v>
      </c>
      <c r="H144" s="15" t="s">
        <v>354</v>
      </c>
      <c r="I144" s="33" t="s">
        <v>216</v>
      </c>
      <c r="J144" s="15"/>
      <c r="K144" s="15"/>
      <c r="L144" s="120" t="s">
        <v>220</v>
      </c>
      <c r="M144" s="15" t="s">
        <v>359</v>
      </c>
      <c r="N144" s="15" t="s">
        <v>360</v>
      </c>
      <c r="O144" s="15"/>
      <c r="P144" s="15"/>
      <c r="Q144" s="15" t="b">
        <v>0</v>
      </c>
    </row>
    <row r="145" spans="1:17" ht="15" hidden="1" customHeight="1">
      <c r="A145" s="15">
        <v>3064</v>
      </c>
      <c r="B145" s="15">
        <v>144</v>
      </c>
      <c r="C145" s="15">
        <v>0</v>
      </c>
      <c r="D145" s="15">
        <v>194</v>
      </c>
      <c r="E145" s="15" t="b">
        <v>0</v>
      </c>
      <c r="F145" s="15" t="b">
        <v>0</v>
      </c>
      <c r="G145" s="33" t="s">
        <v>206</v>
      </c>
      <c r="H145" s="15" t="s">
        <v>361</v>
      </c>
      <c r="I145" s="33" t="s">
        <v>208</v>
      </c>
      <c r="J145" s="15"/>
      <c r="K145" s="15"/>
      <c r="L145" s="120" t="s">
        <v>220</v>
      </c>
      <c r="M145" s="15" t="s">
        <v>362</v>
      </c>
      <c r="N145" s="15" t="s">
        <v>363</v>
      </c>
      <c r="O145" s="15"/>
      <c r="P145" s="15"/>
      <c r="Q145" s="15" t="b">
        <v>0</v>
      </c>
    </row>
    <row r="146" spans="1:17" ht="15" hidden="1" customHeight="1">
      <c r="A146" s="15">
        <v>3065</v>
      </c>
      <c r="B146" s="15">
        <v>145</v>
      </c>
      <c r="C146" s="15">
        <v>0</v>
      </c>
      <c r="D146" s="15">
        <v>194</v>
      </c>
      <c r="E146" s="15" t="b">
        <v>0</v>
      </c>
      <c r="F146" s="15" t="b">
        <v>0</v>
      </c>
      <c r="G146" s="33" t="s">
        <v>206</v>
      </c>
      <c r="H146" s="15" t="s">
        <v>361</v>
      </c>
      <c r="I146" s="33" t="s">
        <v>213</v>
      </c>
      <c r="J146" s="15"/>
      <c r="K146" s="15"/>
      <c r="L146" s="120" t="s">
        <v>220</v>
      </c>
      <c r="M146" s="15" t="s">
        <v>364</v>
      </c>
      <c r="N146" s="15" t="s">
        <v>365</v>
      </c>
      <c r="O146" s="15"/>
      <c r="P146" s="15"/>
      <c r="Q146" s="15" t="b">
        <v>0</v>
      </c>
    </row>
    <row r="147" spans="1:17" ht="15" hidden="1" customHeight="1">
      <c r="A147" s="15">
        <v>3066</v>
      </c>
      <c r="B147" s="15">
        <v>146</v>
      </c>
      <c r="C147" s="15">
        <v>0</v>
      </c>
      <c r="D147" s="15">
        <v>194</v>
      </c>
      <c r="E147" s="15" t="b">
        <v>0</v>
      </c>
      <c r="F147" s="15" t="b">
        <v>0</v>
      </c>
      <c r="G147" s="33" t="s">
        <v>206</v>
      </c>
      <c r="H147" s="15" t="s">
        <v>361</v>
      </c>
      <c r="I147" s="33" t="s">
        <v>216</v>
      </c>
      <c r="J147" s="15"/>
      <c r="K147" s="15"/>
      <c r="L147" s="120" t="s">
        <v>220</v>
      </c>
      <c r="M147" s="15" t="s">
        <v>366</v>
      </c>
      <c r="N147" s="15" t="s">
        <v>367</v>
      </c>
      <c r="O147" s="15"/>
      <c r="P147" s="15"/>
      <c r="Q147" s="15" t="b">
        <v>0</v>
      </c>
    </row>
    <row r="148" spans="1:17" ht="15" hidden="1" customHeight="1">
      <c r="A148" s="15">
        <v>3067</v>
      </c>
      <c r="B148" s="15">
        <v>147</v>
      </c>
      <c r="C148" s="15">
        <v>0</v>
      </c>
      <c r="D148" s="15">
        <v>194</v>
      </c>
      <c r="E148" s="15" t="b">
        <v>1</v>
      </c>
      <c r="F148" s="15" t="b">
        <v>0</v>
      </c>
      <c r="G148" s="33" t="s">
        <v>206</v>
      </c>
      <c r="H148" s="15" t="s">
        <v>368</v>
      </c>
      <c r="I148" s="33" t="s">
        <v>208</v>
      </c>
      <c r="J148" s="15"/>
      <c r="K148" s="15"/>
      <c r="L148" s="120" t="s">
        <v>210</v>
      </c>
      <c r="M148" s="15" t="s">
        <v>369</v>
      </c>
      <c r="N148" s="15" t="s">
        <v>370</v>
      </c>
      <c r="O148" s="15"/>
      <c r="P148" s="15"/>
      <c r="Q148" s="15" t="b">
        <v>0</v>
      </c>
    </row>
    <row r="149" spans="1:17" ht="15" hidden="1" customHeight="1">
      <c r="A149" s="15">
        <v>3068</v>
      </c>
      <c r="B149" s="15">
        <v>148</v>
      </c>
      <c r="C149" s="15">
        <v>0</v>
      </c>
      <c r="D149" s="15">
        <v>194</v>
      </c>
      <c r="E149" s="15" t="b">
        <v>1</v>
      </c>
      <c r="F149" s="15" t="b">
        <v>0</v>
      </c>
      <c r="G149" s="33" t="s">
        <v>206</v>
      </c>
      <c r="H149" s="15" t="s">
        <v>368</v>
      </c>
      <c r="I149" s="33" t="s">
        <v>213</v>
      </c>
      <c r="J149" s="15"/>
      <c r="K149" s="15"/>
      <c r="L149" s="120" t="s">
        <v>210</v>
      </c>
      <c r="M149" s="15" t="s">
        <v>371</v>
      </c>
      <c r="N149" s="15" t="s">
        <v>372</v>
      </c>
      <c r="O149" s="15"/>
      <c r="P149" s="15"/>
      <c r="Q149" s="15" t="b">
        <v>0</v>
      </c>
    </row>
    <row r="150" spans="1:17" ht="15" hidden="1" customHeight="1">
      <c r="A150" s="15">
        <v>3069</v>
      </c>
      <c r="B150" s="15">
        <v>149</v>
      </c>
      <c r="C150" s="15">
        <v>0</v>
      </c>
      <c r="D150" s="15">
        <v>194</v>
      </c>
      <c r="E150" s="15" t="b">
        <v>1</v>
      </c>
      <c r="F150" s="15" t="b">
        <v>0</v>
      </c>
      <c r="G150" s="33" t="s">
        <v>206</v>
      </c>
      <c r="H150" s="15" t="s">
        <v>368</v>
      </c>
      <c r="I150" s="33" t="s">
        <v>216</v>
      </c>
      <c r="J150" s="15"/>
      <c r="K150" s="15"/>
      <c r="L150" s="120" t="s">
        <v>210</v>
      </c>
      <c r="M150" s="15" t="s">
        <v>373</v>
      </c>
      <c r="N150" s="15" t="s">
        <v>374</v>
      </c>
      <c r="O150" s="15"/>
      <c r="P150" s="15"/>
      <c r="Q150" s="15" t="b">
        <v>0</v>
      </c>
    </row>
    <row r="151" spans="1:17" ht="15" hidden="1" customHeight="1">
      <c r="A151" s="15">
        <v>3070</v>
      </c>
      <c r="B151" s="15">
        <v>150</v>
      </c>
      <c r="C151" s="15">
        <v>0</v>
      </c>
      <c r="D151" s="15">
        <v>194</v>
      </c>
      <c r="E151" s="15" t="b">
        <v>0</v>
      </c>
      <c r="F151" s="15" t="b">
        <v>0</v>
      </c>
      <c r="G151" s="33" t="s">
        <v>206</v>
      </c>
      <c r="H151" s="15" t="s">
        <v>375</v>
      </c>
      <c r="I151" s="33" t="s">
        <v>208</v>
      </c>
      <c r="J151" s="15"/>
      <c r="K151" s="15"/>
      <c r="L151" s="120" t="s">
        <v>220</v>
      </c>
      <c r="M151" s="15" t="s">
        <v>376</v>
      </c>
      <c r="N151" s="15" t="s">
        <v>377</v>
      </c>
      <c r="O151" s="15"/>
      <c r="P151" s="15"/>
      <c r="Q151" s="15" t="b">
        <v>0</v>
      </c>
    </row>
    <row r="152" spans="1:17" ht="15" hidden="1" customHeight="1">
      <c r="A152" s="15">
        <v>3071</v>
      </c>
      <c r="B152" s="15">
        <v>151</v>
      </c>
      <c r="C152" s="15">
        <v>0</v>
      </c>
      <c r="D152" s="15">
        <v>194</v>
      </c>
      <c r="E152" s="15" t="b">
        <v>0</v>
      </c>
      <c r="F152" s="15" t="b">
        <v>0</v>
      </c>
      <c r="G152" s="33" t="s">
        <v>206</v>
      </c>
      <c r="H152" s="15" t="s">
        <v>375</v>
      </c>
      <c r="I152" s="33" t="s">
        <v>213</v>
      </c>
      <c r="J152" s="15"/>
      <c r="K152" s="15"/>
      <c r="L152" s="120" t="s">
        <v>220</v>
      </c>
      <c r="M152" s="15" t="s">
        <v>378</v>
      </c>
      <c r="N152" s="15" t="s">
        <v>379</v>
      </c>
      <c r="O152" s="15"/>
      <c r="P152" s="15"/>
      <c r="Q152" s="15" t="b">
        <v>0</v>
      </c>
    </row>
    <row r="153" spans="1:17" ht="15" hidden="1" customHeight="1">
      <c r="A153" s="15">
        <v>3072</v>
      </c>
      <c r="B153" s="15">
        <v>152</v>
      </c>
      <c r="C153" s="15">
        <v>0</v>
      </c>
      <c r="D153" s="15">
        <v>194</v>
      </c>
      <c r="E153" s="15" t="b">
        <v>0</v>
      </c>
      <c r="F153" s="15" t="b">
        <v>0</v>
      </c>
      <c r="G153" s="33" t="s">
        <v>206</v>
      </c>
      <c r="H153" s="15" t="s">
        <v>375</v>
      </c>
      <c r="I153" s="33" t="s">
        <v>216</v>
      </c>
      <c r="J153" s="15"/>
      <c r="K153" s="15"/>
      <c r="L153" s="120" t="s">
        <v>220</v>
      </c>
      <c r="M153" s="15" t="s">
        <v>380</v>
      </c>
      <c r="N153" s="15" t="s">
        <v>381</v>
      </c>
      <c r="O153" s="15"/>
      <c r="P153" s="15"/>
      <c r="Q153" s="15" t="b">
        <v>0</v>
      </c>
    </row>
    <row r="154" spans="1:17" ht="15" hidden="1" customHeight="1">
      <c r="A154" s="15">
        <v>3073</v>
      </c>
      <c r="B154" s="15">
        <v>153</v>
      </c>
      <c r="C154" s="15">
        <v>0</v>
      </c>
      <c r="D154" s="15">
        <v>194</v>
      </c>
      <c r="E154" s="15" t="b">
        <v>1</v>
      </c>
      <c r="F154" s="15" t="b">
        <v>0</v>
      </c>
      <c r="G154" s="33" t="s">
        <v>206</v>
      </c>
      <c r="H154" s="15" t="s">
        <v>382</v>
      </c>
      <c r="I154" s="33" t="s">
        <v>208</v>
      </c>
      <c r="J154" s="15"/>
      <c r="K154" s="15"/>
      <c r="L154" s="120" t="s">
        <v>210</v>
      </c>
      <c r="M154" s="15" t="s">
        <v>383</v>
      </c>
      <c r="N154" s="15" t="s">
        <v>384</v>
      </c>
      <c r="O154" s="15"/>
      <c r="P154" s="15"/>
      <c r="Q154" s="15" t="b">
        <v>0</v>
      </c>
    </row>
    <row r="155" spans="1:17" ht="15" hidden="1" customHeight="1">
      <c r="A155" s="15">
        <v>3074</v>
      </c>
      <c r="B155" s="15">
        <v>154</v>
      </c>
      <c r="C155" s="15">
        <v>0</v>
      </c>
      <c r="D155" s="15">
        <v>194</v>
      </c>
      <c r="E155" s="15" t="b">
        <v>1</v>
      </c>
      <c r="F155" s="15" t="b">
        <v>0</v>
      </c>
      <c r="G155" s="33" t="s">
        <v>206</v>
      </c>
      <c r="H155" s="15" t="s">
        <v>382</v>
      </c>
      <c r="I155" s="33" t="s">
        <v>213</v>
      </c>
      <c r="J155" s="15"/>
      <c r="K155" s="15"/>
      <c r="L155" s="120" t="s">
        <v>210</v>
      </c>
      <c r="M155" s="15" t="s">
        <v>385</v>
      </c>
      <c r="N155" s="15" t="s">
        <v>386</v>
      </c>
      <c r="O155" s="15"/>
      <c r="P155" s="15"/>
      <c r="Q155" s="15" t="b">
        <v>0</v>
      </c>
    </row>
    <row r="156" spans="1:17" ht="15" hidden="1" customHeight="1">
      <c r="A156" s="15">
        <v>3075</v>
      </c>
      <c r="B156" s="15">
        <v>155</v>
      </c>
      <c r="C156" s="15">
        <v>0</v>
      </c>
      <c r="D156" s="15">
        <v>194</v>
      </c>
      <c r="E156" s="15" t="b">
        <v>1</v>
      </c>
      <c r="F156" s="15" t="b">
        <v>0</v>
      </c>
      <c r="G156" s="33" t="s">
        <v>206</v>
      </c>
      <c r="H156" s="15" t="s">
        <v>382</v>
      </c>
      <c r="I156" s="33" t="s">
        <v>216</v>
      </c>
      <c r="J156" s="15"/>
      <c r="K156" s="15"/>
      <c r="L156" s="120" t="s">
        <v>210</v>
      </c>
      <c r="M156" s="15" t="s">
        <v>387</v>
      </c>
      <c r="N156" s="15" t="s">
        <v>388</v>
      </c>
      <c r="O156" s="15"/>
      <c r="P156" s="15"/>
      <c r="Q156" s="15" t="b">
        <v>0</v>
      </c>
    </row>
    <row r="157" spans="1:17" ht="15" hidden="1" customHeight="1">
      <c r="A157" s="15">
        <v>3076</v>
      </c>
      <c r="B157" s="15">
        <v>156</v>
      </c>
      <c r="C157" s="15">
        <v>0</v>
      </c>
      <c r="D157" s="15">
        <v>194</v>
      </c>
      <c r="E157" s="15" t="b">
        <v>0</v>
      </c>
      <c r="F157" s="15" t="b">
        <v>0</v>
      </c>
      <c r="G157" s="33" t="s">
        <v>206</v>
      </c>
      <c r="H157" s="15" t="s">
        <v>389</v>
      </c>
      <c r="I157" s="33" t="s">
        <v>208</v>
      </c>
      <c r="J157" s="15"/>
      <c r="K157" s="15"/>
      <c r="L157" s="120" t="s">
        <v>220</v>
      </c>
      <c r="M157" s="15" t="s">
        <v>390</v>
      </c>
      <c r="N157" s="15" t="s">
        <v>391</v>
      </c>
      <c r="O157" s="15"/>
      <c r="P157" s="15"/>
      <c r="Q157" s="15" t="b">
        <v>0</v>
      </c>
    </row>
    <row r="158" spans="1:17" ht="15" hidden="1" customHeight="1">
      <c r="A158" s="15">
        <v>3077</v>
      </c>
      <c r="B158" s="15">
        <v>157</v>
      </c>
      <c r="C158" s="15">
        <v>0</v>
      </c>
      <c r="D158" s="15">
        <v>194</v>
      </c>
      <c r="E158" s="15" t="b">
        <v>0</v>
      </c>
      <c r="F158" s="15" t="b">
        <v>0</v>
      </c>
      <c r="G158" s="33" t="s">
        <v>206</v>
      </c>
      <c r="H158" s="15" t="s">
        <v>389</v>
      </c>
      <c r="I158" s="33" t="s">
        <v>213</v>
      </c>
      <c r="J158" s="15"/>
      <c r="K158" s="15"/>
      <c r="L158" s="120" t="s">
        <v>220</v>
      </c>
      <c r="M158" s="15" t="s">
        <v>392</v>
      </c>
      <c r="N158" s="15" t="s">
        <v>393</v>
      </c>
      <c r="O158" s="15"/>
      <c r="P158" s="15"/>
      <c r="Q158" s="15" t="b">
        <v>0</v>
      </c>
    </row>
    <row r="159" spans="1:17" ht="15" hidden="1" customHeight="1">
      <c r="A159" s="15">
        <v>3078</v>
      </c>
      <c r="B159" s="15">
        <v>158</v>
      </c>
      <c r="C159" s="15">
        <v>0</v>
      </c>
      <c r="D159" s="15">
        <v>194</v>
      </c>
      <c r="E159" s="15" t="b">
        <v>0</v>
      </c>
      <c r="F159" s="15" t="b">
        <v>0</v>
      </c>
      <c r="G159" s="33" t="s">
        <v>206</v>
      </c>
      <c r="H159" s="15" t="s">
        <v>389</v>
      </c>
      <c r="I159" s="33" t="s">
        <v>216</v>
      </c>
      <c r="J159" s="15"/>
      <c r="K159" s="15"/>
      <c r="L159" s="120" t="s">
        <v>220</v>
      </c>
      <c r="M159" s="15" t="s">
        <v>394</v>
      </c>
      <c r="N159" s="15" t="s">
        <v>395</v>
      </c>
      <c r="O159" s="15"/>
      <c r="P159" s="15"/>
      <c r="Q159" s="15" t="b">
        <v>0</v>
      </c>
    </row>
    <row r="160" spans="1:17" ht="15" hidden="1" customHeight="1">
      <c r="A160" s="15">
        <v>3079</v>
      </c>
      <c r="B160" s="15">
        <v>159</v>
      </c>
      <c r="C160" s="15">
        <v>0</v>
      </c>
      <c r="D160" s="15">
        <v>194</v>
      </c>
      <c r="E160" s="15" t="b">
        <v>0</v>
      </c>
      <c r="F160" s="15" t="b">
        <v>0</v>
      </c>
      <c r="G160" s="33" t="s">
        <v>206</v>
      </c>
      <c r="H160" s="15" t="s">
        <v>396</v>
      </c>
      <c r="I160" s="33" t="s">
        <v>208</v>
      </c>
      <c r="J160" s="15"/>
      <c r="K160" s="15"/>
      <c r="L160" s="120" t="s">
        <v>220</v>
      </c>
      <c r="M160" s="15" t="s">
        <v>397</v>
      </c>
      <c r="N160" s="15" t="s">
        <v>398</v>
      </c>
      <c r="O160" s="15"/>
      <c r="P160" s="15"/>
      <c r="Q160" s="15" t="b">
        <v>0</v>
      </c>
    </row>
    <row r="161" spans="1:17" ht="15" hidden="1" customHeight="1">
      <c r="A161" s="15">
        <v>3080</v>
      </c>
      <c r="B161" s="15">
        <v>160</v>
      </c>
      <c r="C161" s="15">
        <v>0</v>
      </c>
      <c r="D161" s="15">
        <v>194</v>
      </c>
      <c r="E161" s="15" t="b">
        <v>0</v>
      </c>
      <c r="F161" s="15" t="b">
        <v>0</v>
      </c>
      <c r="G161" s="33" t="s">
        <v>206</v>
      </c>
      <c r="H161" s="15" t="s">
        <v>396</v>
      </c>
      <c r="I161" s="33" t="s">
        <v>213</v>
      </c>
      <c r="J161" s="15"/>
      <c r="K161" s="15"/>
      <c r="L161" s="120" t="s">
        <v>220</v>
      </c>
      <c r="M161" s="15" t="s">
        <v>399</v>
      </c>
      <c r="N161" s="15" t="s">
        <v>400</v>
      </c>
      <c r="O161" s="15"/>
      <c r="P161" s="15"/>
      <c r="Q161" s="15" t="b">
        <v>0</v>
      </c>
    </row>
    <row r="162" spans="1:17" ht="15" hidden="1" customHeight="1">
      <c r="A162" s="15">
        <v>3081</v>
      </c>
      <c r="B162" s="15">
        <v>161</v>
      </c>
      <c r="C162" s="15">
        <v>0</v>
      </c>
      <c r="D162" s="15">
        <v>194</v>
      </c>
      <c r="E162" s="15" t="b">
        <v>0</v>
      </c>
      <c r="F162" s="15" t="b">
        <v>0</v>
      </c>
      <c r="G162" s="33" t="s">
        <v>206</v>
      </c>
      <c r="H162" s="15" t="s">
        <v>396</v>
      </c>
      <c r="I162" s="33" t="s">
        <v>216</v>
      </c>
      <c r="J162" s="15"/>
      <c r="K162" s="15"/>
      <c r="L162" s="120" t="s">
        <v>220</v>
      </c>
      <c r="M162" s="15" t="s">
        <v>401</v>
      </c>
      <c r="N162" s="15" t="s">
        <v>402</v>
      </c>
      <c r="O162" s="15"/>
      <c r="P162" s="15"/>
      <c r="Q162" s="15" t="b">
        <v>0</v>
      </c>
    </row>
    <row r="163" spans="1:17" ht="15" hidden="1" customHeight="1">
      <c r="A163" s="15">
        <v>3082</v>
      </c>
      <c r="B163" s="15">
        <v>162</v>
      </c>
      <c r="C163" s="15">
        <v>0</v>
      </c>
      <c r="D163" s="15">
        <v>194</v>
      </c>
      <c r="E163" s="15" t="b">
        <v>1</v>
      </c>
      <c r="F163" s="15" t="b">
        <v>0</v>
      </c>
      <c r="G163" s="33" t="s">
        <v>206</v>
      </c>
      <c r="H163" s="15" t="s">
        <v>403</v>
      </c>
      <c r="I163" s="33" t="s">
        <v>208</v>
      </c>
      <c r="J163" s="15"/>
      <c r="K163" s="15"/>
      <c r="L163" s="120" t="s">
        <v>210</v>
      </c>
      <c r="M163" s="15" t="s">
        <v>404</v>
      </c>
      <c r="N163" s="15" t="s">
        <v>405</v>
      </c>
      <c r="O163" s="15"/>
      <c r="P163" s="15"/>
      <c r="Q163" s="15" t="b">
        <v>0</v>
      </c>
    </row>
    <row r="164" spans="1:17" ht="15" hidden="1" customHeight="1">
      <c r="A164" s="15">
        <v>3083</v>
      </c>
      <c r="B164" s="15">
        <v>163</v>
      </c>
      <c r="C164" s="15">
        <v>0</v>
      </c>
      <c r="D164" s="15">
        <v>194</v>
      </c>
      <c r="E164" s="15" t="b">
        <v>1</v>
      </c>
      <c r="F164" s="15" t="b">
        <v>0</v>
      </c>
      <c r="G164" s="33" t="s">
        <v>206</v>
      </c>
      <c r="H164" s="15" t="s">
        <v>403</v>
      </c>
      <c r="I164" s="33" t="s">
        <v>213</v>
      </c>
      <c r="J164" s="15"/>
      <c r="K164" s="15"/>
      <c r="L164" s="120" t="s">
        <v>210</v>
      </c>
      <c r="M164" s="15" t="s">
        <v>406</v>
      </c>
      <c r="N164" s="15" t="s">
        <v>407</v>
      </c>
      <c r="O164" s="15"/>
      <c r="P164" s="15"/>
      <c r="Q164" s="15" t="b">
        <v>0</v>
      </c>
    </row>
    <row r="165" spans="1:17" ht="15" hidden="1" customHeight="1">
      <c r="A165" s="15">
        <v>3084</v>
      </c>
      <c r="B165" s="15">
        <v>164</v>
      </c>
      <c r="C165" s="15">
        <v>0</v>
      </c>
      <c r="D165" s="15">
        <v>194</v>
      </c>
      <c r="E165" s="15" t="b">
        <v>1</v>
      </c>
      <c r="F165" s="15" t="b">
        <v>0</v>
      </c>
      <c r="G165" s="33" t="s">
        <v>206</v>
      </c>
      <c r="H165" s="15" t="s">
        <v>403</v>
      </c>
      <c r="I165" s="33" t="s">
        <v>216</v>
      </c>
      <c r="J165" s="15"/>
      <c r="K165" s="15"/>
      <c r="L165" s="120" t="s">
        <v>210</v>
      </c>
      <c r="M165" s="15" t="s">
        <v>408</v>
      </c>
      <c r="N165" s="15" t="s">
        <v>409</v>
      </c>
      <c r="O165" s="15"/>
      <c r="P165" s="15"/>
      <c r="Q165" s="15" t="b">
        <v>0</v>
      </c>
    </row>
    <row r="166" spans="1:17" ht="15" hidden="1" customHeight="1">
      <c r="A166" s="15">
        <v>3085</v>
      </c>
      <c r="B166" s="15">
        <v>165</v>
      </c>
      <c r="C166" s="15">
        <v>0</v>
      </c>
      <c r="D166" s="15">
        <v>194</v>
      </c>
      <c r="E166" s="15" t="b">
        <v>0</v>
      </c>
      <c r="F166" s="15" t="b">
        <v>0</v>
      </c>
      <c r="G166" s="33" t="s">
        <v>206</v>
      </c>
      <c r="H166" s="15" t="s">
        <v>410</v>
      </c>
      <c r="I166" s="33" t="s">
        <v>208</v>
      </c>
      <c r="J166" s="15"/>
      <c r="K166" s="15"/>
      <c r="L166" s="120" t="s">
        <v>220</v>
      </c>
      <c r="M166" s="15" t="s">
        <v>411</v>
      </c>
      <c r="N166" s="15" t="s">
        <v>412</v>
      </c>
      <c r="O166" s="15"/>
      <c r="P166" s="15"/>
      <c r="Q166" s="15" t="b">
        <v>0</v>
      </c>
    </row>
    <row r="167" spans="1:17" ht="15" hidden="1" customHeight="1">
      <c r="A167" s="15">
        <v>3086</v>
      </c>
      <c r="B167" s="15">
        <v>166</v>
      </c>
      <c r="C167" s="15">
        <v>0</v>
      </c>
      <c r="D167" s="15">
        <v>194</v>
      </c>
      <c r="E167" s="15" t="b">
        <v>0</v>
      </c>
      <c r="F167" s="15" t="b">
        <v>0</v>
      </c>
      <c r="G167" s="33" t="s">
        <v>206</v>
      </c>
      <c r="H167" s="15" t="s">
        <v>410</v>
      </c>
      <c r="I167" s="33" t="s">
        <v>213</v>
      </c>
      <c r="J167" s="15"/>
      <c r="K167" s="15"/>
      <c r="L167" s="120" t="s">
        <v>220</v>
      </c>
      <c r="M167" s="15" t="s">
        <v>413</v>
      </c>
      <c r="N167" s="15" t="s">
        <v>414</v>
      </c>
      <c r="O167" s="15"/>
      <c r="P167" s="15"/>
      <c r="Q167" s="15" t="b">
        <v>0</v>
      </c>
    </row>
    <row r="168" spans="1:17" ht="15" hidden="1" customHeight="1">
      <c r="A168" s="15">
        <v>3087</v>
      </c>
      <c r="B168" s="15">
        <v>167</v>
      </c>
      <c r="C168" s="15">
        <v>0</v>
      </c>
      <c r="D168" s="15">
        <v>194</v>
      </c>
      <c r="E168" s="15" t="b">
        <v>0</v>
      </c>
      <c r="F168" s="15" t="b">
        <v>0</v>
      </c>
      <c r="G168" s="33" t="s">
        <v>206</v>
      </c>
      <c r="H168" s="15" t="s">
        <v>410</v>
      </c>
      <c r="I168" s="33" t="s">
        <v>216</v>
      </c>
      <c r="J168" s="15"/>
      <c r="K168" s="15"/>
      <c r="L168" s="120" t="s">
        <v>220</v>
      </c>
      <c r="M168" s="15" t="s">
        <v>415</v>
      </c>
      <c r="N168" s="15" t="s">
        <v>416</v>
      </c>
      <c r="O168" s="15"/>
      <c r="P168" s="15"/>
      <c r="Q168" s="15" t="b">
        <v>0</v>
      </c>
    </row>
    <row r="169" spans="1:17" ht="15" hidden="1" customHeight="1">
      <c r="A169" s="15">
        <v>3088</v>
      </c>
      <c r="B169" s="15">
        <v>168</v>
      </c>
      <c r="C169" s="15">
        <v>0</v>
      </c>
      <c r="D169" s="15">
        <v>194</v>
      </c>
      <c r="E169" s="15" t="b">
        <v>0</v>
      </c>
      <c r="F169" s="15" t="b">
        <v>0</v>
      </c>
      <c r="G169" s="33" t="s">
        <v>206</v>
      </c>
      <c r="H169" s="15" t="s">
        <v>417</v>
      </c>
      <c r="I169" s="33" t="s">
        <v>208</v>
      </c>
      <c r="J169" s="15"/>
      <c r="K169" s="15"/>
      <c r="L169" s="120" t="s">
        <v>220</v>
      </c>
      <c r="M169" s="15" t="s">
        <v>418</v>
      </c>
      <c r="N169" s="15" t="s">
        <v>419</v>
      </c>
      <c r="O169" s="15"/>
      <c r="P169" s="15"/>
      <c r="Q169" s="15" t="b">
        <v>0</v>
      </c>
    </row>
    <row r="170" spans="1:17" ht="15" hidden="1" customHeight="1">
      <c r="A170" s="15">
        <v>3089</v>
      </c>
      <c r="B170" s="15">
        <v>169</v>
      </c>
      <c r="C170" s="15">
        <v>0</v>
      </c>
      <c r="D170" s="15">
        <v>194</v>
      </c>
      <c r="E170" s="15" t="b">
        <v>0</v>
      </c>
      <c r="F170" s="15" t="b">
        <v>0</v>
      </c>
      <c r="G170" s="33" t="s">
        <v>206</v>
      </c>
      <c r="H170" s="15" t="s">
        <v>417</v>
      </c>
      <c r="I170" s="33" t="s">
        <v>213</v>
      </c>
      <c r="J170" s="15"/>
      <c r="K170" s="15"/>
      <c r="L170" s="120" t="s">
        <v>220</v>
      </c>
      <c r="M170" s="15" t="s">
        <v>420</v>
      </c>
      <c r="N170" s="15" t="s">
        <v>421</v>
      </c>
      <c r="O170" s="15"/>
      <c r="P170" s="15"/>
      <c r="Q170" s="15" t="b">
        <v>0</v>
      </c>
    </row>
    <row r="171" spans="1:17" ht="15" hidden="1" customHeight="1">
      <c r="A171" s="15">
        <v>3090</v>
      </c>
      <c r="B171" s="15">
        <v>170</v>
      </c>
      <c r="C171" s="15">
        <v>0</v>
      </c>
      <c r="D171" s="15">
        <v>194</v>
      </c>
      <c r="E171" s="15" t="b">
        <v>0</v>
      </c>
      <c r="F171" s="15" t="b">
        <v>0</v>
      </c>
      <c r="G171" s="33" t="s">
        <v>206</v>
      </c>
      <c r="H171" s="15" t="s">
        <v>417</v>
      </c>
      <c r="I171" s="33" t="s">
        <v>216</v>
      </c>
      <c r="J171" s="15"/>
      <c r="K171" s="15"/>
      <c r="L171" s="120" t="s">
        <v>220</v>
      </c>
      <c r="M171" s="15" t="s">
        <v>422</v>
      </c>
      <c r="N171" s="15" t="s">
        <v>423</v>
      </c>
      <c r="O171" s="15"/>
      <c r="P171" s="15"/>
      <c r="Q171" s="15" t="b">
        <v>0</v>
      </c>
    </row>
    <row r="172" spans="1:17" ht="15" hidden="1" customHeight="1">
      <c r="A172" s="15">
        <v>3091</v>
      </c>
      <c r="B172" s="15">
        <v>171</v>
      </c>
      <c r="C172" s="15">
        <v>0</v>
      </c>
      <c r="D172" s="15">
        <v>194</v>
      </c>
      <c r="E172" s="15" t="b">
        <v>1</v>
      </c>
      <c r="F172" s="15" t="b">
        <v>0</v>
      </c>
      <c r="G172" s="33" t="s">
        <v>206</v>
      </c>
      <c r="H172" s="15" t="s">
        <v>424</v>
      </c>
      <c r="I172" s="33" t="s">
        <v>208</v>
      </c>
      <c r="J172" s="15"/>
      <c r="K172" s="15"/>
      <c r="L172" s="120" t="s">
        <v>210</v>
      </c>
      <c r="M172" s="15" t="s">
        <v>425</v>
      </c>
      <c r="N172" s="15" t="s">
        <v>426</v>
      </c>
      <c r="O172" s="15"/>
      <c r="P172" s="15"/>
      <c r="Q172" s="15" t="b">
        <v>0</v>
      </c>
    </row>
    <row r="173" spans="1:17" ht="15" hidden="1" customHeight="1">
      <c r="A173" s="15">
        <v>3092</v>
      </c>
      <c r="B173" s="15">
        <v>172</v>
      </c>
      <c r="C173" s="15">
        <v>0</v>
      </c>
      <c r="D173" s="15">
        <v>194</v>
      </c>
      <c r="E173" s="15" t="b">
        <v>1</v>
      </c>
      <c r="F173" s="15" t="b">
        <v>0</v>
      </c>
      <c r="G173" s="33" t="s">
        <v>206</v>
      </c>
      <c r="H173" s="15" t="s">
        <v>424</v>
      </c>
      <c r="I173" s="33" t="s">
        <v>213</v>
      </c>
      <c r="J173" s="15"/>
      <c r="K173" s="15"/>
      <c r="L173" s="120" t="s">
        <v>210</v>
      </c>
      <c r="M173" s="15" t="s">
        <v>427</v>
      </c>
      <c r="N173" s="15" t="s">
        <v>428</v>
      </c>
      <c r="O173" s="15"/>
      <c r="P173" s="15"/>
      <c r="Q173" s="15" t="b">
        <v>0</v>
      </c>
    </row>
    <row r="174" spans="1:17" ht="15" hidden="1" customHeight="1">
      <c r="A174" s="15">
        <v>3093</v>
      </c>
      <c r="B174" s="15">
        <v>173</v>
      </c>
      <c r="C174" s="15">
        <v>0</v>
      </c>
      <c r="D174" s="15">
        <v>194</v>
      </c>
      <c r="E174" s="15" t="b">
        <v>1</v>
      </c>
      <c r="F174" s="15" t="b">
        <v>0</v>
      </c>
      <c r="G174" s="33" t="s">
        <v>206</v>
      </c>
      <c r="H174" s="15" t="s">
        <v>424</v>
      </c>
      <c r="I174" s="33" t="s">
        <v>216</v>
      </c>
      <c r="J174" s="15"/>
      <c r="K174" s="15"/>
      <c r="L174" s="120" t="s">
        <v>210</v>
      </c>
      <c r="M174" s="15" t="s">
        <v>429</v>
      </c>
      <c r="N174" s="15" t="s">
        <v>430</v>
      </c>
      <c r="O174" s="15"/>
      <c r="P174" s="15"/>
      <c r="Q174" s="15" t="b">
        <v>0</v>
      </c>
    </row>
    <row r="175" spans="1:17" ht="15" hidden="1" customHeight="1">
      <c r="A175" s="15">
        <v>3094</v>
      </c>
      <c r="B175" s="15">
        <v>174</v>
      </c>
      <c r="C175" s="15">
        <v>0</v>
      </c>
      <c r="D175" s="15">
        <v>194</v>
      </c>
      <c r="E175" s="15" t="b">
        <v>0</v>
      </c>
      <c r="F175" s="15" t="b">
        <v>0</v>
      </c>
      <c r="G175" s="33" t="s">
        <v>206</v>
      </c>
      <c r="H175" s="15" t="s">
        <v>431</v>
      </c>
      <c r="I175" s="33" t="s">
        <v>208</v>
      </c>
      <c r="J175" s="15"/>
      <c r="K175" s="15"/>
      <c r="L175" s="120" t="s">
        <v>220</v>
      </c>
      <c r="M175" s="15" t="s">
        <v>432</v>
      </c>
      <c r="N175" s="15" t="s">
        <v>433</v>
      </c>
      <c r="O175" s="15"/>
      <c r="P175" s="15"/>
      <c r="Q175" s="15" t="b">
        <v>0</v>
      </c>
    </row>
    <row r="176" spans="1:17" ht="15" hidden="1" customHeight="1">
      <c r="A176" s="15">
        <v>3095</v>
      </c>
      <c r="B176" s="15">
        <v>175</v>
      </c>
      <c r="C176" s="15">
        <v>0</v>
      </c>
      <c r="D176" s="15">
        <v>194</v>
      </c>
      <c r="E176" s="15" t="b">
        <v>0</v>
      </c>
      <c r="F176" s="15" t="b">
        <v>0</v>
      </c>
      <c r="G176" s="33" t="s">
        <v>206</v>
      </c>
      <c r="H176" s="15" t="s">
        <v>431</v>
      </c>
      <c r="I176" s="33" t="s">
        <v>213</v>
      </c>
      <c r="J176" s="15"/>
      <c r="K176" s="15"/>
      <c r="L176" s="120" t="s">
        <v>220</v>
      </c>
      <c r="M176" s="15" t="s">
        <v>434</v>
      </c>
      <c r="N176" s="15" t="s">
        <v>435</v>
      </c>
      <c r="O176" s="15"/>
      <c r="P176" s="15"/>
      <c r="Q176" s="15" t="b">
        <v>0</v>
      </c>
    </row>
    <row r="177" spans="1:17" ht="15" hidden="1" customHeight="1">
      <c r="A177" s="15">
        <v>3096</v>
      </c>
      <c r="B177" s="15">
        <v>176</v>
      </c>
      <c r="C177" s="15">
        <v>0</v>
      </c>
      <c r="D177" s="15">
        <v>194</v>
      </c>
      <c r="E177" s="15" t="b">
        <v>0</v>
      </c>
      <c r="F177" s="15" t="b">
        <v>0</v>
      </c>
      <c r="G177" s="33" t="s">
        <v>206</v>
      </c>
      <c r="H177" s="15" t="s">
        <v>431</v>
      </c>
      <c r="I177" s="33" t="s">
        <v>216</v>
      </c>
      <c r="J177" s="15"/>
      <c r="K177" s="15"/>
      <c r="L177" s="120" t="s">
        <v>220</v>
      </c>
      <c r="M177" s="15" t="s">
        <v>436</v>
      </c>
      <c r="N177" s="15" t="s">
        <v>437</v>
      </c>
      <c r="O177" s="15"/>
      <c r="P177" s="15"/>
      <c r="Q177" s="15" t="b">
        <v>0</v>
      </c>
    </row>
    <row r="178" spans="1:17" ht="15" hidden="1" customHeight="1">
      <c r="A178" s="15">
        <v>3097</v>
      </c>
      <c r="B178" s="15">
        <v>177</v>
      </c>
      <c r="C178" s="15">
        <v>0</v>
      </c>
      <c r="D178" s="15">
        <v>195</v>
      </c>
      <c r="E178" s="15" t="b">
        <v>1</v>
      </c>
      <c r="F178" s="15" t="b">
        <v>0</v>
      </c>
      <c r="G178" s="33" t="s">
        <v>206</v>
      </c>
      <c r="H178" s="15" t="s">
        <v>438</v>
      </c>
      <c r="I178" s="33" t="s">
        <v>208</v>
      </c>
      <c r="J178" s="15"/>
      <c r="K178" s="15"/>
      <c r="L178" s="120" t="s">
        <v>210</v>
      </c>
      <c r="M178" s="15" t="s">
        <v>439</v>
      </c>
      <c r="N178" s="15" t="s">
        <v>440</v>
      </c>
      <c r="O178" s="15"/>
      <c r="P178" s="15"/>
      <c r="Q178" s="15" t="b">
        <v>0</v>
      </c>
    </row>
    <row r="179" spans="1:17" ht="15" hidden="1" customHeight="1">
      <c r="A179" s="15">
        <v>3098</v>
      </c>
      <c r="B179" s="15">
        <v>178</v>
      </c>
      <c r="C179" s="15">
        <v>0</v>
      </c>
      <c r="D179" s="15">
        <v>195</v>
      </c>
      <c r="E179" s="15" t="b">
        <v>1</v>
      </c>
      <c r="F179" s="15" t="b">
        <v>0</v>
      </c>
      <c r="G179" s="33" t="s">
        <v>206</v>
      </c>
      <c r="H179" s="15" t="s">
        <v>438</v>
      </c>
      <c r="I179" s="33" t="s">
        <v>213</v>
      </c>
      <c r="J179" s="15"/>
      <c r="K179" s="15"/>
      <c r="L179" s="120" t="s">
        <v>210</v>
      </c>
      <c r="M179" s="15" t="s">
        <v>441</v>
      </c>
      <c r="N179" s="15" t="s">
        <v>442</v>
      </c>
      <c r="O179" s="15"/>
      <c r="P179" s="15"/>
      <c r="Q179" s="15" t="b">
        <v>0</v>
      </c>
    </row>
    <row r="180" spans="1:17" ht="15" hidden="1" customHeight="1">
      <c r="A180" s="15">
        <v>3099</v>
      </c>
      <c r="B180" s="15">
        <v>179</v>
      </c>
      <c r="C180" s="15">
        <v>0</v>
      </c>
      <c r="D180" s="15">
        <v>195</v>
      </c>
      <c r="E180" s="15" t="b">
        <v>1</v>
      </c>
      <c r="F180" s="15" t="b">
        <v>0</v>
      </c>
      <c r="G180" s="33" t="s">
        <v>206</v>
      </c>
      <c r="H180" s="15" t="s">
        <v>438</v>
      </c>
      <c r="I180" s="33" t="s">
        <v>216</v>
      </c>
      <c r="J180" s="15"/>
      <c r="K180" s="15"/>
      <c r="L180" s="120" t="s">
        <v>210</v>
      </c>
      <c r="M180" s="15" t="s">
        <v>443</v>
      </c>
      <c r="N180" s="15" t="s">
        <v>444</v>
      </c>
      <c r="O180" s="15"/>
      <c r="P180" s="15"/>
      <c r="Q180" s="15" t="b">
        <v>0</v>
      </c>
    </row>
    <row r="181" spans="1:17" ht="15" hidden="1" customHeight="1">
      <c r="A181" s="15">
        <v>3100</v>
      </c>
      <c r="B181" s="15">
        <v>180</v>
      </c>
      <c r="C181" s="15">
        <v>0</v>
      </c>
      <c r="D181" s="15">
        <v>195</v>
      </c>
      <c r="E181" s="15" t="b">
        <v>0</v>
      </c>
      <c r="F181" s="15" t="b">
        <v>0</v>
      </c>
      <c r="G181" s="33" t="s">
        <v>206</v>
      </c>
      <c r="H181" s="15" t="s">
        <v>445</v>
      </c>
      <c r="I181" s="33" t="s">
        <v>208</v>
      </c>
      <c r="J181" s="15"/>
      <c r="K181" s="15"/>
      <c r="L181" s="120" t="s">
        <v>220</v>
      </c>
      <c r="M181" s="15" t="s">
        <v>446</v>
      </c>
      <c r="N181" s="15" t="s">
        <v>447</v>
      </c>
      <c r="O181" s="15"/>
      <c r="P181" s="15"/>
      <c r="Q181" s="15" t="b">
        <v>0</v>
      </c>
    </row>
    <row r="182" spans="1:17" ht="15" hidden="1" customHeight="1">
      <c r="A182" s="15">
        <v>3101</v>
      </c>
      <c r="B182" s="15">
        <v>181</v>
      </c>
      <c r="C182" s="15">
        <v>0</v>
      </c>
      <c r="D182" s="15">
        <v>195</v>
      </c>
      <c r="E182" s="15" t="b">
        <v>0</v>
      </c>
      <c r="F182" s="15" t="b">
        <v>0</v>
      </c>
      <c r="G182" s="33" t="s">
        <v>206</v>
      </c>
      <c r="H182" s="15" t="s">
        <v>445</v>
      </c>
      <c r="I182" s="33" t="s">
        <v>213</v>
      </c>
      <c r="J182" s="15"/>
      <c r="K182" s="15"/>
      <c r="L182" s="120" t="s">
        <v>220</v>
      </c>
      <c r="M182" s="15" t="s">
        <v>448</v>
      </c>
      <c r="N182" s="15" t="s">
        <v>449</v>
      </c>
      <c r="O182" s="15"/>
      <c r="P182" s="15"/>
      <c r="Q182" s="15" t="b">
        <v>0</v>
      </c>
    </row>
    <row r="183" spans="1:17" ht="15" hidden="1" customHeight="1">
      <c r="A183" s="15">
        <v>3102</v>
      </c>
      <c r="B183" s="15">
        <v>182</v>
      </c>
      <c r="C183" s="15">
        <v>0</v>
      </c>
      <c r="D183" s="15">
        <v>195</v>
      </c>
      <c r="E183" s="15" t="b">
        <v>0</v>
      </c>
      <c r="F183" s="15" t="b">
        <v>0</v>
      </c>
      <c r="G183" s="33" t="s">
        <v>206</v>
      </c>
      <c r="H183" s="15" t="s">
        <v>445</v>
      </c>
      <c r="I183" s="33" t="s">
        <v>216</v>
      </c>
      <c r="J183" s="15"/>
      <c r="K183" s="15"/>
      <c r="L183" s="120" t="s">
        <v>220</v>
      </c>
      <c r="M183" s="15" t="s">
        <v>450</v>
      </c>
      <c r="N183" s="15" t="s">
        <v>451</v>
      </c>
      <c r="O183" s="15"/>
      <c r="P183" s="15"/>
      <c r="Q183" s="15" t="b">
        <v>0</v>
      </c>
    </row>
    <row r="184" spans="1:17" ht="15" hidden="1" customHeight="1">
      <c r="A184" s="15">
        <v>3103</v>
      </c>
      <c r="B184" s="15">
        <v>183</v>
      </c>
      <c r="C184" s="15">
        <v>0</v>
      </c>
      <c r="D184" s="15">
        <v>195</v>
      </c>
      <c r="E184" s="15" t="b">
        <v>0</v>
      </c>
      <c r="F184" s="15" t="b">
        <v>0</v>
      </c>
      <c r="G184" s="33" t="s">
        <v>206</v>
      </c>
      <c r="H184" s="15" t="s">
        <v>452</v>
      </c>
      <c r="I184" s="33" t="s">
        <v>208</v>
      </c>
      <c r="J184" s="15"/>
      <c r="K184" s="15"/>
      <c r="L184" s="120" t="s">
        <v>220</v>
      </c>
      <c r="M184" s="15" t="s">
        <v>453</v>
      </c>
      <c r="N184" s="15" t="s">
        <v>454</v>
      </c>
      <c r="O184" s="15"/>
      <c r="P184" s="15"/>
      <c r="Q184" s="15" t="b">
        <v>0</v>
      </c>
    </row>
    <row r="185" spans="1:17" ht="15" hidden="1" customHeight="1">
      <c r="A185" s="15">
        <v>3104</v>
      </c>
      <c r="B185" s="15">
        <v>184</v>
      </c>
      <c r="C185" s="15">
        <v>0</v>
      </c>
      <c r="D185" s="15">
        <v>195</v>
      </c>
      <c r="E185" s="15" t="b">
        <v>0</v>
      </c>
      <c r="F185" s="15" t="b">
        <v>0</v>
      </c>
      <c r="G185" s="33" t="s">
        <v>206</v>
      </c>
      <c r="H185" s="15" t="s">
        <v>452</v>
      </c>
      <c r="I185" s="33" t="s">
        <v>213</v>
      </c>
      <c r="J185" s="15"/>
      <c r="K185" s="15"/>
      <c r="L185" s="120" t="s">
        <v>220</v>
      </c>
      <c r="M185" s="15" t="s">
        <v>455</v>
      </c>
      <c r="N185" s="15" t="s">
        <v>456</v>
      </c>
      <c r="O185" s="15"/>
      <c r="P185" s="15"/>
      <c r="Q185" s="15" t="b">
        <v>0</v>
      </c>
    </row>
    <row r="186" spans="1:17" ht="15" hidden="1" customHeight="1">
      <c r="A186" s="15">
        <v>3105</v>
      </c>
      <c r="B186" s="15">
        <v>185</v>
      </c>
      <c r="C186" s="15">
        <v>0</v>
      </c>
      <c r="D186" s="15">
        <v>195</v>
      </c>
      <c r="E186" s="15" t="b">
        <v>0</v>
      </c>
      <c r="F186" s="15" t="b">
        <v>0</v>
      </c>
      <c r="G186" s="33" t="s">
        <v>206</v>
      </c>
      <c r="H186" s="15" t="s">
        <v>452</v>
      </c>
      <c r="I186" s="33" t="s">
        <v>216</v>
      </c>
      <c r="J186" s="15"/>
      <c r="K186" s="15"/>
      <c r="L186" s="120" t="s">
        <v>220</v>
      </c>
      <c r="M186" s="15" t="s">
        <v>457</v>
      </c>
      <c r="N186" s="15" t="s">
        <v>458</v>
      </c>
      <c r="O186" s="15"/>
      <c r="P186" s="15"/>
      <c r="Q186" s="15" t="b">
        <v>0</v>
      </c>
    </row>
    <row r="187" spans="1:17" ht="15" hidden="1" customHeight="1">
      <c r="A187" s="15">
        <v>3106</v>
      </c>
      <c r="B187" s="15">
        <v>186</v>
      </c>
      <c r="C187" s="15">
        <v>0</v>
      </c>
      <c r="D187" s="15">
        <v>195</v>
      </c>
      <c r="E187" s="15" t="b">
        <v>1</v>
      </c>
      <c r="F187" s="15" t="b">
        <v>0</v>
      </c>
      <c r="G187" s="33" t="s">
        <v>206</v>
      </c>
      <c r="H187" s="15" t="s">
        <v>459</v>
      </c>
      <c r="I187" s="33" t="s">
        <v>208</v>
      </c>
      <c r="J187" s="15"/>
      <c r="K187" s="15"/>
      <c r="L187" s="120" t="s">
        <v>210</v>
      </c>
      <c r="M187" s="15" t="s">
        <v>460</v>
      </c>
      <c r="N187" s="15" t="s">
        <v>461</v>
      </c>
      <c r="O187" s="15"/>
      <c r="P187" s="15"/>
      <c r="Q187" s="15" t="b">
        <v>0</v>
      </c>
    </row>
    <row r="188" spans="1:17" ht="15" hidden="1" customHeight="1">
      <c r="A188" s="15">
        <v>3107</v>
      </c>
      <c r="B188" s="15">
        <v>187</v>
      </c>
      <c r="C188" s="15">
        <v>0</v>
      </c>
      <c r="D188" s="15">
        <v>195</v>
      </c>
      <c r="E188" s="15" t="b">
        <v>1</v>
      </c>
      <c r="F188" s="15" t="b">
        <v>0</v>
      </c>
      <c r="G188" s="33" t="s">
        <v>206</v>
      </c>
      <c r="H188" s="15" t="s">
        <v>459</v>
      </c>
      <c r="I188" s="33" t="s">
        <v>213</v>
      </c>
      <c r="J188" s="15"/>
      <c r="K188" s="15"/>
      <c r="L188" s="120" t="s">
        <v>210</v>
      </c>
      <c r="M188" s="15" t="s">
        <v>462</v>
      </c>
      <c r="N188" s="15" t="s">
        <v>463</v>
      </c>
      <c r="O188" s="15"/>
      <c r="P188" s="15"/>
      <c r="Q188" s="15" t="b">
        <v>0</v>
      </c>
    </row>
    <row r="189" spans="1:17" ht="15" hidden="1" customHeight="1">
      <c r="A189" s="15">
        <v>3108</v>
      </c>
      <c r="B189" s="15">
        <v>188</v>
      </c>
      <c r="C189" s="15">
        <v>0</v>
      </c>
      <c r="D189" s="15">
        <v>195</v>
      </c>
      <c r="E189" s="15" t="b">
        <v>1</v>
      </c>
      <c r="F189" s="15" t="b">
        <v>0</v>
      </c>
      <c r="G189" s="33" t="s">
        <v>206</v>
      </c>
      <c r="H189" s="15" t="s">
        <v>459</v>
      </c>
      <c r="I189" s="33" t="s">
        <v>216</v>
      </c>
      <c r="J189" s="15"/>
      <c r="K189" s="15"/>
      <c r="L189" s="120" t="s">
        <v>210</v>
      </c>
      <c r="M189" s="15" t="s">
        <v>464</v>
      </c>
      <c r="N189" s="15" t="s">
        <v>465</v>
      </c>
      <c r="O189" s="15"/>
      <c r="P189" s="15"/>
      <c r="Q189" s="15" t="b">
        <v>0</v>
      </c>
    </row>
    <row r="190" spans="1:17" ht="15" hidden="1" customHeight="1">
      <c r="A190" s="15">
        <v>3109</v>
      </c>
      <c r="B190" s="15">
        <v>189</v>
      </c>
      <c r="C190" s="15">
        <v>0</v>
      </c>
      <c r="D190" s="15">
        <v>195</v>
      </c>
      <c r="E190" s="15" t="b">
        <v>0</v>
      </c>
      <c r="F190" s="15" t="b">
        <v>0</v>
      </c>
      <c r="G190" s="33" t="s">
        <v>206</v>
      </c>
      <c r="H190" s="15" t="s">
        <v>466</v>
      </c>
      <c r="I190" s="33" t="s">
        <v>208</v>
      </c>
      <c r="J190" s="15"/>
      <c r="K190" s="15"/>
      <c r="L190" s="120" t="s">
        <v>220</v>
      </c>
      <c r="M190" s="15" t="s">
        <v>467</v>
      </c>
      <c r="N190" s="15" t="s">
        <v>468</v>
      </c>
      <c r="O190" s="15"/>
      <c r="P190" s="15"/>
      <c r="Q190" s="15" t="b">
        <v>0</v>
      </c>
    </row>
    <row r="191" spans="1:17" ht="15" hidden="1" customHeight="1">
      <c r="A191" s="15">
        <v>3110</v>
      </c>
      <c r="B191" s="15">
        <v>190</v>
      </c>
      <c r="C191" s="15">
        <v>0</v>
      </c>
      <c r="D191" s="15">
        <v>195</v>
      </c>
      <c r="E191" s="15" t="b">
        <v>0</v>
      </c>
      <c r="F191" s="15" t="b">
        <v>0</v>
      </c>
      <c r="G191" s="33" t="s">
        <v>206</v>
      </c>
      <c r="H191" s="15" t="s">
        <v>466</v>
      </c>
      <c r="I191" s="33" t="s">
        <v>213</v>
      </c>
      <c r="J191" s="15"/>
      <c r="K191" s="15"/>
      <c r="L191" s="120" t="s">
        <v>220</v>
      </c>
      <c r="M191" s="15" t="s">
        <v>469</v>
      </c>
      <c r="N191" s="15" t="s">
        <v>470</v>
      </c>
      <c r="O191" s="15"/>
      <c r="P191" s="15"/>
      <c r="Q191" s="15" t="b">
        <v>0</v>
      </c>
    </row>
    <row r="192" spans="1:17" ht="15" hidden="1" customHeight="1">
      <c r="A192" s="15">
        <v>3111</v>
      </c>
      <c r="B192" s="15">
        <v>191</v>
      </c>
      <c r="C192" s="15">
        <v>0</v>
      </c>
      <c r="D192" s="15">
        <v>195</v>
      </c>
      <c r="E192" s="15" t="b">
        <v>0</v>
      </c>
      <c r="F192" s="15" t="b">
        <v>0</v>
      </c>
      <c r="G192" s="33" t="s">
        <v>206</v>
      </c>
      <c r="H192" s="15" t="s">
        <v>466</v>
      </c>
      <c r="I192" s="33" t="s">
        <v>216</v>
      </c>
      <c r="J192" s="15"/>
      <c r="K192" s="15"/>
      <c r="L192" s="120" t="s">
        <v>220</v>
      </c>
      <c r="M192" s="15" t="s">
        <v>471</v>
      </c>
      <c r="N192" s="15" t="s">
        <v>472</v>
      </c>
      <c r="O192" s="15"/>
      <c r="P192" s="15"/>
      <c r="Q192" s="15" t="b">
        <v>0</v>
      </c>
    </row>
    <row r="193" spans="1:17" ht="15" hidden="1" customHeight="1">
      <c r="A193" s="15">
        <v>3112</v>
      </c>
      <c r="B193" s="15">
        <v>192</v>
      </c>
      <c r="C193" s="15">
        <v>0</v>
      </c>
      <c r="D193" s="15">
        <v>195</v>
      </c>
      <c r="E193" s="15" t="b">
        <v>0</v>
      </c>
      <c r="F193" s="15" t="b">
        <v>0</v>
      </c>
      <c r="G193" s="33" t="s">
        <v>206</v>
      </c>
      <c r="H193" s="15" t="s">
        <v>473</v>
      </c>
      <c r="I193" s="33" t="s">
        <v>208</v>
      </c>
      <c r="J193" s="15"/>
      <c r="K193" s="15"/>
      <c r="L193" s="120" t="s">
        <v>220</v>
      </c>
      <c r="M193" s="15" t="s">
        <v>474</v>
      </c>
      <c r="N193" s="15" t="s">
        <v>475</v>
      </c>
      <c r="O193" s="15"/>
      <c r="P193" s="15"/>
      <c r="Q193" s="15" t="b">
        <v>0</v>
      </c>
    </row>
    <row r="194" spans="1:17" ht="15" hidden="1" customHeight="1">
      <c r="A194" s="15">
        <v>3113</v>
      </c>
      <c r="B194" s="15">
        <v>193</v>
      </c>
      <c r="C194" s="15">
        <v>0</v>
      </c>
      <c r="D194" s="15">
        <v>195</v>
      </c>
      <c r="E194" s="15" t="b">
        <v>0</v>
      </c>
      <c r="F194" s="15" t="b">
        <v>0</v>
      </c>
      <c r="G194" s="33" t="s">
        <v>206</v>
      </c>
      <c r="H194" s="15" t="s">
        <v>473</v>
      </c>
      <c r="I194" s="33" t="s">
        <v>213</v>
      </c>
      <c r="J194" s="15"/>
      <c r="K194" s="15"/>
      <c r="L194" s="120" t="s">
        <v>220</v>
      </c>
      <c r="M194" s="15" t="s">
        <v>476</v>
      </c>
      <c r="N194" s="15" t="s">
        <v>477</v>
      </c>
      <c r="O194" s="15"/>
      <c r="P194" s="15"/>
      <c r="Q194" s="15" t="b">
        <v>0</v>
      </c>
    </row>
    <row r="195" spans="1:17" ht="15" hidden="1" customHeight="1">
      <c r="A195" s="15">
        <v>3114</v>
      </c>
      <c r="B195" s="15">
        <v>194</v>
      </c>
      <c r="C195" s="15">
        <v>0</v>
      </c>
      <c r="D195" s="15">
        <v>195</v>
      </c>
      <c r="E195" s="15" t="b">
        <v>0</v>
      </c>
      <c r="F195" s="15" t="b">
        <v>0</v>
      </c>
      <c r="G195" s="33" t="s">
        <v>206</v>
      </c>
      <c r="H195" s="15" t="s">
        <v>473</v>
      </c>
      <c r="I195" s="33" t="s">
        <v>216</v>
      </c>
      <c r="J195" s="15"/>
      <c r="K195" s="15"/>
      <c r="L195" s="120" t="s">
        <v>220</v>
      </c>
      <c r="M195" s="15" t="s">
        <v>478</v>
      </c>
      <c r="N195" s="15" t="s">
        <v>479</v>
      </c>
      <c r="O195" s="15"/>
      <c r="P195" s="15"/>
      <c r="Q195" s="15" t="b">
        <v>0</v>
      </c>
    </row>
    <row r="196" spans="1:17" ht="15" hidden="1" customHeight="1">
      <c r="A196" s="15">
        <v>3115</v>
      </c>
      <c r="B196" s="15">
        <v>195</v>
      </c>
      <c r="C196" s="15">
        <v>0</v>
      </c>
      <c r="D196" s="15">
        <v>195</v>
      </c>
      <c r="E196" s="15" t="b">
        <v>1</v>
      </c>
      <c r="F196" s="15" t="b">
        <v>0</v>
      </c>
      <c r="G196" s="33" t="s">
        <v>206</v>
      </c>
      <c r="H196" s="15" t="s">
        <v>480</v>
      </c>
      <c r="I196" s="33" t="s">
        <v>208</v>
      </c>
      <c r="J196" s="15"/>
      <c r="K196" s="15"/>
      <c r="L196" s="120" t="s">
        <v>210</v>
      </c>
      <c r="M196" s="15" t="s">
        <v>481</v>
      </c>
      <c r="N196" s="15" t="s">
        <v>482</v>
      </c>
      <c r="O196" s="15"/>
      <c r="P196" s="15"/>
      <c r="Q196" s="15" t="b">
        <v>0</v>
      </c>
    </row>
    <row r="197" spans="1:17" ht="15" hidden="1" customHeight="1">
      <c r="A197" s="15">
        <v>3116</v>
      </c>
      <c r="B197" s="15">
        <v>196</v>
      </c>
      <c r="C197" s="15">
        <v>0</v>
      </c>
      <c r="D197" s="15">
        <v>195</v>
      </c>
      <c r="E197" s="15" t="b">
        <v>1</v>
      </c>
      <c r="F197" s="15" t="b">
        <v>0</v>
      </c>
      <c r="G197" s="33" t="s">
        <v>206</v>
      </c>
      <c r="H197" s="15" t="s">
        <v>480</v>
      </c>
      <c r="I197" s="33" t="s">
        <v>213</v>
      </c>
      <c r="J197" s="15"/>
      <c r="K197" s="15"/>
      <c r="L197" s="120" t="s">
        <v>210</v>
      </c>
      <c r="M197" s="15" t="s">
        <v>483</v>
      </c>
      <c r="N197" s="15" t="s">
        <v>484</v>
      </c>
      <c r="O197" s="15"/>
      <c r="P197" s="15"/>
      <c r="Q197" s="15" t="b">
        <v>0</v>
      </c>
    </row>
    <row r="198" spans="1:17" ht="15" hidden="1" customHeight="1">
      <c r="A198" s="15">
        <v>3117</v>
      </c>
      <c r="B198" s="15">
        <v>197</v>
      </c>
      <c r="C198" s="15">
        <v>0</v>
      </c>
      <c r="D198" s="15">
        <v>195</v>
      </c>
      <c r="E198" s="15" t="b">
        <v>1</v>
      </c>
      <c r="F198" s="15" t="b">
        <v>0</v>
      </c>
      <c r="G198" s="33" t="s">
        <v>206</v>
      </c>
      <c r="H198" s="15" t="s">
        <v>480</v>
      </c>
      <c r="I198" s="33" t="s">
        <v>216</v>
      </c>
      <c r="J198" s="15"/>
      <c r="K198" s="15"/>
      <c r="L198" s="120" t="s">
        <v>210</v>
      </c>
      <c r="M198" s="15" t="s">
        <v>485</v>
      </c>
      <c r="N198" s="15" t="s">
        <v>486</v>
      </c>
      <c r="O198" s="15"/>
      <c r="P198" s="15"/>
      <c r="Q198" s="15" t="b">
        <v>0</v>
      </c>
    </row>
    <row r="199" spans="1:17" ht="15" hidden="1" customHeight="1">
      <c r="A199" s="15">
        <v>3118</v>
      </c>
      <c r="B199" s="15">
        <v>198</v>
      </c>
      <c r="C199" s="15">
        <v>0</v>
      </c>
      <c r="D199" s="15">
        <v>195</v>
      </c>
      <c r="E199" s="15" t="b">
        <v>0</v>
      </c>
      <c r="F199" s="15" t="b">
        <v>0</v>
      </c>
      <c r="G199" s="33" t="s">
        <v>206</v>
      </c>
      <c r="H199" s="15" t="s">
        <v>487</v>
      </c>
      <c r="I199" s="33" t="s">
        <v>208</v>
      </c>
      <c r="J199" s="15"/>
      <c r="K199" s="15"/>
      <c r="L199" s="120" t="s">
        <v>220</v>
      </c>
      <c r="M199" s="15" t="s">
        <v>488</v>
      </c>
      <c r="N199" s="15" t="s">
        <v>489</v>
      </c>
      <c r="O199" s="15"/>
      <c r="P199" s="15"/>
      <c r="Q199" s="15" t="b">
        <v>0</v>
      </c>
    </row>
    <row r="200" spans="1:17" ht="15" hidden="1" customHeight="1">
      <c r="A200" s="15">
        <v>3119</v>
      </c>
      <c r="B200" s="15">
        <v>199</v>
      </c>
      <c r="C200" s="15">
        <v>0</v>
      </c>
      <c r="D200" s="15">
        <v>195</v>
      </c>
      <c r="E200" s="15" t="b">
        <v>0</v>
      </c>
      <c r="F200" s="15" t="b">
        <v>0</v>
      </c>
      <c r="G200" s="33" t="s">
        <v>206</v>
      </c>
      <c r="H200" s="15" t="s">
        <v>487</v>
      </c>
      <c r="I200" s="33" t="s">
        <v>213</v>
      </c>
      <c r="J200" s="15"/>
      <c r="K200" s="15"/>
      <c r="L200" s="120" t="s">
        <v>220</v>
      </c>
      <c r="M200" s="15" t="s">
        <v>490</v>
      </c>
      <c r="N200" s="15" t="s">
        <v>491</v>
      </c>
      <c r="O200" s="15"/>
      <c r="P200" s="15"/>
      <c r="Q200" s="15" t="b">
        <v>0</v>
      </c>
    </row>
    <row r="201" spans="1:17" ht="15" hidden="1" customHeight="1">
      <c r="A201" s="15">
        <v>3120</v>
      </c>
      <c r="B201" s="15">
        <v>200</v>
      </c>
      <c r="C201" s="15">
        <v>0</v>
      </c>
      <c r="D201" s="15">
        <v>195</v>
      </c>
      <c r="E201" s="15" t="b">
        <v>0</v>
      </c>
      <c r="F201" s="15" t="b">
        <v>0</v>
      </c>
      <c r="G201" s="33" t="s">
        <v>206</v>
      </c>
      <c r="H201" s="15" t="s">
        <v>487</v>
      </c>
      <c r="I201" s="33" t="s">
        <v>216</v>
      </c>
      <c r="J201" s="15"/>
      <c r="K201" s="15"/>
      <c r="L201" s="120" t="s">
        <v>220</v>
      </c>
      <c r="M201" s="15" t="s">
        <v>492</v>
      </c>
      <c r="N201" s="15" t="s">
        <v>493</v>
      </c>
      <c r="O201" s="15"/>
      <c r="P201" s="15"/>
      <c r="Q201" s="15" t="b">
        <v>0</v>
      </c>
    </row>
    <row r="202" spans="1:17" ht="15" hidden="1" customHeight="1">
      <c r="A202" s="15">
        <v>3121</v>
      </c>
      <c r="B202" s="15">
        <v>201</v>
      </c>
      <c r="C202" s="15">
        <v>0</v>
      </c>
      <c r="D202" s="15">
        <v>195</v>
      </c>
      <c r="E202" s="15" t="b">
        <v>1</v>
      </c>
      <c r="F202" s="15" t="b">
        <v>0</v>
      </c>
      <c r="G202" s="33" t="s">
        <v>206</v>
      </c>
      <c r="H202" s="15" t="s">
        <v>494</v>
      </c>
      <c r="I202" s="33" t="s">
        <v>208</v>
      </c>
      <c r="J202" s="15"/>
      <c r="K202" s="15"/>
      <c r="L202" s="120" t="s">
        <v>210</v>
      </c>
      <c r="M202" s="15" t="s">
        <v>495</v>
      </c>
      <c r="N202" s="15" t="s">
        <v>496</v>
      </c>
      <c r="O202" s="15"/>
      <c r="P202" s="15"/>
      <c r="Q202" s="15" t="b">
        <v>0</v>
      </c>
    </row>
    <row r="203" spans="1:17" ht="15" hidden="1" customHeight="1">
      <c r="A203" s="15">
        <v>3122</v>
      </c>
      <c r="B203" s="15">
        <v>202</v>
      </c>
      <c r="C203" s="15">
        <v>0</v>
      </c>
      <c r="D203" s="15">
        <v>195</v>
      </c>
      <c r="E203" s="15" t="b">
        <v>1</v>
      </c>
      <c r="F203" s="15" t="b">
        <v>0</v>
      </c>
      <c r="G203" s="33" t="s">
        <v>206</v>
      </c>
      <c r="H203" s="15" t="s">
        <v>494</v>
      </c>
      <c r="I203" s="33" t="s">
        <v>272</v>
      </c>
      <c r="J203" s="15"/>
      <c r="K203" s="15"/>
      <c r="L203" s="120" t="s">
        <v>210</v>
      </c>
      <c r="M203" s="15" t="s">
        <v>497</v>
      </c>
      <c r="N203" s="15" t="s">
        <v>498</v>
      </c>
      <c r="O203" s="15"/>
      <c r="P203" s="15"/>
      <c r="Q203" s="15" t="b">
        <v>0</v>
      </c>
    </row>
    <row r="204" spans="1:17" ht="15" hidden="1" customHeight="1">
      <c r="A204" s="15">
        <v>3123</v>
      </c>
      <c r="B204" s="15">
        <v>203</v>
      </c>
      <c r="C204" s="15">
        <v>0</v>
      </c>
      <c r="D204" s="15">
        <v>195</v>
      </c>
      <c r="E204" s="15" t="b">
        <v>1</v>
      </c>
      <c r="F204" s="15" t="b">
        <v>0</v>
      </c>
      <c r="G204" s="33" t="s">
        <v>206</v>
      </c>
      <c r="H204" s="15" t="s">
        <v>494</v>
      </c>
      <c r="I204" s="33" t="s">
        <v>216</v>
      </c>
      <c r="J204" s="15"/>
      <c r="K204" s="15"/>
      <c r="L204" s="120" t="s">
        <v>210</v>
      </c>
      <c r="M204" s="15" t="s">
        <v>499</v>
      </c>
      <c r="N204" s="15" t="s">
        <v>500</v>
      </c>
      <c r="O204" s="15"/>
      <c r="P204" s="15"/>
      <c r="Q204" s="15" t="b">
        <v>0</v>
      </c>
    </row>
    <row r="205" spans="1:17" ht="15" hidden="1" customHeight="1">
      <c r="A205" s="15">
        <v>3124</v>
      </c>
      <c r="B205" s="15">
        <v>204</v>
      </c>
      <c r="C205" s="15">
        <v>0</v>
      </c>
      <c r="D205" s="15">
        <v>195</v>
      </c>
      <c r="E205" s="15" t="b">
        <v>0</v>
      </c>
      <c r="F205" s="15" t="b">
        <v>0</v>
      </c>
      <c r="G205" s="33" t="s">
        <v>206</v>
      </c>
      <c r="H205" s="15" t="s">
        <v>501</v>
      </c>
      <c r="I205" s="33" t="s">
        <v>208</v>
      </c>
      <c r="J205" s="15"/>
      <c r="K205" s="15"/>
      <c r="L205" s="120" t="s">
        <v>220</v>
      </c>
      <c r="M205" s="15" t="s">
        <v>502</v>
      </c>
      <c r="N205" s="15" t="s">
        <v>503</v>
      </c>
      <c r="O205" s="15"/>
      <c r="P205" s="15"/>
      <c r="Q205" s="15" t="b">
        <v>0</v>
      </c>
    </row>
    <row r="206" spans="1:17" ht="15" hidden="1" customHeight="1">
      <c r="A206" s="15">
        <v>3125</v>
      </c>
      <c r="B206" s="15">
        <v>205</v>
      </c>
      <c r="C206" s="15">
        <v>0</v>
      </c>
      <c r="D206" s="15">
        <v>195</v>
      </c>
      <c r="E206" s="15" t="b">
        <v>0</v>
      </c>
      <c r="F206" s="15" t="b">
        <v>0</v>
      </c>
      <c r="G206" s="33" t="s">
        <v>206</v>
      </c>
      <c r="H206" s="15" t="s">
        <v>501</v>
      </c>
      <c r="I206" s="33" t="s">
        <v>504</v>
      </c>
      <c r="J206" s="15"/>
      <c r="K206" s="15"/>
      <c r="L206" s="120" t="s">
        <v>220</v>
      </c>
      <c r="M206" s="15" t="s">
        <v>505</v>
      </c>
      <c r="N206" s="15" t="s">
        <v>506</v>
      </c>
      <c r="O206" s="15"/>
      <c r="P206" s="15"/>
      <c r="Q206" s="15" t="b">
        <v>0</v>
      </c>
    </row>
    <row r="207" spans="1:17" ht="15" hidden="1" customHeight="1">
      <c r="A207" s="15">
        <v>3126</v>
      </c>
      <c r="B207" s="15">
        <v>206</v>
      </c>
      <c r="C207" s="15">
        <v>0</v>
      </c>
      <c r="D207" s="15">
        <v>195</v>
      </c>
      <c r="E207" s="15" t="b">
        <v>0</v>
      </c>
      <c r="F207" s="15" t="b">
        <v>0</v>
      </c>
      <c r="G207" s="33" t="s">
        <v>206</v>
      </c>
      <c r="H207" s="15" t="s">
        <v>501</v>
      </c>
      <c r="I207" s="33" t="s">
        <v>216</v>
      </c>
      <c r="J207" s="15"/>
      <c r="K207" s="15"/>
      <c r="L207" s="120" t="s">
        <v>220</v>
      </c>
      <c r="M207" s="15" t="s">
        <v>507</v>
      </c>
      <c r="N207" s="15" t="s">
        <v>508</v>
      </c>
      <c r="O207" s="15"/>
      <c r="P207" s="15"/>
      <c r="Q207" s="15" t="b">
        <v>0</v>
      </c>
    </row>
    <row r="208" spans="1:17" ht="15" hidden="1" customHeight="1">
      <c r="A208" s="15">
        <v>3127</v>
      </c>
      <c r="B208" s="15">
        <v>207</v>
      </c>
      <c r="C208" s="15">
        <v>0</v>
      </c>
      <c r="D208" s="15">
        <v>195</v>
      </c>
      <c r="E208" s="15" t="b">
        <v>0</v>
      </c>
      <c r="F208" s="15" t="b">
        <v>0</v>
      </c>
      <c r="G208" s="33" t="s">
        <v>206</v>
      </c>
      <c r="H208" s="15" t="s">
        <v>509</v>
      </c>
      <c r="I208" s="33" t="s">
        <v>208</v>
      </c>
      <c r="J208" s="15"/>
      <c r="K208" s="15"/>
      <c r="L208" s="120" t="s">
        <v>220</v>
      </c>
      <c r="M208" s="15" t="s">
        <v>510</v>
      </c>
      <c r="N208" s="15" t="s">
        <v>511</v>
      </c>
      <c r="O208" s="15"/>
      <c r="P208" s="15"/>
      <c r="Q208" s="15" t="b">
        <v>0</v>
      </c>
    </row>
    <row r="209" spans="1:17" ht="15" hidden="1" customHeight="1">
      <c r="A209" s="15">
        <v>3128</v>
      </c>
      <c r="B209" s="15">
        <v>208</v>
      </c>
      <c r="C209" s="15">
        <v>0</v>
      </c>
      <c r="D209" s="15">
        <v>195</v>
      </c>
      <c r="E209" s="15" t="b">
        <v>0</v>
      </c>
      <c r="F209" s="15" t="b">
        <v>0</v>
      </c>
      <c r="G209" s="33" t="s">
        <v>206</v>
      </c>
      <c r="H209" s="15" t="s">
        <v>509</v>
      </c>
      <c r="I209" s="33" t="s">
        <v>504</v>
      </c>
      <c r="J209" s="15"/>
      <c r="K209" s="15"/>
      <c r="L209" s="120" t="s">
        <v>220</v>
      </c>
      <c r="M209" s="15" t="s">
        <v>512</v>
      </c>
      <c r="N209" s="15" t="s">
        <v>513</v>
      </c>
      <c r="O209" s="15"/>
      <c r="P209" s="15"/>
      <c r="Q209" s="15" t="b">
        <v>0</v>
      </c>
    </row>
    <row r="210" spans="1:17" ht="15" hidden="1" customHeight="1">
      <c r="A210" s="15">
        <v>3129</v>
      </c>
      <c r="B210" s="15">
        <v>209</v>
      </c>
      <c r="C210" s="15">
        <v>0</v>
      </c>
      <c r="D210" s="15">
        <v>195</v>
      </c>
      <c r="E210" s="15" t="b">
        <v>0</v>
      </c>
      <c r="F210" s="15" t="b">
        <v>0</v>
      </c>
      <c r="G210" s="33" t="s">
        <v>206</v>
      </c>
      <c r="H210" s="15" t="s">
        <v>509</v>
      </c>
      <c r="I210" s="33" t="s">
        <v>216</v>
      </c>
      <c r="J210" s="15"/>
      <c r="K210" s="15"/>
      <c r="L210" s="120" t="s">
        <v>220</v>
      </c>
      <c r="M210" s="15" t="s">
        <v>514</v>
      </c>
      <c r="N210" s="15" t="s">
        <v>515</v>
      </c>
      <c r="O210" s="15"/>
      <c r="P210" s="15"/>
      <c r="Q210" s="15" t="b">
        <v>0</v>
      </c>
    </row>
    <row r="211" spans="1:17" ht="15" hidden="1" customHeight="1">
      <c r="A211" s="15">
        <v>3130</v>
      </c>
      <c r="B211" s="15">
        <v>210</v>
      </c>
      <c r="C211" s="15">
        <v>0</v>
      </c>
      <c r="D211" s="15">
        <v>195</v>
      </c>
      <c r="E211" s="15" t="b">
        <v>1</v>
      </c>
      <c r="F211" s="15" t="b">
        <v>0</v>
      </c>
      <c r="G211" s="33" t="s">
        <v>206</v>
      </c>
      <c r="H211" s="15" t="s">
        <v>516</v>
      </c>
      <c r="I211" s="33" t="s">
        <v>208</v>
      </c>
      <c r="J211" s="15"/>
      <c r="K211" s="15"/>
      <c r="L211" s="120" t="s">
        <v>210</v>
      </c>
      <c r="M211" s="15" t="s">
        <v>517</v>
      </c>
      <c r="N211" s="15" t="s">
        <v>518</v>
      </c>
      <c r="O211" s="15"/>
      <c r="P211" s="15"/>
      <c r="Q211" s="15" t="b">
        <v>0</v>
      </c>
    </row>
    <row r="212" spans="1:17" ht="15" hidden="1" customHeight="1">
      <c r="A212" s="15">
        <v>3131</v>
      </c>
      <c r="B212" s="15">
        <v>211</v>
      </c>
      <c r="C212" s="15">
        <v>0</v>
      </c>
      <c r="D212" s="15">
        <v>195</v>
      </c>
      <c r="E212" s="15" t="b">
        <v>1</v>
      </c>
      <c r="F212" s="15" t="b">
        <v>0</v>
      </c>
      <c r="G212" s="33" t="s">
        <v>206</v>
      </c>
      <c r="H212" s="15" t="s">
        <v>516</v>
      </c>
      <c r="I212" s="33" t="s">
        <v>272</v>
      </c>
      <c r="J212" s="15"/>
      <c r="K212" s="15"/>
      <c r="L212" s="120" t="s">
        <v>210</v>
      </c>
      <c r="M212" s="15" t="s">
        <v>519</v>
      </c>
      <c r="N212" s="15" t="s">
        <v>520</v>
      </c>
      <c r="O212" s="15"/>
      <c r="P212" s="15"/>
      <c r="Q212" s="15" t="b">
        <v>0</v>
      </c>
    </row>
    <row r="213" spans="1:17" ht="15" hidden="1" customHeight="1">
      <c r="A213" s="15">
        <v>3132</v>
      </c>
      <c r="B213" s="15">
        <v>212</v>
      </c>
      <c r="C213" s="15">
        <v>0</v>
      </c>
      <c r="D213" s="15">
        <v>195</v>
      </c>
      <c r="E213" s="15" t="b">
        <v>1</v>
      </c>
      <c r="F213" s="15" t="b">
        <v>0</v>
      </c>
      <c r="G213" s="33" t="s">
        <v>206</v>
      </c>
      <c r="H213" s="15" t="s">
        <v>516</v>
      </c>
      <c r="I213" s="33" t="s">
        <v>216</v>
      </c>
      <c r="J213" s="15"/>
      <c r="K213" s="15"/>
      <c r="L213" s="120" t="s">
        <v>210</v>
      </c>
      <c r="M213" s="15" t="s">
        <v>521</v>
      </c>
      <c r="N213" s="15" t="s">
        <v>522</v>
      </c>
      <c r="O213" s="15"/>
      <c r="P213" s="15"/>
      <c r="Q213" s="15" t="b">
        <v>0</v>
      </c>
    </row>
    <row r="214" spans="1:17" ht="15" hidden="1" customHeight="1">
      <c r="A214" s="15">
        <v>3133</v>
      </c>
      <c r="B214" s="15">
        <v>213</v>
      </c>
      <c r="C214" s="15">
        <v>0</v>
      </c>
      <c r="D214" s="15">
        <v>195</v>
      </c>
      <c r="E214" s="15" t="b">
        <v>0</v>
      </c>
      <c r="F214" s="15" t="b">
        <v>0</v>
      </c>
      <c r="G214" s="33" t="s">
        <v>206</v>
      </c>
      <c r="H214" s="15" t="s">
        <v>523</v>
      </c>
      <c r="I214" s="33" t="s">
        <v>208</v>
      </c>
      <c r="J214" s="15"/>
      <c r="K214" s="15"/>
      <c r="L214" s="120" t="s">
        <v>220</v>
      </c>
      <c r="M214" s="15" t="s">
        <v>524</v>
      </c>
      <c r="N214" s="15" t="s">
        <v>525</v>
      </c>
      <c r="O214" s="15"/>
      <c r="P214" s="15"/>
      <c r="Q214" s="15" t="b">
        <v>0</v>
      </c>
    </row>
    <row r="215" spans="1:17" ht="15" hidden="1" customHeight="1">
      <c r="A215" s="15">
        <v>3134</v>
      </c>
      <c r="B215" s="15">
        <v>214</v>
      </c>
      <c r="C215" s="15">
        <v>0</v>
      </c>
      <c r="D215" s="15">
        <v>195</v>
      </c>
      <c r="E215" s="15" t="b">
        <v>0</v>
      </c>
      <c r="F215" s="15" t="b">
        <v>0</v>
      </c>
      <c r="G215" s="33" t="s">
        <v>206</v>
      </c>
      <c r="H215" s="15" t="s">
        <v>523</v>
      </c>
      <c r="I215" s="33" t="s">
        <v>504</v>
      </c>
      <c r="J215" s="15"/>
      <c r="K215" s="15"/>
      <c r="L215" s="120" t="s">
        <v>220</v>
      </c>
      <c r="M215" s="15" t="s">
        <v>526</v>
      </c>
      <c r="N215" s="15" t="s">
        <v>527</v>
      </c>
      <c r="O215" s="15"/>
      <c r="P215" s="15"/>
      <c r="Q215" s="15" t="b">
        <v>0</v>
      </c>
    </row>
    <row r="216" spans="1:17" ht="15" hidden="1" customHeight="1">
      <c r="A216" s="15">
        <v>3135</v>
      </c>
      <c r="B216" s="15">
        <v>215</v>
      </c>
      <c r="C216" s="15">
        <v>0</v>
      </c>
      <c r="D216" s="15">
        <v>195</v>
      </c>
      <c r="E216" s="15" t="b">
        <v>0</v>
      </c>
      <c r="F216" s="15" t="b">
        <v>0</v>
      </c>
      <c r="G216" s="33" t="s">
        <v>206</v>
      </c>
      <c r="H216" s="15" t="s">
        <v>523</v>
      </c>
      <c r="I216" s="33" t="s">
        <v>216</v>
      </c>
      <c r="J216" s="15"/>
      <c r="K216" s="15"/>
      <c r="L216" s="120" t="s">
        <v>220</v>
      </c>
      <c r="M216" s="15" t="s">
        <v>528</v>
      </c>
      <c r="N216" s="15" t="s">
        <v>529</v>
      </c>
      <c r="O216" s="15"/>
      <c r="P216" s="15"/>
      <c r="Q216" s="15" t="b">
        <v>0</v>
      </c>
    </row>
    <row r="217" spans="1:17" ht="15" hidden="1" customHeight="1">
      <c r="A217" s="15">
        <v>3136</v>
      </c>
      <c r="B217" s="15">
        <v>216</v>
      </c>
      <c r="C217" s="15">
        <v>0</v>
      </c>
      <c r="D217" s="15">
        <v>195</v>
      </c>
      <c r="E217" s="15" t="b">
        <v>0</v>
      </c>
      <c r="F217" s="15" t="b">
        <v>0</v>
      </c>
      <c r="G217" s="33" t="s">
        <v>206</v>
      </c>
      <c r="H217" s="15" t="s">
        <v>530</v>
      </c>
      <c r="I217" s="33" t="s">
        <v>208</v>
      </c>
      <c r="J217" s="15"/>
      <c r="K217" s="15"/>
      <c r="L217" s="120" t="s">
        <v>220</v>
      </c>
      <c r="M217" s="15" t="s">
        <v>531</v>
      </c>
      <c r="N217" s="15" t="s">
        <v>532</v>
      </c>
      <c r="O217" s="15"/>
      <c r="P217" s="15"/>
      <c r="Q217" s="15" t="b">
        <v>0</v>
      </c>
    </row>
    <row r="218" spans="1:17" ht="15" hidden="1" customHeight="1">
      <c r="A218" s="15">
        <v>3137</v>
      </c>
      <c r="B218" s="15">
        <v>217</v>
      </c>
      <c r="C218" s="15">
        <v>0</v>
      </c>
      <c r="D218" s="15">
        <v>195</v>
      </c>
      <c r="E218" s="15" t="b">
        <v>0</v>
      </c>
      <c r="F218" s="15" t="b">
        <v>0</v>
      </c>
      <c r="G218" s="33" t="s">
        <v>206</v>
      </c>
      <c r="H218" s="15" t="s">
        <v>530</v>
      </c>
      <c r="I218" s="33" t="s">
        <v>504</v>
      </c>
      <c r="J218" s="15"/>
      <c r="K218" s="15"/>
      <c r="L218" s="120" t="s">
        <v>220</v>
      </c>
      <c r="M218" s="15" t="s">
        <v>533</v>
      </c>
      <c r="N218" s="15" t="s">
        <v>534</v>
      </c>
      <c r="O218" s="15"/>
      <c r="P218" s="15"/>
      <c r="Q218" s="15" t="b">
        <v>0</v>
      </c>
    </row>
    <row r="219" spans="1:17" ht="15" hidden="1" customHeight="1">
      <c r="A219" s="15">
        <v>3138</v>
      </c>
      <c r="B219" s="15">
        <v>218</v>
      </c>
      <c r="C219" s="15">
        <v>0</v>
      </c>
      <c r="D219" s="15">
        <v>195</v>
      </c>
      <c r="E219" s="15" t="b">
        <v>0</v>
      </c>
      <c r="F219" s="15" t="b">
        <v>0</v>
      </c>
      <c r="G219" s="33" t="s">
        <v>206</v>
      </c>
      <c r="H219" s="15" t="s">
        <v>530</v>
      </c>
      <c r="I219" s="33" t="s">
        <v>216</v>
      </c>
      <c r="J219" s="15"/>
      <c r="K219" s="15"/>
      <c r="L219" s="120" t="s">
        <v>220</v>
      </c>
      <c r="M219" s="15" t="s">
        <v>535</v>
      </c>
      <c r="N219" s="15" t="s">
        <v>536</v>
      </c>
      <c r="O219" s="15"/>
      <c r="P219" s="15"/>
      <c r="Q219" s="15" t="b">
        <v>0</v>
      </c>
    </row>
    <row r="220" spans="1:17" ht="15" hidden="1" customHeight="1">
      <c r="A220" s="15">
        <v>3139</v>
      </c>
      <c r="B220" s="15">
        <v>219</v>
      </c>
      <c r="C220" s="15">
        <v>0</v>
      </c>
      <c r="D220" s="15">
        <v>195</v>
      </c>
      <c r="E220" s="15" t="b">
        <v>1</v>
      </c>
      <c r="F220" s="15" t="b">
        <v>0</v>
      </c>
      <c r="G220" s="33" t="s">
        <v>206</v>
      </c>
      <c r="H220" s="15" t="s">
        <v>537</v>
      </c>
      <c r="I220" s="33" t="s">
        <v>208</v>
      </c>
      <c r="J220" s="15"/>
      <c r="K220" s="15"/>
      <c r="L220" s="120" t="s">
        <v>210</v>
      </c>
      <c r="M220" s="15" t="s">
        <v>538</v>
      </c>
      <c r="N220" s="15" t="s">
        <v>539</v>
      </c>
      <c r="O220" s="15"/>
      <c r="P220" s="15"/>
      <c r="Q220" s="15" t="b">
        <v>0</v>
      </c>
    </row>
    <row r="221" spans="1:17" ht="15" hidden="1" customHeight="1">
      <c r="A221" s="15">
        <v>3140</v>
      </c>
      <c r="B221" s="15">
        <v>220</v>
      </c>
      <c r="C221" s="15">
        <v>0</v>
      </c>
      <c r="D221" s="15">
        <v>195</v>
      </c>
      <c r="E221" s="15" t="b">
        <v>1</v>
      </c>
      <c r="F221" s="15" t="b">
        <v>0</v>
      </c>
      <c r="G221" s="33" t="s">
        <v>206</v>
      </c>
      <c r="H221" s="15" t="s">
        <v>537</v>
      </c>
      <c r="I221" s="33" t="s">
        <v>272</v>
      </c>
      <c r="J221" s="15"/>
      <c r="K221" s="15"/>
      <c r="L221" s="120" t="s">
        <v>210</v>
      </c>
      <c r="M221" s="15" t="s">
        <v>540</v>
      </c>
      <c r="N221" s="15" t="s">
        <v>541</v>
      </c>
      <c r="O221" s="15"/>
      <c r="P221" s="15"/>
      <c r="Q221" s="15" t="b">
        <v>0</v>
      </c>
    </row>
    <row r="222" spans="1:17" ht="15" hidden="1" customHeight="1">
      <c r="A222" s="15">
        <v>3141</v>
      </c>
      <c r="B222" s="15">
        <v>221</v>
      </c>
      <c r="C222" s="15">
        <v>0</v>
      </c>
      <c r="D222" s="15">
        <v>195</v>
      </c>
      <c r="E222" s="15" t="b">
        <v>1</v>
      </c>
      <c r="F222" s="15" t="b">
        <v>0</v>
      </c>
      <c r="G222" s="33" t="s">
        <v>206</v>
      </c>
      <c r="H222" s="15" t="s">
        <v>537</v>
      </c>
      <c r="I222" s="33" t="s">
        <v>216</v>
      </c>
      <c r="J222" s="15"/>
      <c r="K222" s="15"/>
      <c r="L222" s="120" t="s">
        <v>210</v>
      </c>
      <c r="M222" s="15" t="s">
        <v>542</v>
      </c>
      <c r="N222" s="15" t="s">
        <v>543</v>
      </c>
      <c r="O222" s="15"/>
      <c r="P222" s="15"/>
      <c r="Q222" s="15" t="b">
        <v>0</v>
      </c>
    </row>
    <row r="223" spans="1:17" ht="15" hidden="1" customHeight="1">
      <c r="A223" s="15">
        <v>3142</v>
      </c>
      <c r="B223" s="15">
        <v>222</v>
      </c>
      <c r="C223" s="15">
        <v>0</v>
      </c>
      <c r="D223" s="15">
        <v>195</v>
      </c>
      <c r="E223" s="15" t="b">
        <v>0</v>
      </c>
      <c r="F223" s="15" t="b">
        <v>0</v>
      </c>
      <c r="G223" s="33" t="s">
        <v>206</v>
      </c>
      <c r="H223" s="15" t="s">
        <v>544</v>
      </c>
      <c r="I223" s="33" t="s">
        <v>208</v>
      </c>
      <c r="J223" s="15"/>
      <c r="K223" s="15"/>
      <c r="L223" s="120" t="s">
        <v>220</v>
      </c>
      <c r="M223" s="15" t="s">
        <v>545</v>
      </c>
      <c r="N223" s="15" t="s">
        <v>546</v>
      </c>
      <c r="O223" s="15"/>
      <c r="P223" s="15"/>
      <c r="Q223" s="15" t="b">
        <v>0</v>
      </c>
    </row>
    <row r="224" spans="1:17" ht="15" hidden="1" customHeight="1">
      <c r="A224" s="15">
        <v>3143</v>
      </c>
      <c r="B224" s="15">
        <v>223</v>
      </c>
      <c r="C224" s="15">
        <v>0</v>
      </c>
      <c r="D224" s="15">
        <v>195</v>
      </c>
      <c r="E224" s="15" t="b">
        <v>0</v>
      </c>
      <c r="F224" s="15" t="b">
        <v>0</v>
      </c>
      <c r="G224" s="33" t="s">
        <v>206</v>
      </c>
      <c r="H224" s="15" t="s">
        <v>544</v>
      </c>
      <c r="I224" s="33" t="s">
        <v>504</v>
      </c>
      <c r="J224" s="15"/>
      <c r="K224" s="15"/>
      <c r="L224" s="120" t="s">
        <v>220</v>
      </c>
      <c r="M224" s="15" t="s">
        <v>547</v>
      </c>
      <c r="N224" s="15" t="s">
        <v>548</v>
      </c>
      <c r="O224" s="15"/>
      <c r="P224" s="15"/>
      <c r="Q224" s="15" t="b">
        <v>0</v>
      </c>
    </row>
    <row r="225" spans="1:17" ht="15" hidden="1" customHeight="1">
      <c r="A225" s="15">
        <v>3144</v>
      </c>
      <c r="B225" s="15">
        <v>224</v>
      </c>
      <c r="C225" s="15">
        <v>0</v>
      </c>
      <c r="D225" s="15">
        <v>195</v>
      </c>
      <c r="E225" s="15" t="b">
        <v>0</v>
      </c>
      <c r="F225" s="15" t="b">
        <v>0</v>
      </c>
      <c r="G225" s="33" t="s">
        <v>206</v>
      </c>
      <c r="H225" s="15" t="s">
        <v>544</v>
      </c>
      <c r="I225" s="33" t="s">
        <v>216</v>
      </c>
      <c r="J225" s="15"/>
      <c r="K225" s="15"/>
      <c r="L225" s="120" t="s">
        <v>220</v>
      </c>
      <c r="M225" s="15" t="s">
        <v>549</v>
      </c>
      <c r="N225" s="15" t="s">
        <v>550</v>
      </c>
      <c r="O225" s="15"/>
      <c r="P225" s="15"/>
      <c r="Q225" s="15" t="b">
        <v>0</v>
      </c>
    </row>
    <row r="226" spans="1:17" ht="15" hidden="1" customHeight="1">
      <c r="A226" s="15">
        <v>3145</v>
      </c>
      <c r="B226" s="15">
        <v>225</v>
      </c>
      <c r="C226" s="15">
        <v>0</v>
      </c>
      <c r="D226" s="15">
        <v>195</v>
      </c>
      <c r="E226" s="15" t="b">
        <v>1</v>
      </c>
      <c r="F226" s="15" t="b">
        <v>0</v>
      </c>
      <c r="G226" s="33" t="s">
        <v>206</v>
      </c>
      <c r="H226" s="15" t="s">
        <v>551</v>
      </c>
      <c r="I226" s="33" t="s">
        <v>208</v>
      </c>
      <c r="J226" s="15"/>
      <c r="K226" s="15"/>
      <c r="L226" s="120" t="s">
        <v>210</v>
      </c>
      <c r="M226" s="15" t="s">
        <v>552</v>
      </c>
      <c r="N226" s="15" t="s">
        <v>553</v>
      </c>
      <c r="O226" s="15"/>
      <c r="P226" s="15"/>
      <c r="Q226" s="15" t="b">
        <v>0</v>
      </c>
    </row>
    <row r="227" spans="1:17" ht="15" hidden="1" customHeight="1">
      <c r="A227" s="15">
        <v>3146</v>
      </c>
      <c r="B227" s="15">
        <v>226</v>
      </c>
      <c r="C227" s="15">
        <v>0</v>
      </c>
      <c r="D227" s="15">
        <v>195</v>
      </c>
      <c r="E227" s="15" t="b">
        <v>1</v>
      </c>
      <c r="F227" s="15" t="b">
        <v>0</v>
      </c>
      <c r="G227" s="33" t="s">
        <v>206</v>
      </c>
      <c r="H227" s="15" t="s">
        <v>551</v>
      </c>
      <c r="I227" s="33" t="s">
        <v>213</v>
      </c>
      <c r="J227" s="15"/>
      <c r="K227" s="15"/>
      <c r="L227" s="120" t="s">
        <v>210</v>
      </c>
      <c r="M227" s="15" t="s">
        <v>554</v>
      </c>
      <c r="N227" s="15" t="s">
        <v>555</v>
      </c>
      <c r="O227" s="15"/>
      <c r="P227" s="15"/>
      <c r="Q227" s="15" t="b">
        <v>0</v>
      </c>
    </row>
    <row r="228" spans="1:17" ht="15" hidden="1" customHeight="1">
      <c r="A228" s="15">
        <v>3147</v>
      </c>
      <c r="B228" s="15">
        <v>227</v>
      </c>
      <c r="C228" s="15">
        <v>0</v>
      </c>
      <c r="D228" s="15">
        <v>195</v>
      </c>
      <c r="E228" s="15" t="b">
        <v>1</v>
      </c>
      <c r="F228" s="15" t="b">
        <v>0</v>
      </c>
      <c r="G228" s="33" t="s">
        <v>206</v>
      </c>
      <c r="H228" s="15" t="s">
        <v>551</v>
      </c>
      <c r="I228" s="33" t="s">
        <v>216</v>
      </c>
      <c r="J228" s="15"/>
      <c r="K228" s="15"/>
      <c r="L228" s="120" t="s">
        <v>210</v>
      </c>
      <c r="M228" s="15" t="s">
        <v>556</v>
      </c>
      <c r="N228" s="15" t="s">
        <v>557</v>
      </c>
      <c r="O228" s="15"/>
      <c r="P228" s="15"/>
      <c r="Q228" s="15" t="b">
        <v>0</v>
      </c>
    </row>
    <row r="229" spans="1:17" ht="15" hidden="1" customHeight="1">
      <c r="A229" s="15">
        <v>3148</v>
      </c>
      <c r="B229" s="15">
        <v>228</v>
      </c>
      <c r="C229" s="15">
        <v>0</v>
      </c>
      <c r="D229" s="15">
        <v>195</v>
      </c>
      <c r="E229" s="15" t="b">
        <v>0</v>
      </c>
      <c r="F229" s="15" t="b">
        <v>0</v>
      </c>
      <c r="G229" s="33" t="s">
        <v>206</v>
      </c>
      <c r="H229" s="15" t="s">
        <v>558</v>
      </c>
      <c r="I229" s="33" t="s">
        <v>208</v>
      </c>
      <c r="J229" s="15"/>
      <c r="K229" s="15"/>
      <c r="L229" s="120" t="s">
        <v>220</v>
      </c>
      <c r="M229" s="15" t="s">
        <v>559</v>
      </c>
      <c r="N229" s="15" t="s">
        <v>560</v>
      </c>
      <c r="O229" s="15"/>
      <c r="P229" s="15"/>
      <c r="Q229" s="15" t="b">
        <v>0</v>
      </c>
    </row>
    <row r="230" spans="1:17" ht="15" hidden="1" customHeight="1">
      <c r="A230" s="15">
        <v>3149</v>
      </c>
      <c r="B230" s="15">
        <v>229</v>
      </c>
      <c r="C230" s="15">
        <v>0</v>
      </c>
      <c r="D230" s="15">
        <v>195</v>
      </c>
      <c r="E230" s="15" t="b">
        <v>0</v>
      </c>
      <c r="F230" s="15" t="b">
        <v>0</v>
      </c>
      <c r="G230" s="33" t="s">
        <v>206</v>
      </c>
      <c r="H230" s="15" t="s">
        <v>558</v>
      </c>
      <c r="I230" s="33" t="s">
        <v>213</v>
      </c>
      <c r="J230" s="15"/>
      <c r="K230" s="15"/>
      <c r="L230" s="120" t="s">
        <v>220</v>
      </c>
      <c r="M230" s="15" t="s">
        <v>561</v>
      </c>
      <c r="N230" s="15" t="s">
        <v>562</v>
      </c>
      <c r="O230" s="15"/>
      <c r="P230" s="15"/>
      <c r="Q230" s="15" t="b">
        <v>0</v>
      </c>
    </row>
    <row r="231" spans="1:17" ht="15" hidden="1" customHeight="1">
      <c r="A231" s="15">
        <v>3150</v>
      </c>
      <c r="B231" s="15">
        <v>230</v>
      </c>
      <c r="C231" s="15">
        <v>0</v>
      </c>
      <c r="D231" s="15">
        <v>195</v>
      </c>
      <c r="E231" s="15" t="b">
        <v>0</v>
      </c>
      <c r="F231" s="15" t="b">
        <v>0</v>
      </c>
      <c r="G231" s="33" t="s">
        <v>206</v>
      </c>
      <c r="H231" s="15" t="s">
        <v>558</v>
      </c>
      <c r="I231" s="33" t="s">
        <v>216</v>
      </c>
      <c r="J231" s="15"/>
      <c r="K231" s="15"/>
      <c r="L231" s="120" t="s">
        <v>220</v>
      </c>
      <c r="M231" s="15" t="s">
        <v>563</v>
      </c>
      <c r="N231" s="15" t="s">
        <v>564</v>
      </c>
      <c r="O231" s="15"/>
      <c r="P231" s="15"/>
      <c r="Q231" s="15" t="b">
        <v>0</v>
      </c>
    </row>
    <row r="232" spans="1:17" ht="15" hidden="1" customHeight="1">
      <c r="A232" s="15">
        <v>3151</v>
      </c>
      <c r="B232" s="15">
        <v>231</v>
      </c>
      <c r="C232" s="15">
        <v>0</v>
      </c>
      <c r="D232" s="15">
        <v>195</v>
      </c>
      <c r="E232" s="15" t="b">
        <v>0</v>
      </c>
      <c r="F232" s="15" t="b">
        <v>0</v>
      </c>
      <c r="G232" s="33" t="s">
        <v>206</v>
      </c>
      <c r="H232" s="15" t="s">
        <v>565</v>
      </c>
      <c r="I232" s="33" t="s">
        <v>208</v>
      </c>
      <c r="J232" s="15"/>
      <c r="K232" s="15"/>
      <c r="L232" s="120" t="s">
        <v>220</v>
      </c>
      <c r="M232" s="15" t="s">
        <v>566</v>
      </c>
      <c r="N232" s="15" t="s">
        <v>567</v>
      </c>
      <c r="O232" s="15"/>
      <c r="P232" s="15"/>
      <c r="Q232" s="15" t="b">
        <v>0</v>
      </c>
    </row>
    <row r="233" spans="1:17" ht="15" hidden="1" customHeight="1">
      <c r="A233" s="15">
        <v>3152</v>
      </c>
      <c r="B233" s="15">
        <v>232</v>
      </c>
      <c r="C233" s="15">
        <v>0</v>
      </c>
      <c r="D233" s="15">
        <v>195</v>
      </c>
      <c r="E233" s="15" t="b">
        <v>0</v>
      </c>
      <c r="F233" s="15" t="b">
        <v>0</v>
      </c>
      <c r="G233" s="33" t="s">
        <v>206</v>
      </c>
      <c r="H233" s="15" t="s">
        <v>565</v>
      </c>
      <c r="I233" s="33" t="s">
        <v>213</v>
      </c>
      <c r="J233" s="15"/>
      <c r="K233" s="15"/>
      <c r="L233" s="120" t="s">
        <v>220</v>
      </c>
      <c r="M233" s="15" t="s">
        <v>568</v>
      </c>
      <c r="N233" s="15" t="s">
        <v>569</v>
      </c>
      <c r="O233" s="15"/>
      <c r="P233" s="15"/>
      <c r="Q233" s="15" t="b">
        <v>0</v>
      </c>
    </row>
    <row r="234" spans="1:17" ht="15" hidden="1" customHeight="1">
      <c r="A234" s="15">
        <v>3153</v>
      </c>
      <c r="B234" s="15">
        <v>233</v>
      </c>
      <c r="C234" s="15">
        <v>0</v>
      </c>
      <c r="D234" s="15">
        <v>195</v>
      </c>
      <c r="E234" s="15" t="b">
        <v>0</v>
      </c>
      <c r="F234" s="15" t="b">
        <v>0</v>
      </c>
      <c r="G234" s="33" t="s">
        <v>206</v>
      </c>
      <c r="H234" s="15" t="s">
        <v>565</v>
      </c>
      <c r="I234" s="33" t="s">
        <v>216</v>
      </c>
      <c r="J234" s="15"/>
      <c r="K234" s="15"/>
      <c r="L234" s="120" t="s">
        <v>220</v>
      </c>
      <c r="M234" s="15" t="s">
        <v>570</v>
      </c>
      <c r="N234" s="15" t="s">
        <v>571</v>
      </c>
      <c r="O234" s="15"/>
      <c r="P234" s="15"/>
      <c r="Q234" s="15" t="b">
        <v>0</v>
      </c>
    </row>
    <row r="235" spans="1:17" ht="15" hidden="1" customHeight="1">
      <c r="A235" s="15">
        <v>3154</v>
      </c>
      <c r="B235" s="15">
        <v>234</v>
      </c>
      <c r="C235" s="15">
        <v>0</v>
      </c>
      <c r="D235" s="15">
        <v>195</v>
      </c>
      <c r="E235" s="15" t="b">
        <v>1</v>
      </c>
      <c r="F235" s="15" t="b">
        <v>0</v>
      </c>
      <c r="G235" s="33" t="s">
        <v>206</v>
      </c>
      <c r="H235" s="15" t="s">
        <v>572</v>
      </c>
      <c r="I235" s="33" t="s">
        <v>208</v>
      </c>
      <c r="J235" s="15"/>
      <c r="K235" s="15"/>
      <c r="L235" s="120" t="s">
        <v>210</v>
      </c>
      <c r="M235" s="15" t="s">
        <v>573</v>
      </c>
      <c r="N235" s="15" t="s">
        <v>574</v>
      </c>
      <c r="O235" s="15"/>
      <c r="P235" s="15"/>
      <c r="Q235" s="15" t="b">
        <v>0</v>
      </c>
    </row>
    <row r="236" spans="1:17" ht="15" hidden="1" customHeight="1">
      <c r="A236" s="15">
        <v>3155</v>
      </c>
      <c r="B236" s="15">
        <v>235</v>
      </c>
      <c r="C236" s="15">
        <v>0</v>
      </c>
      <c r="D236" s="15">
        <v>195</v>
      </c>
      <c r="E236" s="15" t="b">
        <v>1</v>
      </c>
      <c r="F236" s="15" t="b">
        <v>0</v>
      </c>
      <c r="G236" s="33" t="s">
        <v>206</v>
      </c>
      <c r="H236" s="15" t="s">
        <v>572</v>
      </c>
      <c r="I236" s="33" t="s">
        <v>213</v>
      </c>
      <c r="J236" s="15"/>
      <c r="K236" s="15"/>
      <c r="L236" s="120" t="s">
        <v>210</v>
      </c>
      <c r="M236" s="15" t="s">
        <v>575</v>
      </c>
      <c r="N236" s="15" t="s">
        <v>576</v>
      </c>
      <c r="O236" s="15"/>
      <c r="P236" s="15"/>
      <c r="Q236" s="15" t="b">
        <v>0</v>
      </c>
    </row>
    <row r="237" spans="1:17" ht="15" hidden="1" customHeight="1">
      <c r="A237" s="15">
        <v>3156</v>
      </c>
      <c r="B237" s="15">
        <v>236</v>
      </c>
      <c r="C237" s="15">
        <v>0</v>
      </c>
      <c r="D237" s="15">
        <v>195</v>
      </c>
      <c r="E237" s="15" t="b">
        <v>1</v>
      </c>
      <c r="F237" s="15" t="b">
        <v>0</v>
      </c>
      <c r="G237" s="33" t="s">
        <v>206</v>
      </c>
      <c r="H237" s="15" t="s">
        <v>572</v>
      </c>
      <c r="I237" s="33" t="s">
        <v>216</v>
      </c>
      <c r="J237" s="15"/>
      <c r="K237" s="15"/>
      <c r="L237" s="120" t="s">
        <v>210</v>
      </c>
      <c r="M237" s="15" t="s">
        <v>577</v>
      </c>
      <c r="N237" s="15" t="s">
        <v>578</v>
      </c>
      <c r="O237" s="15"/>
      <c r="P237" s="15"/>
      <c r="Q237" s="15" t="b">
        <v>0</v>
      </c>
    </row>
    <row r="238" spans="1:17" ht="15" hidden="1" customHeight="1">
      <c r="A238" s="15">
        <v>3157</v>
      </c>
      <c r="B238" s="15">
        <v>237</v>
      </c>
      <c r="C238" s="15">
        <v>0</v>
      </c>
      <c r="D238" s="15">
        <v>195</v>
      </c>
      <c r="E238" s="15" t="b">
        <v>0</v>
      </c>
      <c r="F238" s="15" t="b">
        <v>0</v>
      </c>
      <c r="G238" s="33" t="s">
        <v>206</v>
      </c>
      <c r="H238" s="15" t="s">
        <v>579</v>
      </c>
      <c r="I238" s="33" t="s">
        <v>208</v>
      </c>
      <c r="J238" s="15"/>
      <c r="K238" s="15"/>
      <c r="L238" s="120" t="s">
        <v>220</v>
      </c>
      <c r="M238" s="15" t="s">
        <v>580</v>
      </c>
      <c r="N238" s="15" t="s">
        <v>581</v>
      </c>
      <c r="O238" s="15"/>
      <c r="P238" s="15"/>
      <c r="Q238" s="15" t="b">
        <v>0</v>
      </c>
    </row>
    <row r="239" spans="1:17" ht="15" hidden="1" customHeight="1">
      <c r="A239" s="15">
        <v>3158</v>
      </c>
      <c r="B239" s="15">
        <v>238</v>
      </c>
      <c r="C239" s="15">
        <v>0</v>
      </c>
      <c r="D239" s="15">
        <v>195</v>
      </c>
      <c r="E239" s="15" t="b">
        <v>0</v>
      </c>
      <c r="F239" s="15" t="b">
        <v>0</v>
      </c>
      <c r="G239" s="33" t="s">
        <v>206</v>
      </c>
      <c r="H239" s="15" t="s">
        <v>579</v>
      </c>
      <c r="I239" s="33" t="s">
        <v>213</v>
      </c>
      <c r="J239" s="15"/>
      <c r="K239" s="15"/>
      <c r="L239" s="120" t="s">
        <v>220</v>
      </c>
      <c r="M239" s="15" t="s">
        <v>582</v>
      </c>
      <c r="N239" s="15" t="s">
        <v>583</v>
      </c>
      <c r="O239" s="15"/>
      <c r="P239" s="15"/>
      <c r="Q239" s="15" t="b">
        <v>0</v>
      </c>
    </row>
    <row r="240" spans="1:17" ht="15" hidden="1" customHeight="1">
      <c r="A240" s="15">
        <v>3159</v>
      </c>
      <c r="B240" s="15">
        <v>239</v>
      </c>
      <c r="C240" s="15">
        <v>0</v>
      </c>
      <c r="D240" s="15">
        <v>195</v>
      </c>
      <c r="E240" s="15" t="b">
        <v>0</v>
      </c>
      <c r="F240" s="15" t="b">
        <v>0</v>
      </c>
      <c r="G240" s="33" t="s">
        <v>206</v>
      </c>
      <c r="H240" s="15" t="s">
        <v>579</v>
      </c>
      <c r="I240" s="33" t="s">
        <v>216</v>
      </c>
      <c r="J240" s="15"/>
      <c r="K240" s="15"/>
      <c r="L240" s="120" t="s">
        <v>220</v>
      </c>
      <c r="M240" s="15" t="s">
        <v>584</v>
      </c>
      <c r="N240" s="15" t="s">
        <v>585</v>
      </c>
      <c r="O240" s="15"/>
      <c r="P240" s="15"/>
      <c r="Q240" s="15" t="b">
        <v>0</v>
      </c>
    </row>
    <row r="241" spans="1:17" ht="15" hidden="1" customHeight="1">
      <c r="A241" s="15">
        <v>3160</v>
      </c>
      <c r="B241" s="15">
        <v>240</v>
      </c>
      <c r="C241" s="15">
        <v>0</v>
      </c>
      <c r="D241" s="15">
        <v>195</v>
      </c>
      <c r="E241" s="15" t="b">
        <v>0</v>
      </c>
      <c r="F241" s="15" t="b">
        <v>0</v>
      </c>
      <c r="G241" s="33" t="s">
        <v>206</v>
      </c>
      <c r="H241" s="15" t="s">
        <v>586</v>
      </c>
      <c r="I241" s="33" t="s">
        <v>208</v>
      </c>
      <c r="J241" s="15"/>
      <c r="K241" s="15"/>
      <c r="L241" s="120" t="s">
        <v>220</v>
      </c>
      <c r="M241" s="15" t="s">
        <v>587</v>
      </c>
      <c r="N241" s="15" t="s">
        <v>588</v>
      </c>
      <c r="O241" s="15"/>
      <c r="P241" s="15"/>
      <c r="Q241" s="15" t="b">
        <v>0</v>
      </c>
    </row>
    <row r="242" spans="1:17" ht="15" hidden="1" customHeight="1">
      <c r="A242" s="15">
        <v>3161</v>
      </c>
      <c r="B242" s="15">
        <v>241</v>
      </c>
      <c r="C242" s="15">
        <v>0</v>
      </c>
      <c r="D242" s="15">
        <v>195</v>
      </c>
      <c r="E242" s="15" t="b">
        <v>0</v>
      </c>
      <c r="F242" s="15" t="b">
        <v>0</v>
      </c>
      <c r="G242" s="33" t="s">
        <v>206</v>
      </c>
      <c r="H242" s="15" t="s">
        <v>586</v>
      </c>
      <c r="I242" s="33" t="s">
        <v>213</v>
      </c>
      <c r="J242" s="15"/>
      <c r="K242" s="15"/>
      <c r="L242" s="120" t="s">
        <v>220</v>
      </c>
      <c r="M242" s="15" t="s">
        <v>589</v>
      </c>
      <c r="N242" s="15" t="s">
        <v>590</v>
      </c>
      <c r="O242" s="15"/>
      <c r="P242" s="15"/>
      <c r="Q242" s="15" t="b">
        <v>0</v>
      </c>
    </row>
    <row r="243" spans="1:17" ht="15" hidden="1" customHeight="1">
      <c r="A243" s="15">
        <v>3162</v>
      </c>
      <c r="B243" s="15">
        <v>242</v>
      </c>
      <c r="C243" s="15">
        <v>0</v>
      </c>
      <c r="D243" s="15">
        <v>195</v>
      </c>
      <c r="E243" s="15" t="b">
        <v>0</v>
      </c>
      <c r="F243" s="15" t="b">
        <v>0</v>
      </c>
      <c r="G243" s="33" t="s">
        <v>206</v>
      </c>
      <c r="H243" s="15" t="s">
        <v>586</v>
      </c>
      <c r="I243" s="33" t="s">
        <v>216</v>
      </c>
      <c r="J243" s="15"/>
      <c r="K243" s="15"/>
      <c r="L243" s="120" t="s">
        <v>220</v>
      </c>
      <c r="M243" s="15" t="s">
        <v>591</v>
      </c>
      <c r="N243" s="15" t="s">
        <v>592</v>
      </c>
      <c r="O243" s="15"/>
      <c r="P243" s="15"/>
      <c r="Q243" s="15" t="b">
        <v>0</v>
      </c>
    </row>
    <row r="244" spans="1:17" ht="15" hidden="1" customHeight="1">
      <c r="A244" s="15">
        <v>3163</v>
      </c>
      <c r="B244" s="15">
        <v>243</v>
      </c>
      <c r="C244" s="15">
        <v>0</v>
      </c>
      <c r="D244" s="15">
        <v>195</v>
      </c>
      <c r="E244" s="15" t="b">
        <v>1</v>
      </c>
      <c r="F244" s="15" t="b">
        <v>0</v>
      </c>
      <c r="G244" s="33" t="s">
        <v>206</v>
      </c>
      <c r="H244" s="15" t="s">
        <v>593</v>
      </c>
      <c r="I244" s="33" t="s">
        <v>208</v>
      </c>
      <c r="J244" s="15"/>
      <c r="K244" s="15"/>
      <c r="L244" s="120" t="s">
        <v>210</v>
      </c>
      <c r="M244" s="15" t="s">
        <v>594</v>
      </c>
      <c r="N244" s="15" t="s">
        <v>595</v>
      </c>
      <c r="O244" s="15"/>
      <c r="P244" s="15"/>
      <c r="Q244" s="15" t="b">
        <v>0</v>
      </c>
    </row>
    <row r="245" spans="1:17" ht="15" hidden="1" customHeight="1">
      <c r="A245" s="15">
        <v>3164</v>
      </c>
      <c r="B245" s="15">
        <v>244</v>
      </c>
      <c r="C245" s="15">
        <v>0</v>
      </c>
      <c r="D245" s="15">
        <v>195</v>
      </c>
      <c r="E245" s="15" t="b">
        <v>1</v>
      </c>
      <c r="F245" s="15" t="b">
        <v>0</v>
      </c>
      <c r="G245" s="33" t="s">
        <v>206</v>
      </c>
      <c r="H245" s="15" t="s">
        <v>593</v>
      </c>
      <c r="I245" s="33" t="s">
        <v>213</v>
      </c>
      <c r="J245" s="15"/>
      <c r="K245" s="15"/>
      <c r="L245" s="120" t="s">
        <v>210</v>
      </c>
      <c r="M245" s="15" t="s">
        <v>596</v>
      </c>
      <c r="N245" s="15" t="s">
        <v>597</v>
      </c>
      <c r="O245" s="15"/>
      <c r="P245" s="15"/>
      <c r="Q245" s="15" t="b">
        <v>0</v>
      </c>
    </row>
    <row r="246" spans="1:17" ht="15" hidden="1" customHeight="1">
      <c r="A246" s="15">
        <v>3165</v>
      </c>
      <c r="B246" s="15">
        <v>245</v>
      </c>
      <c r="C246" s="15">
        <v>0</v>
      </c>
      <c r="D246" s="15">
        <v>195</v>
      </c>
      <c r="E246" s="15" t="b">
        <v>1</v>
      </c>
      <c r="F246" s="15" t="b">
        <v>0</v>
      </c>
      <c r="G246" s="33" t="s">
        <v>206</v>
      </c>
      <c r="H246" s="15" t="s">
        <v>593</v>
      </c>
      <c r="I246" s="33" t="s">
        <v>216</v>
      </c>
      <c r="J246" s="15"/>
      <c r="K246" s="15"/>
      <c r="L246" s="120" t="s">
        <v>210</v>
      </c>
      <c r="M246" s="15" t="s">
        <v>598</v>
      </c>
      <c r="N246" s="15" t="s">
        <v>599</v>
      </c>
      <c r="O246" s="15"/>
      <c r="P246" s="15"/>
      <c r="Q246" s="15" t="b">
        <v>0</v>
      </c>
    </row>
    <row r="247" spans="1:17" ht="15" hidden="1" customHeight="1">
      <c r="A247" s="15">
        <v>3166</v>
      </c>
      <c r="B247" s="15">
        <v>246</v>
      </c>
      <c r="C247" s="15">
        <v>0</v>
      </c>
      <c r="D247" s="15">
        <v>195</v>
      </c>
      <c r="E247" s="15" t="b">
        <v>0</v>
      </c>
      <c r="F247" s="15" t="b">
        <v>0</v>
      </c>
      <c r="G247" s="33" t="s">
        <v>206</v>
      </c>
      <c r="H247" s="15" t="s">
        <v>600</v>
      </c>
      <c r="I247" s="33" t="s">
        <v>208</v>
      </c>
      <c r="J247" s="15"/>
      <c r="K247" s="15"/>
      <c r="L247" s="120" t="s">
        <v>220</v>
      </c>
      <c r="M247" s="15" t="s">
        <v>601</v>
      </c>
      <c r="N247" s="15" t="s">
        <v>602</v>
      </c>
      <c r="O247" s="15"/>
      <c r="P247" s="15"/>
      <c r="Q247" s="15" t="b">
        <v>0</v>
      </c>
    </row>
    <row r="248" spans="1:17" ht="15" hidden="1" customHeight="1">
      <c r="A248" s="15">
        <v>3167</v>
      </c>
      <c r="B248" s="15">
        <v>247</v>
      </c>
      <c r="C248" s="15">
        <v>0</v>
      </c>
      <c r="D248" s="15">
        <v>195</v>
      </c>
      <c r="E248" s="15" t="b">
        <v>0</v>
      </c>
      <c r="F248" s="15" t="b">
        <v>0</v>
      </c>
      <c r="G248" s="33" t="s">
        <v>206</v>
      </c>
      <c r="H248" s="15" t="s">
        <v>600</v>
      </c>
      <c r="I248" s="33" t="s">
        <v>213</v>
      </c>
      <c r="J248" s="15"/>
      <c r="K248" s="15"/>
      <c r="L248" s="120" t="s">
        <v>220</v>
      </c>
      <c r="M248" s="15" t="s">
        <v>603</v>
      </c>
      <c r="N248" s="15" t="s">
        <v>604</v>
      </c>
      <c r="O248" s="15"/>
      <c r="P248" s="15"/>
      <c r="Q248" s="15" t="b">
        <v>0</v>
      </c>
    </row>
    <row r="249" spans="1:17" ht="15" hidden="1" customHeight="1">
      <c r="A249" s="15">
        <v>3168</v>
      </c>
      <c r="B249" s="15">
        <v>248</v>
      </c>
      <c r="C249" s="15">
        <v>0</v>
      </c>
      <c r="D249" s="15">
        <v>195</v>
      </c>
      <c r="E249" s="15" t="b">
        <v>0</v>
      </c>
      <c r="F249" s="15" t="b">
        <v>0</v>
      </c>
      <c r="G249" s="33" t="s">
        <v>206</v>
      </c>
      <c r="H249" s="15" t="s">
        <v>600</v>
      </c>
      <c r="I249" s="33" t="s">
        <v>216</v>
      </c>
      <c r="J249" s="15"/>
      <c r="K249" s="15"/>
      <c r="L249" s="120" t="s">
        <v>220</v>
      </c>
      <c r="M249" s="15" t="s">
        <v>605</v>
      </c>
      <c r="N249" s="15" t="s">
        <v>606</v>
      </c>
      <c r="O249" s="15"/>
      <c r="P249" s="15"/>
      <c r="Q249" s="15" t="b">
        <v>0</v>
      </c>
    </row>
    <row r="250" spans="1:17" ht="15" hidden="1" customHeight="1">
      <c r="A250" s="15">
        <v>3169</v>
      </c>
      <c r="B250" s="15">
        <v>249</v>
      </c>
      <c r="C250" s="15">
        <v>0</v>
      </c>
      <c r="D250" s="15">
        <v>195</v>
      </c>
      <c r="E250" s="15" t="b">
        <v>1</v>
      </c>
      <c r="F250" s="15" t="b">
        <v>0</v>
      </c>
      <c r="G250" s="33" t="s">
        <v>206</v>
      </c>
      <c r="H250" s="15" t="s">
        <v>607</v>
      </c>
      <c r="I250" s="33" t="s">
        <v>208</v>
      </c>
      <c r="J250" s="15"/>
      <c r="K250" s="15"/>
      <c r="L250" s="120" t="s">
        <v>210</v>
      </c>
      <c r="M250" s="15" t="s">
        <v>608</v>
      </c>
      <c r="N250" s="15" t="s">
        <v>609</v>
      </c>
      <c r="O250" s="15"/>
      <c r="P250" s="15"/>
      <c r="Q250" s="15" t="b">
        <v>0</v>
      </c>
    </row>
    <row r="251" spans="1:17" ht="15" hidden="1" customHeight="1">
      <c r="A251" s="15">
        <v>3170</v>
      </c>
      <c r="B251" s="15">
        <v>250</v>
      </c>
      <c r="C251" s="15">
        <v>0</v>
      </c>
      <c r="D251" s="15">
        <v>195</v>
      </c>
      <c r="E251" s="15" t="b">
        <v>1</v>
      </c>
      <c r="F251" s="15" t="b">
        <v>0</v>
      </c>
      <c r="G251" s="33" t="s">
        <v>206</v>
      </c>
      <c r="H251" s="15" t="s">
        <v>607</v>
      </c>
      <c r="I251" s="33" t="s">
        <v>213</v>
      </c>
      <c r="J251" s="15"/>
      <c r="K251" s="15"/>
      <c r="L251" s="120" t="s">
        <v>210</v>
      </c>
      <c r="M251" s="15" t="s">
        <v>610</v>
      </c>
      <c r="N251" s="15" t="s">
        <v>611</v>
      </c>
      <c r="O251" s="15"/>
      <c r="P251" s="15"/>
      <c r="Q251" s="15" t="b">
        <v>0</v>
      </c>
    </row>
    <row r="252" spans="1:17" ht="15" hidden="1" customHeight="1">
      <c r="A252" s="15">
        <v>3171</v>
      </c>
      <c r="B252" s="15">
        <v>251</v>
      </c>
      <c r="C252" s="15">
        <v>0</v>
      </c>
      <c r="D252" s="15">
        <v>195</v>
      </c>
      <c r="E252" s="15" t="b">
        <v>1</v>
      </c>
      <c r="F252" s="15" t="b">
        <v>0</v>
      </c>
      <c r="G252" s="33" t="s">
        <v>206</v>
      </c>
      <c r="H252" s="15" t="s">
        <v>607</v>
      </c>
      <c r="I252" s="33" t="s">
        <v>216</v>
      </c>
      <c r="J252" s="15"/>
      <c r="K252" s="15"/>
      <c r="L252" s="120" t="s">
        <v>210</v>
      </c>
      <c r="M252" s="15" t="s">
        <v>612</v>
      </c>
      <c r="N252" s="15" t="s">
        <v>613</v>
      </c>
      <c r="O252" s="15"/>
      <c r="P252" s="15"/>
      <c r="Q252" s="15" t="b">
        <v>0</v>
      </c>
    </row>
    <row r="253" spans="1:17" ht="15" hidden="1" customHeight="1">
      <c r="A253" s="15">
        <v>3172</v>
      </c>
      <c r="B253" s="15">
        <v>252</v>
      </c>
      <c r="C253" s="15">
        <v>0</v>
      </c>
      <c r="D253" s="15">
        <v>195</v>
      </c>
      <c r="E253" s="15" t="b">
        <v>0</v>
      </c>
      <c r="F253" s="15" t="b">
        <v>0</v>
      </c>
      <c r="G253" s="33" t="s">
        <v>206</v>
      </c>
      <c r="H253" s="15" t="s">
        <v>614</v>
      </c>
      <c r="I253" s="33" t="s">
        <v>208</v>
      </c>
      <c r="J253" s="15"/>
      <c r="K253" s="15"/>
      <c r="L253" s="120" t="s">
        <v>220</v>
      </c>
      <c r="M253" s="15" t="s">
        <v>615</v>
      </c>
      <c r="N253" s="15" t="s">
        <v>616</v>
      </c>
      <c r="O253" s="15"/>
      <c r="P253" s="15"/>
      <c r="Q253" s="15" t="b">
        <v>0</v>
      </c>
    </row>
    <row r="254" spans="1:17" ht="15" hidden="1" customHeight="1">
      <c r="A254" s="15">
        <v>3173</v>
      </c>
      <c r="B254" s="15">
        <v>253</v>
      </c>
      <c r="C254" s="15">
        <v>0</v>
      </c>
      <c r="D254" s="15">
        <v>195</v>
      </c>
      <c r="E254" s="15" t="b">
        <v>0</v>
      </c>
      <c r="F254" s="15" t="b">
        <v>0</v>
      </c>
      <c r="G254" s="33" t="s">
        <v>206</v>
      </c>
      <c r="H254" s="15" t="s">
        <v>614</v>
      </c>
      <c r="I254" s="33" t="s">
        <v>213</v>
      </c>
      <c r="J254" s="15"/>
      <c r="K254" s="15"/>
      <c r="L254" s="120" t="s">
        <v>220</v>
      </c>
      <c r="M254" s="15" t="s">
        <v>617</v>
      </c>
      <c r="N254" s="15" t="s">
        <v>618</v>
      </c>
      <c r="O254" s="15"/>
      <c r="P254" s="15"/>
      <c r="Q254" s="15" t="b">
        <v>0</v>
      </c>
    </row>
    <row r="255" spans="1:17" ht="15" hidden="1" customHeight="1">
      <c r="A255" s="15">
        <v>3174</v>
      </c>
      <c r="B255" s="15">
        <v>254</v>
      </c>
      <c r="C255" s="15">
        <v>0</v>
      </c>
      <c r="D255" s="15">
        <v>195</v>
      </c>
      <c r="E255" s="15" t="b">
        <v>0</v>
      </c>
      <c r="F255" s="15" t="b">
        <v>0</v>
      </c>
      <c r="G255" s="33" t="s">
        <v>206</v>
      </c>
      <c r="H255" s="15" t="s">
        <v>614</v>
      </c>
      <c r="I255" s="33" t="s">
        <v>216</v>
      </c>
      <c r="J255" s="15"/>
      <c r="K255" s="15"/>
      <c r="L255" s="120" t="s">
        <v>220</v>
      </c>
      <c r="M255" s="15" t="s">
        <v>619</v>
      </c>
      <c r="N255" s="15" t="s">
        <v>620</v>
      </c>
      <c r="O255" s="15"/>
      <c r="P255" s="15"/>
      <c r="Q255" s="15" t="b">
        <v>0</v>
      </c>
    </row>
    <row r="256" spans="1:17" ht="15" hidden="1" customHeight="1">
      <c r="A256" s="15">
        <v>3175</v>
      </c>
      <c r="B256" s="15">
        <v>255</v>
      </c>
      <c r="C256" s="15">
        <v>0</v>
      </c>
      <c r="D256" s="15">
        <v>195</v>
      </c>
      <c r="E256" s="15" t="b">
        <v>0</v>
      </c>
      <c r="F256" s="15" t="b">
        <v>0</v>
      </c>
      <c r="G256" s="33" t="s">
        <v>206</v>
      </c>
      <c r="H256" s="15" t="s">
        <v>621</v>
      </c>
      <c r="I256" s="33" t="s">
        <v>208</v>
      </c>
      <c r="J256" s="15"/>
      <c r="K256" s="15"/>
      <c r="L256" s="120" t="s">
        <v>220</v>
      </c>
      <c r="M256" s="15" t="s">
        <v>622</v>
      </c>
      <c r="N256" s="15" t="s">
        <v>623</v>
      </c>
      <c r="O256" s="15"/>
      <c r="P256" s="15"/>
      <c r="Q256" s="15" t="b">
        <v>0</v>
      </c>
    </row>
    <row r="257" spans="1:17" ht="15" hidden="1" customHeight="1">
      <c r="A257" s="15">
        <v>3176</v>
      </c>
      <c r="B257" s="15">
        <v>256</v>
      </c>
      <c r="C257" s="15">
        <v>0</v>
      </c>
      <c r="D257" s="15">
        <v>195</v>
      </c>
      <c r="E257" s="15" t="b">
        <v>0</v>
      </c>
      <c r="F257" s="15" t="b">
        <v>0</v>
      </c>
      <c r="G257" s="33" t="s">
        <v>206</v>
      </c>
      <c r="H257" s="15" t="s">
        <v>621</v>
      </c>
      <c r="I257" s="33" t="s">
        <v>213</v>
      </c>
      <c r="J257" s="15"/>
      <c r="K257" s="15"/>
      <c r="L257" s="120" t="s">
        <v>220</v>
      </c>
      <c r="M257" s="15" t="s">
        <v>624</v>
      </c>
      <c r="N257" s="15" t="s">
        <v>625</v>
      </c>
      <c r="O257" s="15"/>
      <c r="P257" s="15"/>
      <c r="Q257" s="15" t="b">
        <v>0</v>
      </c>
    </row>
    <row r="258" spans="1:17" ht="15" hidden="1" customHeight="1">
      <c r="A258" s="15">
        <v>3177</v>
      </c>
      <c r="B258" s="15">
        <v>257</v>
      </c>
      <c r="C258" s="15">
        <v>0</v>
      </c>
      <c r="D258" s="15">
        <v>195</v>
      </c>
      <c r="E258" s="15" t="b">
        <v>0</v>
      </c>
      <c r="F258" s="15" t="b">
        <v>0</v>
      </c>
      <c r="G258" s="33" t="s">
        <v>206</v>
      </c>
      <c r="H258" s="15" t="s">
        <v>621</v>
      </c>
      <c r="I258" s="33" t="s">
        <v>216</v>
      </c>
      <c r="J258" s="15"/>
      <c r="K258" s="15"/>
      <c r="L258" s="120" t="s">
        <v>220</v>
      </c>
      <c r="M258" s="15" t="s">
        <v>626</v>
      </c>
      <c r="N258" s="15" t="s">
        <v>627</v>
      </c>
      <c r="O258" s="15"/>
      <c r="P258" s="15"/>
      <c r="Q258" s="15" t="b">
        <v>0</v>
      </c>
    </row>
    <row r="259" spans="1:17" ht="15" hidden="1" customHeight="1">
      <c r="A259" s="15">
        <v>3178</v>
      </c>
      <c r="B259" s="15">
        <v>258</v>
      </c>
      <c r="C259" s="15">
        <v>0</v>
      </c>
      <c r="D259" s="15">
        <v>195</v>
      </c>
      <c r="E259" s="15" t="b">
        <v>1</v>
      </c>
      <c r="F259" s="15" t="b">
        <v>0</v>
      </c>
      <c r="G259" s="33" t="s">
        <v>206</v>
      </c>
      <c r="H259" s="15" t="s">
        <v>628</v>
      </c>
      <c r="I259" s="33" t="s">
        <v>208</v>
      </c>
      <c r="J259" s="15"/>
      <c r="K259" s="15"/>
      <c r="L259" s="120" t="s">
        <v>210</v>
      </c>
      <c r="M259" s="15" t="s">
        <v>629</v>
      </c>
      <c r="N259" s="15" t="s">
        <v>630</v>
      </c>
      <c r="O259" s="15"/>
      <c r="P259" s="15"/>
      <c r="Q259" s="15" t="b">
        <v>0</v>
      </c>
    </row>
    <row r="260" spans="1:17" ht="15" hidden="1" customHeight="1">
      <c r="A260" s="15">
        <v>3179</v>
      </c>
      <c r="B260" s="15">
        <v>259</v>
      </c>
      <c r="C260" s="15">
        <v>0</v>
      </c>
      <c r="D260" s="15">
        <v>195</v>
      </c>
      <c r="E260" s="15" t="b">
        <v>1</v>
      </c>
      <c r="F260" s="15" t="b">
        <v>0</v>
      </c>
      <c r="G260" s="33" t="s">
        <v>206</v>
      </c>
      <c r="H260" s="15" t="s">
        <v>628</v>
      </c>
      <c r="I260" s="33" t="s">
        <v>213</v>
      </c>
      <c r="J260" s="15"/>
      <c r="K260" s="15"/>
      <c r="L260" s="120" t="s">
        <v>210</v>
      </c>
      <c r="M260" s="15" t="s">
        <v>631</v>
      </c>
      <c r="N260" s="15" t="s">
        <v>632</v>
      </c>
      <c r="O260" s="15"/>
      <c r="P260" s="15"/>
      <c r="Q260" s="15" t="b">
        <v>0</v>
      </c>
    </row>
    <row r="261" spans="1:17" ht="15" hidden="1" customHeight="1">
      <c r="A261" s="15">
        <v>3180</v>
      </c>
      <c r="B261" s="15">
        <v>260</v>
      </c>
      <c r="C261" s="15">
        <v>0</v>
      </c>
      <c r="D261" s="15">
        <v>195</v>
      </c>
      <c r="E261" s="15" t="b">
        <v>1</v>
      </c>
      <c r="F261" s="15" t="b">
        <v>0</v>
      </c>
      <c r="G261" s="33" t="s">
        <v>206</v>
      </c>
      <c r="H261" s="15" t="s">
        <v>628</v>
      </c>
      <c r="I261" s="33" t="s">
        <v>216</v>
      </c>
      <c r="J261" s="15"/>
      <c r="K261" s="15"/>
      <c r="L261" s="120" t="s">
        <v>210</v>
      </c>
      <c r="M261" s="15" t="s">
        <v>633</v>
      </c>
      <c r="N261" s="15" t="s">
        <v>634</v>
      </c>
      <c r="O261" s="15"/>
      <c r="P261" s="15"/>
      <c r="Q261" s="15" t="b">
        <v>0</v>
      </c>
    </row>
    <row r="262" spans="1:17" ht="15" hidden="1" customHeight="1">
      <c r="A262" s="15">
        <v>3181</v>
      </c>
      <c r="B262" s="15">
        <v>261</v>
      </c>
      <c r="C262" s="15">
        <v>0</v>
      </c>
      <c r="D262" s="15">
        <v>195</v>
      </c>
      <c r="E262" s="15" t="b">
        <v>0</v>
      </c>
      <c r="F262" s="15" t="b">
        <v>0</v>
      </c>
      <c r="G262" s="33" t="s">
        <v>206</v>
      </c>
      <c r="H262" s="15" t="s">
        <v>635</v>
      </c>
      <c r="I262" s="33" t="s">
        <v>208</v>
      </c>
      <c r="J262" s="15"/>
      <c r="K262" s="15"/>
      <c r="L262" s="120" t="s">
        <v>220</v>
      </c>
      <c r="M262" s="15" t="s">
        <v>636</v>
      </c>
      <c r="N262" s="15" t="s">
        <v>637</v>
      </c>
      <c r="O262" s="15"/>
      <c r="P262" s="15"/>
      <c r="Q262" s="15" t="b">
        <v>0</v>
      </c>
    </row>
    <row r="263" spans="1:17" ht="15" hidden="1" customHeight="1">
      <c r="A263" s="15">
        <v>3182</v>
      </c>
      <c r="B263" s="15">
        <v>262</v>
      </c>
      <c r="C263" s="15">
        <v>0</v>
      </c>
      <c r="D263" s="15">
        <v>195</v>
      </c>
      <c r="E263" s="15" t="b">
        <v>0</v>
      </c>
      <c r="F263" s="15" t="b">
        <v>0</v>
      </c>
      <c r="G263" s="33" t="s">
        <v>206</v>
      </c>
      <c r="H263" s="15" t="s">
        <v>635</v>
      </c>
      <c r="I263" s="33" t="s">
        <v>213</v>
      </c>
      <c r="J263" s="15"/>
      <c r="K263" s="15"/>
      <c r="L263" s="120" t="s">
        <v>220</v>
      </c>
      <c r="M263" s="15" t="s">
        <v>638</v>
      </c>
      <c r="N263" s="15" t="s">
        <v>639</v>
      </c>
      <c r="O263" s="15"/>
      <c r="P263" s="15"/>
      <c r="Q263" s="15" t="b">
        <v>0</v>
      </c>
    </row>
    <row r="264" spans="1:17" ht="15" hidden="1" customHeight="1">
      <c r="A264" s="15">
        <v>3183</v>
      </c>
      <c r="B264" s="15">
        <v>263</v>
      </c>
      <c r="C264" s="15">
        <v>0</v>
      </c>
      <c r="D264" s="15">
        <v>195</v>
      </c>
      <c r="E264" s="15" t="b">
        <v>0</v>
      </c>
      <c r="F264" s="15" t="b">
        <v>0</v>
      </c>
      <c r="G264" s="33" t="s">
        <v>206</v>
      </c>
      <c r="H264" s="15" t="s">
        <v>635</v>
      </c>
      <c r="I264" s="33" t="s">
        <v>216</v>
      </c>
      <c r="J264" s="15"/>
      <c r="K264" s="15"/>
      <c r="L264" s="120" t="s">
        <v>220</v>
      </c>
      <c r="M264" s="15" t="s">
        <v>640</v>
      </c>
      <c r="N264" s="15" t="s">
        <v>641</v>
      </c>
      <c r="O264" s="15"/>
      <c r="P264" s="15"/>
      <c r="Q264" s="15" t="b">
        <v>0</v>
      </c>
    </row>
    <row r="265" spans="1:17" ht="15" hidden="1" customHeight="1">
      <c r="A265" s="15">
        <v>3184</v>
      </c>
      <c r="B265" s="15">
        <v>264</v>
      </c>
      <c r="C265" s="15">
        <v>0</v>
      </c>
      <c r="D265" s="15">
        <v>195</v>
      </c>
      <c r="E265" s="15" t="b">
        <v>0</v>
      </c>
      <c r="F265" s="15" t="b">
        <v>0</v>
      </c>
      <c r="G265" s="33" t="s">
        <v>206</v>
      </c>
      <c r="H265" s="15" t="s">
        <v>642</v>
      </c>
      <c r="I265" s="33" t="s">
        <v>208</v>
      </c>
      <c r="J265" s="15"/>
      <c r="K265" s="15"/>
      <c r="L265" s="120" t="s">
        <v>220</v>
      </c>
      <c r="M265" s="15" t="s">
        <v>643</v>
      </c>
      <c r="N265" s="15" t="s">
        <v>644</v>
      </c>
      <c r="O265" s="15"/>
      <c r="P265" s="15"/>
      <c r="Q265" s="15" t="b">
        <v>0</v>
      </c>
    </row>
    <row r="266" spans="1:17" ht="15" hidden="1" customHeight="1">
      <c r="A266" s="15">
        <v>3185</v>
      </c>
      <c r="B266" s="15">
        <v>265</v>
      </c>
      <c r="C266" s="15">
        <v>0</v>
      </c>
      <c r="D266" s="15">
        <v>195</v>
      </c>
      <c r="E266" s="15" t="b">
        <v>0</v>
      </c>
      <c r="F266" s="15" t="b">
        <v>0</v>
      </c>
      <c r="G266" s="33" t="s">
        <v>206</v>
      </c>
      <c r="H266" s="15" t="s">
        <v>642</v>
      </c>
      <c r="I266" s="33" t="s">
        <v>213</v>
      </c>
      <c r="J266" s="15"/>
      <c r="K266" s="15"/>
      <c r="L266" s="120" t="s">
        <v>220</v>
      </c>
      <c r="M266" s="15" t="s">
        <v>645</v>
      </c>
      <c r="N266" s="15" t="s">
        <v>646</v>
      </c>
      <c r="O266" s="15"/>
      <c r="P266" s="15"/>
      <c r="Q266" s="15" t="b">
        <v>0</v>
      </c>
    </row>
    <row r="267" spans="1:17" ht="15" hidden="1" customHeight="1">
      <c r="A267" s="15">
        <v>3186</v>
      </c>
      <c r="B267" s="15">
        <v>266</v>
      </c>
      <c r="C267" s="15">
        <v>0</v>
      </c>
      <c r="D267" s="15">
        <v>195</v>
      </c>
      <c r="E267" s="15" t="b">
        <v>0</v>
      </c>
      <c r="F267" s="15" t="b">
        <v>0</v>
      </c>
      <c r="G267" s="33" t="s">
        <v>206</v>
      </c>
      <c r="H267" s="15" t="s">
        <v>642</v>
      </c>
      <c r="I267" s="33" t="s">
        <v>216</v>
      </c>
      <c r="J267" s="15"/>
      <c r="K267" s="15"/>
      <c r="L267" s="120" t="s">
        <v>220</v>
      </c>
      <c r="M267" s="15" t="s">
        <v>647</v>
      </c>
      <c r="N267" s="15" t="s">
        <v>648</v>
      </c>
      <c r="O267" s="15"/>
      <c r="P267" s="15"/>
      <c r="Q267" s="15" t="b">
        <v>0</v>
      </c>
    </row>
    <row r="268" spans="1:17" ht="15" hidden="1" customHeight="1">
      <c r="A268" s="15">
        <v>3187</v>
      </c>
      <c r="B268" s="15">
        <v>267</v>
      </c>
      <c r="C268" s="15">
        <v>0</v>
      </c>
      <c r="D268" s="15">
        <v>195</v>
      </c>
      <c r="E268" s="15" t="b">
        <v>1</v>
      </c>
      <c r="F268" s="15" t="b">
        <v>0</v>
      </c>
      <c r="G268" s="33" t="s">
        <v>206</v>
      </c>
      <c r="H268" s="15" t="s">
        <v>649</v>
      </c>
      <c r="I268" s="33" t="s">
        <v>208</v>
      </c>
      <c r="J268" s="15"/>
      <c r="K268" s="15"/>
      <c r="L268" s="120" t="s">
        <v>210</v>
      </c>
      <c r="M268" s="15" t="s">
        <v>650</v>
      </c>
      <c r="N268" s="15" t="s">
        <v>651</v>
      </c>
      <c r="O268" s="15"/>
      <c r="P268" s="15"/>
      <c r="Q268" s="15" t="b">
        <v>0</v>
      </c>
    </row>
    <row r="269" spans="1:17" ht="15" hidden="1" customHeight="1">
      <c r="A269" s="15">
        <v>3188</v>
      </c>
      <c r="B269" s="15">
        <v>268</v>
      </c>
      <c r="C269" s="15">
        <v>0</v>
      </c>
      <c r="D269" s="15">
        <v>195</v>
      </c>
      <c r="E269" s="15" t="b">
        <v>1</v>
      </c>
      <c r="F269" s="15" t="b">
        <v>0</v>
      </c>
      <c r="G269" s="33" t="s">
        <v>206</v>
      </c>
      <c r="H269" s="15" t="s">
        <v>649</v>
      </c>
      <c r="I269" s="33" t="s">
        <v>213</v>
      </c>
      <c r="J269" s="15"/>
      <c r="K269" s="15"/>
      <c r="L269" s="120" t="s">
        <v>210</v>
      </c>
      <c r="M269" s="15" t="s">
        <v>652</v>
      </c>
      <c r="N269" s="15" t="s">
        <v>653</v>
      </c>
      <c r="O269" s="15"/>
      <c r="P269" s="15"/>
      <c r="Q269" s="15" t="b">
        <v>0</v>
      </c>
    </row>
    <row r="270" spans="1:17" ht="15" hidden="1" customHeight="1">
      <c r="A270" s="15">
        <v>3189</v>
      </c>
      <c r="B270" s="15">
        <v>269</v>
      </c>
      <c r="C270" s="15">
        <v>0</v>
      </c>
      <c r="D270" s="15">
        <v>195</v>
      </c>
      <c r="E270" s="15" t="b">
        <v>1</v>
      </c>
      <c r="F270" s="15" t="b">
        <v>0</v>
      </c>
      <c r="G270" s="33" t="s">
        <v>206</v>
      </c>
      <c r="H270" s="15" t="s">
        <v>649</v>
      </c>
      <c r="I270" s="33" t="s">
        <v>216</v>
      </c>
      <c r="J270" s="15"/>
      <c r="K270" s="15"/>
      <c r="L270" s="120" t="s">
        <v>210</v>
      </c>
      <c r="M270" s="15" t="s">
        <v>654</v>
      </c>
      <c r="N270" s="15" t="s">
        <v>655</v>
      </c>
      <c r="O270" s="15"/>
      <c r="P270" s="15"/>
      <c r="Q270" s="15" t="b">
        <v>0</v>
      </c>
    </row>
    <row r="271" spans="1:17" ht="15" hidden="1" customHeight="1">
      <c r="A271" s="15">
        <v>3190</v>
      </c>
      <c r="B271" s="15">
        <v>270</v>
      </c>
      <c r="C271" s="15">
        <v>0</v>
      </c>
      <c r="D271" s="15">
        <v>195</v>
      </c>
      <c r="E271" s="15" t="b">
        <v>0</v>
      </c>
      <c r="F271" s="15" t="b">
        <v>0</v>
      </c>
      <c r="G271" s="33" t="s">
        <v>206</v>
      </c>
      <c r="H271" s="15" t="s">
        <v>656</v>
      </c>
      <c r="I271" s="33" t="s">
        <v>208</v>
      </c>
      <c r="J271" s="15"/>
      <c r="K271" s="15"/>
      <c r="L271" s="120" t="s">
        <v>220</v>
      </c>
      <c r="M271" s="15" t="s">
        <v>657</v>
      </c>
      <c r="N271" s="15" t="s">
        <v>658</v>
      </c>
      <c r="O271" s="15"/>
      <c r="P271" s="15"/>
      <c r="Q271" s="15" t="b">
        <v>0</v>
      </c>
    </row>
    <row r="272" spans="1:17" ht="15" hidden="1" customHeight="1">
      <c r="A272" s="15">
        <v>3191</v>
      </c>
      <c r="B272" s="15">
        <v>271</v>
      </c>
      <c r="C272" s="15">
        <v>0</v>
      </c>
      <c r="D272" s="15">
        <v>195</v>
      </c>
      <c r="E272" s="15" t="b">
        <v>0</v>
      </c>
      <c r="F272" s="15" t="b">
        <v>0</v>
      </c>
      <c r="G272" s="33" t="s">
        <v>206</v>
      </c>
      <c r="H272" s="15" t="s">
        <v>656</v>
      </c>
      <c r="I272" s="33" t="s">
        <v>213</v>
      </c>
      <c r="J272" s="15"/>
      <c r="K272" s="15"/>
      <c r="L272" s="120" t="s">
        <v>220</v>
      </c>
      <c r="M272" s="15" t="s">
        <v>659</v>
      </c>
      <c r="N272" s="15" t="s">
        <v>660</v>
      </c>
      <c r="O272" s="15"/>
      <c r="P272" s="15"/>
      <c r="Q272" s="15" t="b">
        <v>0</v>
      </c>
    </row>
    <row r="273" spans="1:17" ht="15" hidden="1" customHeight="1">
      <c r="A273" s="15">
        <v>3192</v>
      </c>
      <c r="B273" s="15">
        <v>272</v>
      </c>
      <c r="C273" s="15">
        <v>0</v>
      </c>
      <c r="D273" s="15">
        <v>195</v>
      </c>
      <c r="E273" s="15" t="b">
        <v>0</v>
      </c>
      <c r="F273" s="15" t="b">
        <v>0</v>
      </c>
      <c r="G273" s="33" t="s">
        <v>206</v>
      </c>
      <c r="H273" s="15" t="s">
        <v>656</v>
      </c>
      <c r="I273" s="33" t="s">
        <v>216</v>
      </c>
      <c r="J273" s="15"/>
      <c r="K273" s="15"/>
      <c r="L273" s="120" t="s">
        <v>220</v>
      </c>
      <c r="M273" s="15" t="s">
        <v>661</v>
      </c>
      <c r="N273" s="15" t="s">
        <v>662</v>
      </c>
      <c r="O273" s="15"/>
      <c r="P273" s="15"/>
      <c r="Q273" s="15" t="b">
        <v>0</v>
      </c>
    </row>
    <row r="274" spans="1:17" ht="15" hidden="1" customHeight="1">
      <c r="A274" s="15">
        <v>3193</v>
      </c>
      <c r="B274" s="15">
        <v>273</v>
      </c>
      <c r="C274" s="15">
        <v>0</v>
      </c>
      <c r="D274" s="15">
        <v>193</v>
      </c>
      <c r="E274" s="15" t="b">
        <v>1</v>
      </c>
      <c r="F274" s="15" t="b">
        <v>0</v>
      </c>
      <c r="G274" s="33" t="s">
        <v>206</v>
      </c>
      <c r="H274" s="15" t="s">
        <v>663</v>
      </c>
      <c r="I274" s="33" t="s">
        <v>208</v>
      </c>
      <c r="J274" s="15"/>
      <c r="K274" s="15"/>
      <c r="L274" s="120" t="s">
        <v>210</v>
      </c>
      <c r="M274" s="15" t="s">
        <v>664</v>
      </c>
      <c r="N274" s="15" t="s">
        <v>665</v>
      </c>
      <c r="O274" s="15"/>
      <c r="P274" s="15"/>
      <c r="Q274" s="15" t="b">
        <v>0</v>
      </c>
    </row>
    <row r="275" spans="1:17" ht="15" hidden="1" customHeight="1">
      <c r="A275" s="15">
        <v>3194</v>
      </c>
      <c r="B275" s="15">
        <v>274</v>
      </c>
      <c r="C275" s="15">
        <v>0</v>
      </c>
      <c r="D275" s="15">
        <v>193</v>
      </c>
      <c r="E275" s="15" t="b">
        <v>1</v>
      </c>
      <c r="F275" s="15" t="b">
        <v>0</v>
      </c>
      <c r="G275" s="33" t="s">
        <v>206</v>
      </c>
      <c r="H275" s="15" t="s">
        <v>663</v>
      </c>
      <c r="I275" s="33" t="s">
        <v>213</v>
      </c>
      <c r="J275" s="15"/>
      <c r="K275" s="15"/>
      <c r="L275" s="120" t="s">
        <v>210</v>
      </c>
      <c r="M275" s="15" t="s">
        <v>666</v>
      </c>
      <c r="N275" s="15" t="s">
        <v>667</v>
      </c>
      <c r="O275" s="15"/>
      <c r="P275" s="15"/>
      <c r="Q275" s="15" t="b">
        <v>0</v>
      </c>
    </row>
    <row r="276" spans="1:17" ht="15" hidden="1" customHeight="1">
      <c r="A276" s="15">
        <v>3195</v>
      </c>
      <c r="B276" s="15">
        <v>275</v>
      </c>
      <c r="C276" s="15">
        <v>0</v>
      </c>
      <c r="D276" s="15">
        <v>193</v>
      </c>
      <c r="E276" s="15" t="b">
        <v>1</v>
      </c>
      <c r="F276" s="15" t="b">
        <v>0</v>
      </c>
      <c r="G276" s="33" t="s">
        <v>206</v>
      </c>
      <c r="H276" s="15" t="s">
        <v>663</v>
      </c>
      <c r="I276" s="33" t="s">
        <v>216</v>
      </c>
      <c r="J276" s="15"/>
      <c r="K276" s="15"/>
      <c r="L276" s="120" t="s">
        <v>210</v>
      </c>
      <c r="M276" s="15" t="s">
        <v>668</v>
      </c>
      <c r="N276" s="15" t="s">
        <v>669</v>
      </c>
      <c r="O276" s="15"/>
      <c r="P276" s="15"/>
      <c r="Q276" s="15" t="b">
        <v>0</v>
      </c>
    </row>
    <row r="277" spans="1:17" ht="15" hidden="1" customHeight="1">
      <c r="A277" s="15">
        <v>3196</v>
      </c>
      <c r="B277" s="15">
        <v>276</v>
      </c>
      <c r="C277" s="15">
        <v>0</v>
      </c>
      <c r="D277" s="15">
        <v>193</v>
      </c>
      <c r="E277" s="15" t="b">
        <v>0</v>
      </c>
      <c r="F277" s="15" t="b">
        <v>0</v>
      </c>
      <c r="G277" s="33" t="s">
        <v>206</v>
      </c>
      <c r="H277" s="15" t="s">
        <v>670</v>
      </c>
      <c r="I277" s="33" t="s">
        <v>208</v>
      </c>
      <c r="J277" s="15"/>
      <c r="K277" s="15"/>
      <c r="L277" s="120" t="s">
        <v>220</v>
      </c>
      <c r="M277" s="15" t="s">
        <v>671</v>
      </c>
      <c r="N277" s="15" t="s">
        <v>672</v>
      </c>
      <c r="O277" s="15"/>
      <c r="P277" s="15"/>
      <c r="Q277" s="15" t="b">
        <v>0</v>
      </c>
    </row>
    <row r="278" spans="1:17" ht="15" hidden="1" customHeight="1">
      <c r="A278" s="15">
        <v>3197</v>
      </c>
      <c r="B278" s="15">
        <v>277</v>
      </c>
      <c r="C278" s="15">
        <v>0</v>
      </c>
      <c r="D278" s="15">
        <v>193</v>
      </c>
      <c r="E278" s="15" t="b">
        <v>0</v>
      </c>
      <c r="F278" s="15" t="b">
        <v>0</v>
      </c>
      <c r="G278" s="33" t="s">
        <v>206</v>
      </c>
      <c r="H278" s="15" t="s">
        <v>670</v>
      </c>
      <c r="I278" s="33" t="s">
        <v>213</v>
      </c>
      <c r="J278" s="15"/>
      <c r="K278" s="15"/>
      <c r="L278" s="120" t="s">
        <v>220</v>
      </c>
      <c r="M278" s="15" t="s">
        <v>673</v>
      </c>
      <c r="N278" s="15" t="s">
        <v>674</v>
      </c>
      <c r="O278" s="15"/>
      <c r="P278" s="15"/>
      <c r="Q278" s="15" t="b">
        <v>0</v>
      </c>
    </row>
    <row r="279" spans="1:17" ht="15" hidden="1" customHeight="1">
      <c r="A279" s="15">
        <v>3198</v>
      </c>
      <c r="B279" s="15">
        <v>278</v>
      </c>
      <c r="C279" s="15">
        <v>0</v>
      </c>
      <c r="D279" s="15">
        <v>193</v>
      </c>
      <c r="E279" s="15" t="b">
        <v>0</v>
      </c>
      <c r="F279" s="15" t="b">
        <v>0</v>
      </c>
      <c r="G279" s="33" t="s">
        <v>206</v>
      </c>
      <c r="H279" s="15" t="s">
        <v>670</v>
      </c>
      <c r="I279" s="33" t="s">
        <v>216</v>
      </c>
      <c r="J279" s="15"/>
      <c r="K279" s="15"/>
      <c r="L279" s="120" t="s">
        <v>220</v>
      </c>
      <c r="M279" s="15" t="s">
        <v>675</v>
      </c>
      <c r="N279" s="15" t="s">
        <v>676</v>
      </c>
      <c r="O279" s="15"/>
      <c r="P279" s="15"/>
      <c r="Q279" s="15" t="b">
        <v>0</v>
      </c>
    </row>
    <row r="280" spans="1:17" ht="15" hidden="1" customHeight="1">
      <c r="A280" s="15">
        <v>3199</v>
      </c>
      <c r="B280" s="15">
        <v>279</v>
      </c>
      <c r="C280" s="15">
        <v>0</v>
      </c>
      <c r="D280" s="15">
        <v>193</v>
      </c>
      <c r="E280" s="15" t="b">
        <v>0</v>
      </c>
      <c r="F280" s="15" t="b">
        <v>0</v>
      </c>
      <c r="G280" s="33" t="s">
        <v>206</v>
      </c>
      <c r="H280" s="15" t="s">
        <v>677</v>
      </c>
      <c r="I280" s="33" t="s">
        <v>208</v>
      </c>
      <c r="J280" s="15"/>
      <c r="K280" s="15"/>
      <c r="L280" s="120" t="s">
        <v>220</v>
      </c>
      <c r="M280" s="15" t="s">
        <v>678</v>
      </c>
      <c r="N280" s="15" t="s">
        <v>679</v>
      </c>
      <c r="O280" s="15"/>
      <c r="P280" s="15"/>
      <c r="Q280" s="15" t="b">
        <v>0</v>
      </c>
    </row>
    <row r="281" spans="1:17" ht="15" hidden="1" customHeight="1">
      <c r="A281" s="15">
        <v>3200</v>
      </c>
      <c r="B281" s="15">
        <v>280</v>
      </c>
      <c r="C281" s="15">
        <v>0</v>
      </c>
      <c r="D281" s="15">
        <v>193</v>
      </c>
      <c r="E281" s="15" t="b">
        <v>0</v>
      </c>
      <c r="F281" s="15" t="b">
        <v>0</v>
      </c>
      <c r="G281" s="33" t="s">
        <v>206</v>
      </c>
      <c r="H281" s="15" t="s">
        <v>677</v>
      </c>
      <c r="I281" s="33" t="s">
        <v>213</v>
      </c>
      <c r="J281" s="15"/>
      <c r="K281" s="15"/>
      <c r="L281" s="120" t="s">
        <v>220</v>
      </c>
      <c r="M281" s="15" t="s">
        <v>680</v>
      </c>
      <c r="N281" s="15" t="s">
        <v>681</v>
      </c>
      <c r="O281" s="15"/>
      <c r="P281" s="15"/>
      <c r="Q281" s="15" t="b">
        <v>0</v>
      </c>
    </row>
    <row r="282" spans="1:17" ht="15" hidden="1" customHeight="1">
      <c r="A282" s="15">
        <v>3201</v>
      </c>
      <c r="B282" s="15">
        <v>281</v>
      </c>
      <c r="C282" s="15">
        <v>0</v>
      </c>
      <c r="D282" s="15">
        <v>193</v>
      </c>
      <c r="E282" s="15" t="b">
        <v>0</v>
      </c>
      <c r="F282" s="15" t="b">
        <v>0</v>
      </c>
      <c r="G282" s="33" t="s">
        <v>206</v>
      </c>
      <c r="H282" s="15" t="s">
        <v>677</v>
      </c>
      <c r="I282" s="33" t="s">
        <v>216</v>
      </c>
      <c r="J282" s="15"/>
      <c r="K282" s="15"/>
      <c r="L282" s="120" t="s">
        <v>220</v>
      </c>
      <c r="M282" s="15" t="s">
        <v>682</v>
      </c>
      <c r="N282" s="15" t="s">
        <v>683</v>
      </c>
      <c r="O282" s="15"/>
      <c r="P282" s="15"/>
      <c r="Q282" s="15" t="b">
        <v>0</v>
      </c>
    </row>
    <row r="283" spans="1:17" ht="15" hidden="1" customHeight="1">
      <c r="A283" s="15">
        <v>3202</v>
      </c>
      <c r="B283" s="15">
        <v>282</v>
      </c>
      <c r="C283" s="15">
        <v>0</v>
      </c>
      <c r="D283" s="15">
        <v>193</v>
      </c>
      <c r="E283" s="15" t="b">
        <v>1</v>
      </c>
      <c r="F283" s="15" t="b">
        <v>0</v>
      </c>
      <c r="G283" s="33" t="s">
        <v>206</v>
      </c>
      <c r="H283" s="15" t="s">
        <v>684</v>
      </c>
      <c r="I283" s="33" t="s">
        <v>208</v>
      </c>
      <c r="J283" s="15"/>
      <c r="K283" s="15"/>
      <c r="L283" s="120" t="s">
        <v>210</v>
      </c>
      <c r="M283" s="15" t="s">
        <v>685</v>
      </c>
      <c r="N283" s="15" t="s">
        <v>686</v>
      </c>
      <c r="O283" s="15"/>
      <c r="P283" s="15"/>
      <c r="Q283" s="15" t="b">
        <v>0</v>
      </c>
    </row>
    <row r="284" spans="1:17" ht="15" hidden="1" customHeight="1">
      <c r="A284" s="15">
        <v>3203</v>
      </c>
      <c r="B284" s="15">
        <v>283</v>
      </c>
      <c r="C284" s="15">
        <v>0</v>
      </c>
      <c r="D284" s="15">
        <v>193</v>
      </c>
      <c r="E284" s="15" t="b">
        <v>1</v>
      </c>
      <c r="F284" s="15" t="b">
        <v>0</v>
      </c>
      <c r="G284" s="33" t="s">
        <v>206</v>
      </c>
      <c r="H284" s="15" t="s">
        <v>684</v>
      </c>
      <c r="I284" s="33" t="s">
        <v>213</v>
      </c>
      <c r="J284" s="15"/>
      <c r="K284" s="15"/>
      <c r="L284" s="120" t="s">
        <v>210</v>
      </c>
      <c r="M284" s="15" t="s">
        <v>687</v>
      </c>
      <c r="N284" s="15" t="s">
        <v>688</v>
      </c>
      <c r="O284" s="15"/>
      <c r="P284" s="15"/>
      <c r="Q284" s="15" t="b">
        <v>0</v>
      </c>
    </row>
    <row r="285" spans="1:17" ht="15" hidden="1" customHeight="1">
      <c r="A285" s="15">
        <v>3204</v>
      </c>
      <c r="B285" s="15">
        <v>284</v>
      </c>
      <c r="C285" s="15">
        <v>0</v>
      </c>
      <c r="D285" s="15">
        <v>193</v>
      </c>
      <c r="E285" s="15" t="b">
        <v>1</v>
      </c>
      <c r="F285" s="15" t="b">
        <v>0</v>
      </c>
      <c r="G285" s="33" t="s">
        <v>206</v>
      </c>
      <c r="H285" s="15" t="s">
        <v>684</v>
      </c>
      <c r="I285" s="33" t="s">
        <v>216</v>
      </c>
      <c r="J285" s="15"/>
      <c r="K285" s="15"/>
      <c r="L285" s="120" t="s">
        <v>210</v>
      </c>
      <c r="M285" s="15" t="s">
        <v>689</v>
      </c>
      <c r="N285" s="15" t="s">
        <v>690</v>
      </c>
      <c r="O285" s="15"/>
      <c r="P285" s="15"/>
      <c r="Q285" s="15" t="b">
        <v>0</v>
      </c>
    </row>
    <row r="286" spans="1:17" ht="15" hidden="1" customHeight="1">
      <c r="A286" s="15">
        <v>3205</v>
      </c>
      <c r="B286" s="15">
        <v>285</v>
      </c>
      <c r="C286" s="15">
        <v>0</v>
      </c>
      <c r="D286" s="15">
        <v>193</v>
      </c>
      <c r="E286" s="15" t="b">
        <v>0</v>
      </c>
      <c r="F286" s="15" t="b">
        <v>0</v>
      </c>
      <c r="G286" s="33" t="s">
        <v>206</v>
      </c>
      <c r="H286" s="15" t="s">
        <v>691</v>
      </c>
      <c r="I286" s="33" t="s">
        <v>208</v>
      </c>
      <c r="J286" s="15"/>
      <c r="K286" s="15"/>
      <c r="L286" s="120" t="s">
        <v>220</v>
      </c>
      <c r="M286" s="15" t="s">
        <v>692</v>
      </c>
      <c r="N286" s="15" t="s">
        <v>693</v>
      </c>
      <c r="O286" s="15"/>
      <c r="P286" s="15"/>
      <c r="Q286" s="15" t="b">
        <v>0</v>
      </c>
    </row>
    <row r="287" spans="1:17" ht="15" hidden="1" customHeight="1">
      <c r="A287" s="15">
        <v>3206</v>
      </c>
      <c r="B287" s="15">
        <v>286</v>
      </c>
      <c r="C287" s="15">
        <v>0</v>
      </c>
      <c r="D287" s="15">
        <v>193</v>
      </c>
      <c r="E287" s="15" t="b">
        <v>0</v>
      </c>
      <c r="F287" s="15" t="b">
        <v>0</v>
      </c>
      <c r="G287" s="33" t="s">
        <v>206</v>
      </c>
      <c r="H287" s="15" t="s">
        <v>691</v>
      </c>
      <c r="I287" s="33" t="s">
        <v>213</v>
      </c>
      <c r="J287" s="15"/>
      <c r="K287" s="15"/>
      <c r="L287" s="120" t="s">
        <v>220</v>
      </c>
      <c r="M287" s="15" t="s">
        <v>694</v>
      </c>
      <c r="N287" s="15" t="s">
        <v>695</v>
      </c>
      <c r="O287" s="15"/>
      <c r="P287" s="15"/>
      <c r="Q287" s="15" t="b">
        <v>0</v>
      </c>
    </row>
    <row r="288" spans="1:17" ht="15" hidden="1" customHeight="1">
      <c r="A288" s="15">
        <v>3207</v>
      </c>
      <c r="B288" s="15">
        <v>287</v>
      </c>
      <c r="C288" s="15">
        <v>0</v>
      </c>
      <c r="D288" s="15">
        <v>193</v>
      </c>
      <c r="E288" s="15" t="b">
        <v>0</v>
      </c>
      <c r="F288" s="15" t="b">
        <v>0</v>
      </c>
      <c r="G288" s="33" t="s">
        <v>206</v>
      </c>
      <c r="H288" s="15" t="s">
        <v>691</v>
      </c>
      <c r="I288" s="33" t="s">
        <v>216</v>
      </c>
      <c r="J288" s="15"/>
      <c r="K288" s="15"/>
      <c r="L288" s="120" t="s">
        <v>220</v>
      </c>
      <c r="M288" s="15" t="s">
        <v>696</v>
      </c>
      <c r="N288" s="15" t="s">
        <v>697</v>
      </c>
      <c r="O288" s="15"/>
      <c r="P288" s="15"/>
      <c r="Q288" s="15" t="b">
        <v>0</v>
      </c>
    </row>
    <row r="289" spans="1:17" ht="15" hidden="1" customHeight="1">
      <c r="A289" s="15">
        <v>3208</v>
      </c>
      <c r="B289" s="15">
        <v>288</v>
      </c>
      <c r="C289" s="15">
        <v>0</v>
      </c>
      <c r="D289" s="15">
        <v>193</v>
      </c>
      <c r="E289" s="15" t="b">
        <v>0</v>
      </c>
      <c r="F289" s="15" t="b">
        <v>0</v>
      </c>
      <c r="G289" s="33" t="s">
        <v>206</v>
      </c>
      <c r="H289" s="15" t="s">
        <v>698</v>
      </c>
      <c r="I289" s="33" t="s">
        <v>208</v>
      </c>
      <c r="J289" s="15"/>
      <c r="K289" s="15"/>
      <c r="L289" s="120" t="s">
        <v>220</v>
      </c>
      <c r="M289" s="15" t="s">
        <v>699</v>
      </c>
      <c r="N289" s="15" t="s">
        <v>700</v>
      </c>
      <c r="O289" s="15"/>
      <c r="P289" s="15"/>
      <c r="Q289" s="15" t="b">
        <v>0</v>
      </c>
    </row>
    <row r="290" spans="1:17" ht="15" hidden="1" customHeight="1">
      <c r="A290" s="15">
        <v>3209</v>
      </c>
      <c r="B290" s="15">
        <v>289</v>
      </c>
      <c r="C290" s="15">
        <v>0</v>
      </c>
      <c r="D290" s="15">
        <v>193</v>
      </c>
      <c r="E290" s="15" t="b">
        <v>0</v>
      </c>
      <c r="F290" s="15" t="b">
        <v>0</v>
      </c>
      <c r="G290" s="33" t="s">
        <v>206</v>
      </c>
      <c r="H290" s="15" t="s">
        <v>698</v>
      </c>
      <c r="I290" s="33" t="s">
        <v>213</v>
      </c>
      <c r="J290" s="15"/>
      <c r="K290" s="15"/>
      <c r="L290" s="120" t="s">
        <v>220</v>
      </c>
      <c r="M290" s="15" t="s">
        <v>701</v>
      </c>
      <c r="N290" s="15" t="s">
        <v>702</v>
      </c>
      <c r="O290" s="15"/>
      <c r="P290" s="15"/>
      <c r="Q290" s="15" t="b">
        <v>0</v>
      </c>
    </row>
    <row r="291" spans="1:17" ht="15" hidden="1" customHeight="1">
      <c r="A291" s="15">
        <v>3210</v>
      </c>
      <c r="B291" s="15">
        <v>290</v>
      </c>
      <c r="C291" s="15">
        <v>0</v>
      </c>
      <c r="D291" s="15">
        <v>193</v>
      </c>
      <c r="E291" s="15" t="b">
        <v>0</v>
      </c>
      <c r="F291" s="15" t="b">
        <v>0</v>
      </c>
      <c r="G291" s="33" t="s">
        <v>206</v>
      </c>
      <c r="H291" s="15" t="s">
        <v>698</v>
      </c>
      <c r="I291" s="33" t="s">
        <v>216</v>
      </c>
      <c r="J291" s="15"/>
      <c r="K291" s="15"/>
      <c r="L291" s="120" t="s">
        <v>220</v>
      </c>
      <c r="M291" s="15" t="s">
        <v>703</v>
      </c>
      <c r="N291" s="15" t="s">
        <v>704</v>
      </c>
      <c r="O291" s="15"/>
      <c r="P291" s="15"/>
      <c r="Q291" s="15" t="b">
        <v>0</v>
      </c>
    </row>
    <row r="292" spans="1:17" ht="15" hidden="1" customHeight="1">
      <c r="A292" s="15">
        <v>3211</v>
      </c>
      <c r="B292" s="15">
        <v>291</v>
      </c>
      <c r="C292" s="15">
        <v>0</v>
      </c>
      <c r="D292" s="15">
        <v>193</v>
      </c>
      <c r="E292" s="15" t="b">
        <v>1</v>
      </c>
      <c r="F292" s="15" t="b">
        <v>0</v>
      </c>
      <c r="G292" s="33" t="s">
        <v>206</v>
      </c>
      <c r="H292" s="15" t="s">
        <v>705</v>
      </c>
      <c r="I292" s="33" t="s">
        <v>208</v>
      </c>
      <c r="J292" s="15"/>
      <c r="K292" s="15"/>
      <c r="L292" s="120" t="s">
        <v>210</v>
      </c>
      <c r="M292" s="15" t="s">
        <v>706</v>
      </c>
      <c r="N292" s="15" t="s">
        <v>707</v>
      </c>
      <c r="O292" s="15"/>
      <c r="P292" s="15"/>
      <c r="Q292" s="15" t="b">
        <v>0</v>
      </c>
    </row>
    <row r="293" spans="1:17" ht="15" hidden="1" customHeight="1">
      <c r="A293" s="15">
        <v>3212</v>
      </c>
      <c r="B293" s="15">
        <v>292</v>
      </c>
      <c r="C293" s="15">
        <v>0</v>
      </c>
      <c r="D293" s="15">
        <v>193</v>
      </c>
      <c r="E293" s="15" t="b">
        <v>1</v>
      </c>
      <c r="F293" s="15" t="b">
        <v>0</v>
      </c>
      <c r="G293" s="33" t="s">
        <v>206</v>
      </c>
      <c r="H293" s="15" t="s">
        <v>705</v>
      </c>
      <c r="I293" s="33" t="s">
        <v>213</v>
      </c>
      <c r="J293" s="15"/>
      <c r="K293" s="15"/>
      <c r="L293" s="120" t="s">
        <v>210</v>
      </c>
      <c r="M293" s="15" t="s">
        <v>708</v>
      </c>
      <c r="N293" s="15" t="s">
        <v>709</v>
      </c>
      <c r="O293" s="15"/>
      <c r="P293" s="15"/>
      <c r="Q293" s="15" t="b">
        <v>0</v>
      </c>
    </row>
    <row r="294" spans="1:17" ht="15" hidden="1" customHeight="1">
      <c r="A294" s="15">
        <v>3213</v>
      </c>
      <c r="B294" s="15">
        <v>293</v>
      </c>
      <c r="C294" s="15">
        <v>0</v>
      </c>
      <c r="D294" s="15">
        <v>193</v>
      </c>
      <c r="E294" s="15" t="b">
        <v>1</v>
      </c>
      <c r="F294" s="15" t="b">
        <v>0</v>
      </c>
      <c r="G294" s="33" t="s">
        <v>206</v>
      </c>
      <c r="H294" s="15" t="s">
        <v>705</v>
      </c>
      <c r="I294" s="33" t="s">
        <v>216</v>
      </c>
      <c r="J294" s="15"/>
      <c r="K294" s="15"/>
      <c r="L294" s="120" t="s">
        <v>210</v>
      </c>
      <c r="M294" s="15" t="s">
        <v>710</v>
      </c>
      <c r="N294" s="15" t="s">
        <v>711</v>
      </c>
      <c r="O294" s="15"/>
      <c r="P294" s="15"/>
      <c r="Q294" s="15" t="b">
        <v>0</v>
      </c>
    </row>
    <row r="295" spans="1:17" ht="15" hidden="1" customHeight="1">
      <c r="A295" s="15">
        <v>3214</v>
      </c>
      <c r="B295" s="15">
        <v>294</v>
      </c>
      <c r="C295" s="15">
        <v>0</v>
      </c>
      <c r="D295" s="15">
        <v>193</v>
      </c>
      <c r="E295" s="15" t="b">
        <v>0</v>
      </c>
      <c r="F295" s="15" t="b">
        <v>0</v>
      </c>
      <c r="G295" s="33" t="s">
        <v>206</v>
      </c>
      <c r="H295" s="15" t="s">
        <v>712</v>
      </c>
      <c r="I295" s="33" t="s">
        <v>208</v>
      </c>
      <c r="J295" s="15"/>
      <c r="K295" s="15"/>
      <c r="L295" s="120" t="s">
        <v>220</v>
      </c>
      <c r="M295" s="15" t="s">
        <v>713</v>
      </c>
      <c r="N295" s="15" t="s">
        <v>714</v>
      </c>
      <c r="O295" s="15"/>
      <c r="P295" s="15"/>
      <c r="Q295" s="15" t="b">
        <v>0</v>
      </c>
    </row>
    <row r="296" spans="1:17" ht="15" hidden="1" customHeight="1">
      <c r="A296" s="15">
        <v>3215</v>
      </c>
      <c r="B296" s="15">
        <v>295</v>
      </c>
      <c r="C296" s="15">
        <v>0</v>
      </c>
      <c r="D296" s="15">
        <v>193</v>
      </c>
      <c r="E296" s="15" t="b">
        <v>0</v>
      </c>
      <c r="F296" s="15" t="b">
        <v>0</v>
      </c>
      <c r="G296" s="33" t="s">
        <v>206</v>
      </c>
      <c r="H296" s="15" t="s">
        <v>712</v>
      </c>
      <c r="I296" s="33" t="s">
        <v>213</v>
      </c>
      <c r="J296" s="15"/>
      <c r="K296" s="15"/>
      <c r="L296" s="120" t="s">
        <v>220</v>
      </c>
      <c r="M296" s="15" t="s">
        <v>715</v>
      </c>
      <c r="N296" s="15" t="s">
        <v>716</v>
      </c>
      <c r="O296" s="15"/>
      <c r="P296" s="15"/>
      <c r="Q296" s="15" t="b">
        <v>0</v>
      </c>
    </row>
    <row r="297" spans="1:17" ht="15" hidden="1" customHeight="1">
      <c r="A297" s="15">
        <v>3216</v>
      </c>
      <c r="B297" s="15">
        <v>296</v>
      </c>
      <c r="C297" s="15">
        <v>0</v>
      </c>
      <c r="D297" s="15">
        <v>193</v>
      </c>
      <c r="E297" s="15" t="b">
        <v>0</v>
      </c>
      <c r="F297" s="15" t="b">
        <v>0</v>
      </c>
      <c r="G297" s="33" t="s">
        <v>206</v>
      </c>
      <c r="H297" s="15" t="s">
        <v>712</v>
      </c>
      <c r="I297" s="33" t="s">
        <v>216</v>
      </c>
      <c r="J297" s="15"/>
      <c r="K297" s="15"/>
      <c r="L297" s="120" t="s">
        <v>220</v>
      </c>
      <c r="M297" s="15" t="s">
        <v>717</v>
      </c>
      <c r="N297" s="15" t="s">
        <v>718</v>
      </c>
      <c r="O297" s="15"/>
      <c r="P297" s="15"/>
      <c r="Q297" s="15" t="b">
        <v>0</v>
      </c>
    </row>
    <row r="298" spans="1:17" ht="15" hidden="1" customHeight="1">
      <c r="A298" s="15">
        <v>3217</v>
      </c>
      <c r="B298" s="15">
        <v>297</v>
      </c>
      <c r="C298" s="15">
        <v>0</v>
      </c>
      <c r="D298" s="15">
        <v>193</v>
      </c>
      <c r="E298" s="15" t="b">
        <v>1</v>
      </c>
      <c r="F298" s="15" t="b">
        <v>0</v>
      </c>
      <c r="G298" s="33" t="s">
        <v>206</v>
      </c>
      <c r="H298" s="15" t="s">
        <v>719</v>
      </c>
      <c r="I298" s="33" t="s">
        <v>208</v>
      </c>
      <c r="J298" s="15"/>
      <c r="K298" s="15"/>
      <c r="L298" s="120" t="s">
        <v>210</v>
      </c>
      <c r="M298" s="15" t="s">
        <v>720</v>
      </c>
      <c r="N298" s="15" t="s">
        <v>721</v>
      </c>
      <c r="O298" s="15"/>
      <c r="P298" s="15"/>
      <c r="Q298" s="15" t="b">
        <v>0</v>
      </c>
    </row>
    <row r="299" spans="1:17" ht="15" hidden="1" customHeight="1">
      <c r="A299" s="15">
        <v>3218</v>
      </c>
      <c r="B299" s="15">
        <v>298</v>
      </c>
      <c r="C299" s="15">
        <v>0</v>
      </c>
      <c r="D299" s="15">
        <v>193</v>
      </c>
      <c r="E299" s="15" t="b">
        <v>1</v>
      </c>
      <c r="F299" s="15" t="b">
        <v>0</v>
      </c>
      <c r="G299" s="33" t="s">
        <v>206</v>
      </c>
      <c r="H299" s="15" t="s">
        <v>719</v>
      </c>
      <c r="I299" s="33" t="s">
        <v>272</v>
      </c>
      <c r="J299" s="15"/>
      <c r="K299" s="15"/>
      <c r="L299" s="120" t="s">
        <v>210</v>
      </c>
      <c r="M299" s="15" t="s">
        <v>722</v>
      </c>
      <c r="N299" s="15" t="s">
        <v>723</v>
      </c>
      <c r="O299" s="15"/>
      <c r="P299" s="15"/>
      <c r="Q299" s="15" t="b">
        <v>0</v>
      </c>
    </row>
    <row r="300" spans="1:17" ht="15" hidden="1" customHeight="1">
      <c r="A300" s="15">
        <v>3219</v>
      </c>
      <c r="B300" s="15">
        <v>299</v>
      </c>
      <c r="C300" s="15">
        <v>0</v>
      </c>
      <c r="D300" s="15">
        <v>193</v>
      </c>
      <c r="E300" s="15" t="b">
        <v>1</v>
      </c>
      <c r="F300" s="15" t="b">
        <v>0</v>
      </c>
      <c r="G300" s="33" t="s">
        <v>206</v>
      </c>
      <c r="H300" s="15" t="s">
        <v>719</v>
      </c>
      <c r="I300" s="33" t="s">
        <v>216</v>
      </c>
      <c r="J300" s="15"/>
      <c r="K300" s="15"/>
      <c r="L300" s="120" t="s">
        <v>210</v>
      </c>
      <c r="M300" s="15" t="s">
        <v>724</v>
      </c>
      <c r="N300" s="15" t="s">
        <v>725</v>
      </c>
      <c r="O300" s="15"/>
      <c r="P300" s="15"/>
      <c r="Q300" s="15" t="b">
        <v>0</v>
      </c>
    </row>
    <row r="301" spans="1:17" ht="15" hidden="1" customHeight="1">
      <c r="A301" s="15">
        <v>3220</v>
      </c>
      <c r="B301" s="15">
        <v>300</v>
      </c>
      <c r="C301" s="15">
        <v>0</v>
      </c>
      <c r="D301" s="15">
        <v>193</v>
      </c>
      <c r="E301" s="15" t="b">
        <v>0</v>
      </c>
      <c r="F301" s="15" t="b">
        <v>0</v>
      </c>
      <c r="G301" s="33" t="s">
        <v>206</v>
      </c>
      <c r="H301" s="15" t="s">
        <v>726</v>
      </c>
      <c r="I301" s="33" t="s">
        <v>208</v>
      </c>
      <c r="J301" s="15"/>
      <c r="K301" s="15"/>
      <c r="L301" s="120" t="s">
        <v>220</v>
      </c>
      <c r="M301" s="15" t="s">
        <v>727</v>
      </c>
      <c r="N301" s="15" t="s">
        <v>728</v>
      </c>
      <c r="O301" s="15"/>
      <c r="P301" s="15"/>
      <c r="Q301" s="15" t="b">
        <v>0</v>
      </c>
    </row>
    <row r="302" spans="1:17" ht="15" hidden="1" customHeight="1">
      <c r="A302" s="15">
        <v>3221</v>
      </c>
      <c r="B302" s="15">
        <v>301</v>
      </c>
      <c r="C302" s="15">
        <v>0</v>
      </c>
      <c r="D302" s="15">
        <v>193</v>
      </c>
      <c r="E302" s="15" t="b">
        <v>0</v>
      </c>
      <c r="F302" s="15" t="b">
        <v>0</v>
      </c>
      <c r="G302" s="33" t="s">
        <v>206</v>
      </c>
      <c r="H302" s="15" t="s">
        <v>726</v>
      </c>
      <c r="I302" s="33" t="s">
        <v>504</v>
      </c>
      <c r="J302" s="15"/>
      <c r="K302" s="15"/>
      <c r="L302" s="120" t="s">
        <v>220</v>
      </c>
      <c r="M302" s="15" t="s">
        <v>729</v>
      </c>
      <c r="N302" s="15" t="s">
        <v>730</v>
      </c>
      <c r="O302" s="15"/>
      <c r="P302" s="15"/>
      <c r="Q302" s="15" t="b">
        <v>0</v>
      </c>
    </row>
    <row r="303" spans="1:17" ht="15" hidden="1" customHeight="1">
      <c r="A303" s="15">
        <v>3222</v>
      </c>
      <c r="B303" s="15">
        <v>302</v>
      </c>
      <c r="C303" s="15">
        <v>0</v>
      </c>
      <c r="D303" s="15">
        <v>193</v>
      </c>
      <c r="E303" s="15" t="b">
        <v>0</v>
      </c>
      <c r="F303" s="15" t="b">
        <v>0</v>
      </c>
      <c r="G303" s="33" t="s">
        <v>206</v>
      </c>
      <c r="H303" s="15" t="s">
        <v>726</v>
      </c>
      <c r="I303" s="33" t="s">
        <v>216</v>
      </c>
      <c r="J303" s="15"/>
      <c r="K303" s="15"/>
      <c r="L303" s="120" t="s">
        <v>220</v>
      </c>
      <c r="M303" s="15" t="s">
        <v>731</v>
      </c>
      <c r="N303" s="15" t="s">
        <v>732</v>
      </c>
      <c r="O303" s="15"/>
      <c r="P303" s="15"/>
      <c r="Q303" s="15" t="b">
        <v>0</v>
      </c>
    </row>
    <row r="304" spans="1:17" ht="15" hidden="1" customHeight="1">
      <c r="A304" s="15">
        <v>3223</v>
      </c>
      <c r="B304" s="15">
        <v>303</v>
      </c>
      <c r="C304" s="15">
        <v>0</v>
      </c>
      <c r="D304" s="15">
        <v>193</v>
      </c>
      <c r="E304" s="15" t="b">
        <v>0</v>
      </c>
      <c r="F304" s="15" t="b">
        <v>0</v>
      </c>
      <c r="G304" s="33" t="s">
        <v>206</v>
      </c>
      <c r="H304" s="15" t="s">
        <v>733</v>
      </c>
      <c r="I304" s="33" t="s">
        <v>208</v>
      </c>
      <c r="J304" s="15"/>
      <c r="K304" s="15"/>
      <c r="L304" s="120" t="s">
        <v>220</v>
      </c>
      <c r="M304" s="15" t="s">
        <v>734</v>
      </c>
      <c r="N304" s="15" t="s">
        <v>735</v>
      </c>
      <c r="O304" s="15"/>
      <c r="P304" s="15"/>
      <c r="Q304" s="15" t="b">
        <v>0</v>
      </c>
    </row>
    <row r="305" spans="1:17" ht="15" hidden="1" customHeight="1">
      <c r="A305" s="15">
        <v>3224</v>
      </c>
      <c r="B305" s="15">
        <v>304</v>
      </c>
      <c r="C305" s="15">
        <v>0</v>
      </c>
      <c r="D305" s="15">
        <v>193</v>
      </c>
      <c r="E305" s="15" t="b">
        <v>0</v>
      </c>
      <c r="F305" s="15" t="b">
        <v>0</v>
      </c>
      <c r="G305" s="33" t="s">
        <v>206</v>
      </c>
      <c r="H305" s="15" t="s">
        <v>733</v>
      </c>
      <c r="I305" s="33" t="s">
        <v>504</v>
      </c>
      <c r="J305" s="15"/>
      <c r="K305" s="15"/>
      <c r="L305" s="120" t="s">
        <v>220</v>
      </c>
      <c r="M305" s="15" t="s">
        <v>736</v>
      </c>
      <c r="N305" s="15" t="s">
        <v>737</v>
      </c>
      <c r="O305" s="15"/>
      <c r="P305" s="15"/>
      <c r="Q305" s="15" t="b">
        <v>0</v>
      </c>
    </row>
    <row r="306" spans="1:17" ht="15" hidden="1" customHeight="1">
      <c r="A306" s="15">
        <v>3225</v>
      </c>
      <c r="B306" s="15">
        <v>305</v>
      </c>
      <c r="C306" s="15">
        <v>0</v>
      </c>
      <c r="D306" s="15">
        <v>193</v>
      </c>
      <c r="E306" s="15" t="b">
        <v>0</v>
      </c>
      <c r="F306" s="15" t="b">
        <v>0</v>
      </c>
      <c r="G306" s="33" t="s">
        <v>206</v>
      </c>
      <c r="H306" s="15" t="s">
        <v>733</v>
      </c>
      <c r="I306" s="33" t="s">
        <v>216</v>
      </c>
      <c r="J306" s="15"/>
      <c r="K306" s="15"/>
      <c r="L306" s="120" t="s">
        <v>220</v>
      </c>
      <c r="M306" s="15" t="s">
        <v>738</v>
      </c>
      <c r="N306" s="15" t="s">
        <v>739</v>
      </c>
      <c r="O306" s="15"/>
      <c r="P306" s="15"/>
      <c r="Q306" s="15" t="b">
        <v>0</v>
      </c>
    </row>
    <row r="307" spans="1:17" ht="15" hidden="1" customHeight="1">
      <c r="A307" s="15">
        <v>3226</v>
      </c>
      <c r="B307" s="15">
        <v>306</v>
      </c>
      <c r="C307" s="15">
        <v>0</v>
      </c>
      <c r="D307" s="15">
        <v>193</v>
      </c>
      <c r="E307" s="15" t="b">
        <v>1</v>
      </c>
      <c r="F307" s="15" t="b">
        <v>0</v>
      </c>
      <c r="G307" s="33" t="s">
        <v>206</v>
      </c>
      <c r="H307" s="15" t="s">
        <v>740</v>
      </c>
      <c r="I307" s="33" t="s">
        <v>208</v>
      </c>
      <c r="J307" s="15"/>
      <c r="K307" s="15"/>
      <c r="L307" s="120" t="s">
        <v>210</v>
      </c>
      <c r="M307" s="15" t="s">
        <v>741</v>
      </c>
      <c r="N307" s="15" t="s">
        <v>742</v>
      </c>
      <c r="O307" s="15"/>
      <c r="P307" s="15"/>
      <c r="Q307" s="15" t="b">
        <v>0</v>
      </c>
    </row>
    <row r="308" spans="1:17" ht="15" hidden="1" customHeight="1">
      <c r="A308" s="15">
        <v>3227</v>
      </c>
      <c r="B308" s="15">
        <v>307</v>
      </c>
      <c r="C308" s="15">
        <v>0</v>
      </c>
      <c r="D308" s="15">
        <v>193</v>
      </c>
      <c r="E308" s="15" t="b">
        <v>1</v>
      </c>
      <c r="F308" s="15" t="b">
        <v>0</v>
      </c>
      <c r="G308" s="33" t="s">
        <v>206</v>
      </c>
      <c r="H308" s="15" t="s">
        <v>740</v>
      </c>
      <c r="I308" s="33" t="s">
        <v>272</v>
      </c>
      <c r="J308" s="15"/>
      <c r="K308" s="15"/>
      <c r="L308" s="120" t="s">
        <v>210</v>
      </c>
      <c r="M308" s="15" t="s">
        <v>743</v>
      </c>
      <c r="N308" s="15" t="s">
        <v>744</v>
      </c>
      <c r="O308" s="15"/>
      <c r="P308" s="15"/>
      <c r="Q308" s="15" t="b">
        <v>0</v>
      </c>
    </row>
    <row r="309" spans="1:17" ht="15" hidden="1" customHeight="1">
      <c r="A309" s="15">
        <v>3228</v>
      </c>
      <c r="B309" s="15">
        <v>308</v>
      </c>
      <c r="C309" s="15">
        <v>0</v>
      </c>
      <c r="D309" s="15">
        <v>193</v>
      </c>
      <c r="E309" s="15" t="b">
        <v>1</v>
      </c>
      <c r="F309" s="15" t="b">
        <v>0</v>
      </c>
      <c r="G309" s="33" t="s">
        <v>206</v>
      </c>
      <c r="H309" s="15" t="s">
        <v>740</v>
      </c>
      <c r="I309" s="33" t="s">
        <v>216</v>
      </c>
      <c r="J309" s="15"/>
      <c r="K309" s="15"/>
      <c r="L309" s="120" t="s">
        <v>210</v>
      </c>
      <c r="M309" s="15" t="s">
        <v>745</v>
      </c>
      <c r="N309" s="15" t="s">
        <v>746</v>
      </c>
      <c r="O309" s="15"/>
      <c r="P309" s="15"/>
      <c r="Q309" s="15" t="b">
        <v>0</v>
      </c>
    </row>
    <row r="310" spans="1:17" ht="15" hidden="1" customHeight="1">
      <c r="A310" s="15">
        <v>3229</v>
      </c>
      <c r="B310" s="15">
        <v>309</v>
      </c>
      <c r="C310" s="15">
        <v>0</v>
      </c>
      <c r="D310" s="15">
        <v>193</v>
      </c>
      <c r="E310" s="15" t="b">
        <v>0</v>
      </c>
      <c r="F310" s="15" t="b">
        <v>0</v>
      </c>
      <c r="G310" s="33" t="s">
        <v>206</v>
      </c>
      <c r="H310" s="15" t="s">
        <v>747</v>
      </c>
      <c r="I310" s="33" t="s">
        <v>208</v>
      </c>
      <c r="J310" s="15"/>
      <c r="K310" s="15"/>
      <c r="L310" s="120" t="s">
        <v>220</v>
      </c>
      <c r="M310" s="15" t="s">
        <v>748</v>
      </c>
      <c r="N310" s="15" t="s">
        <v>749</v>
      </c>
      <c r="O310" s="15"/>
      <c r="P310" s="15"/>
      <c r="Q310" s="15" t="b">
        <v>0</v>
      </c>
    </row>
    <row r="311" spans="1:17" ht="15" hidden="1" customHeight="1">
      <c r="A311" s="15">
        <v>3230</v>
      </c>
      <c r="B311" s="15">
        <v>310</v>
      </c>
      <c r="C311" s="15">
        <v>0</v>
      </c>
      <c r="D311" s="15">
        <v>193</v>
      </c>
      <c r="E311" s="15" t="b">
        <v>0</v>
      </c>
      <c r="F311" s="15" t="b">
        <v>0</v>
      </c>
      <c r="G311" s="33" t="s">
        <v>206</v>
      </c>
      <c r="H311" s="15" t="s">
        <v>747</v>
      </c>
      <c r="I311" s="33" t="s">
        <v>504</v>
      </c>
      <c r="J311" s="15"/>
      <c r="K311" s="15"/>
      <c r="L311" s="120" t="s">
        <v>220</v>
      </c>
      <c r="M311" s="15" t="s">
        <v>750</v>
      </c>
      <c r="N311" s="15" t="s">
        <v>751</v>
      </c>
      <c r="O311" s="15"/>
      <c r="P311" s="15"/>
      <c r="Q311" s="15" t="b">
        <v>0</v>
      </c>
    </row>
    <row r="312" spans="1:17" ht="15" hidden="1" customHeight="1">
      <c r="A312" s="15">
        <v>3231</v>
      </c>
      <c r="B312" s="15">
        <v>311</v>
      </c>
      <c r="C312" s="15">
        <v>0</v>
      </c>
      <c r="D312" s="15">
        <v>193</v>
      </c>
      <c r="E312" s="15" t="b">
        <v>0</v>
      </c>
      <c r="F312" s="15" t="b">
        <v>0</v>
      </c>
      <c r="G312" s="33" t="s">
        <v>206</v>
      </c>
      <c r="H312" s="15" t="s">
        <v>747</v>
      </c>
      <c r="I312" s="33" t="s">
        <v>216</v>
      </c>
      <c r="J312" s="15"/>
      <c r="K312" s="15"/>
      <c r="L312" s="120" t="s">
        <v>220</v>
      </c>
      <c r="M312" s="15" t="s">
        <v>752</v>
      </c>
      <c r="N312" s="15" t="s">
        <v>753</v>
      </c>
      <c r="O312" s="15"/>
      <c r="P312" s="15"/>
      <c r="Q312" s="15" t="b">
        <v>0</v>
      </c>
    </row>
    <row r="313" spans="1:17" ht="15" hidden="1" customHeight="1">
      <c r="A313" s="15">
        <v>3232</v>
      </c>
      <c r="B313" s="15">
        <v>312</v>
      </c>
      <c r="C313" s="15">
        <v>0</v>
      </c>
      <c r="D313" s="15">
        <v>193</v>
      </c>
      <c r="E313" s="15" t="b">
        <v>0</v>
      </c>
      <c r="F313" s="15" t="b">
        <v>0</v>
      </c>
      <c r="G313" s="33" t="s">
        <v>206</v>
      </c>
      <c r="H313" s="15" t="s">
        <v>754</v>
      </c>
      <c r="I313" s="33" t="s">
        <v>208</v>
      </c>
      <c r="J313" s="15"/>
      <c r="K313" s="15"/>
      <c r="L313" s="120" t="s">
        <v>220</v>
      </c>
      <c r="M313" s="15" t="s">
        <v>755</v>
      </c>
      <c r="N313" s="15" t="s">
        <v>756</v>
      </c>
      <c r="O313" s="15"/>
      <c r="P313" s="15"/>
      <c r="Q313" s="15" t="b">
        <v>0</v>
      </c>
    </row>
    <row r="314" spans="1:17" ht="15" hidden="1" customHeight="1">
      <c r="A314" s="15">
        <v>3233</v>
      </c>
      <c r="B314" s="15">
        <v>313</v>
      </c>
      <c r="C314" s="15">
        <v>0</v>
      </c>
      <c r="D314" s="15">
        <v>193</v>
      </c>
      <c r="E314" s="15" t="b">
        <v>0</v>
      </c>
      <c r="F314" s="15" t="b">
        <v>0</v>
      </c>
      <c r="G314" s="33" t="s">
        <v>206</v>
      </c>
      <c r="H314" s="15" t="s">
        <v>754</v>
      </c>
      <c r="I314" s="33" t="s">
        <v>504</v>
      </c>
      <c r="J314" s="15"/>
      <c r="K314" s="15"/>
      <c r="L314" s="120" t="s">
        <v>220</v>
      </c>
      <c r="M314" s="15" t="s">
        <v>757</v>
      </c>
      <c r="N314" s="15" t="s">
        <v>758</v>
      </c>
      <c r="O314" s="15"/>
      <c r="P314" s="15"/>
      <c r="Q314" s="15" t="b">
        <v>0</v>
      </c>
    </row>
    <row r="315" spans="1:17" ht="15" hidden="1" customHeight="1">
      <c r="A315" s="15">
        <v>3234</v>
      </c>
      <c r="B315" s="15">
        <v>314</v>
      </c>
      <c r="C315" s="15">
        <v>0</v>
      </c>
      <c r="D315" s="15">
        <v>193</v>
      </c>
      <c r="E315" s="15" t="b">
        <v>0</v>
      </c>
      <c r="F315" s="15" t="b">
        <v>0</v>
      </c>
      <c r="G315" s="33" t="s">
        <v>206</v>
      </c>
      <c r="H315" s="15" t="s">
        <v>754</v>
      </c>
      <c r="I315" s="33" t="s">
        <v>216</v>
      </c>
      <c r="J315" s="15"/>
      <c r="K315" s="15"/>
      <c r="L315" s="120" t="s">
        <v>220</v>
      </c>
      <c r="M315" s="15" t="s">
        <v>759</v>
      </c>
      <c r="N315" s="15" t="s">
        <v>760</v>
      </c>
      <c r="O315" s="15"/>
      <c r="P315" s="15"/>
      <c r="Q315" s="15" t="b">
        <v>0</v>
      </c>
    </row>
    <row r="316" spans="1:17" ht="15" hidden="1" customHeight="1">
      <c r="A316" s="15">
        <v>3235</v>
      </c>
      <c r="B316" s="15">
        <v>315</v>
      </c>
      <c r="C316" s="15">
        <v>0</v>
      </c>
      <c r="D316" s="15">
        <v>193</v>
      </c>
      <c r="E316" s="15" t="b">
        <v>1</v>
      </c>
      <c r="F316" s="15" t="b">
        <v>0</v>
      </c>
      <c r="G316" s="33" t="s">
        <v>206</v>
      </c>
      <c r="H316" s="15" t="s">
        <v>761</v>
      </c>
      <c r="I316" s="33" t="s">
        <v>208</v>
      </c>
      <c r="J316" s="15"/>
      <c r="K316" s="15"/>
      <c r="L316" s="120" t="s">
        <v>210</v>
      </c>
      <c r="M316" s="15" t="s">
        <v>762</v>
      </c>
      <c r="N316" s="15" t="s">
        <v>763</v>
      </c>
      <c r="O316" s="15"/>
      <c r="P316" s="15"/>
      <c r="Q316" s="15" t="b">
        <v>0</v>
      </c>
    </row>
    <row r="317" spans="1:17" ht="15" hidden="1" customHeight="1">
      <c r="A317" s="15">
        <v>3236</v>
      </c>
      <c r="B317" s="15">
        <v>316</v>
      </c>
      <c r="C317" s="15">
        <v>0</v>
      </c>
      <c r="D317" s="15">
        <v>193</v>
      </c>
      <c r="E317" s="15" t="b">
        <v>1</v>
      </c>
      <c r="F317" s="15" t="b">
        <v>0</v>
      </c>
      <c r="G317" s="33" t="s">
        <v>206</v>
      </c>
      <c r="H317" s="15" t="s">
        <v>761</v>
      </c>
      <c r="I317" s="33" t="s">
        <v>272</v>
      </c>
      <c r="J317" s="15"/>
      <c r="K317" s="15"/>
      <c r="L317" s="120" t="s">
        <v>210</v>
      </c>
      <c r="M317" s="15" t="s">
        <v>764</v>
      </c>
      <c r="N317" s="15" t="s">
        <v>765</v>
      </c>
      <c r="O317" s="15"/>
      <c r="P317" s="15"/>
      <c r="Q317" s="15" t="b">
        <v>0</v>
      </c>
    </row>
    <row r="318" spans="1:17" ht="15" hidden="1" customHeight="1">
      <c r="A318" s="15">
        <v>3237</v>
      </c>
      <c r="B318" s="15">
        <v>317</v>
      </c>
      <c r="C318" s="15">
        <v>0</v>
      </c>
      <c r="D318" s="15">
        <v>193</v>
      </c>
      <c r="E318" s="15" t="b">
        <v>1</v>
      </c>
      <c r="F318" s="15" t="b">
        <v>0</v>
      </c>
      <c r="G318" s="33" t="s">
        <v>206</v>
      </c>
      <c r="H318" s="15" t="s">
        <v>761</v>
      </c>
      <c r="I318" s="33" t="s">
        <v>216</v>
      </c>
      <c r="J318" s="15"/>
      <c r="K318" s="15"/>
      <c r="L318" s="120" t="s">
        <v>210</v>
      </c>
      <c r="M318" s="15" t="s">
        <v>766</v>
      </c>
      <c r="N318" s="15" t="s">
        <v>767</v>
      </c>
      <c r="O318" s="15"/>
      <c r="P318" s="15"/>
      <c r="Q318" s="15" t="b">
        <v>0</v>
      </c>
    </row>
    <row r="319" spans="1:17" ht="15" hidden="1" customHeight="1">
      <c r="A319" s="15">
        <v>3238</v>
      </c>
      <c r="B319" s="15">
        <v>318</v>
      </c>
      <c r="C319" s="15">
        <v>0</v>
      </c>
      <c r="D319" s="15">
        <v>193</v>
      </c>
      <c r="E319" s="15" t="b">
        <v>0</v>
      </c>
      <c r="F319" s="15" t="b">
        <v>0</v>
      </c>
      <c r="G319" s="33" t="s">
        <v>206</v>
      </c>
      <c r="H319" s="15" t="s">
        <v>768</v>
      </c>
      <c r="I319" s="33" t="s">
        <v>208</v>
      </c>
      <c r="J319" s="15"/>
      <c r="K319" s="15"/>
      <c r="L319" s="120" t="s">
        <v>220</v>
      </c>
      <c r="M319" s="15" t="s">
        <v>769</v>
      </c>
      <c r="N319" s="15" t="s">
        <v>770</v>
      </c>
      <c r="O319" s="15"/>
      <c r="P319" s="15"/>
      <c r="Q319" s="15" t="b">
        <v>0</v>
      </c>
    </row>
    <row r="320" spans="1:17" ht="15" hidden="1" customHeight="1">
      <c r="A320" s="15">
        <v>3239</v>
      </c>
      <c r="B320" s="15">
        <v>319</v>
      </c>
      <c r="C320" s="15">
        <v>0</v>
      </c>
      <c r="D320" s="15">
        <v>193</v>
      </c>
      <c r="E320" s="15" t="b">
        <v>0</v>
      </c>
      <c r="F320" s="15" t="b">
        <v>0</v>
      </c>
      <c r="G320" s="33" t="s">
        <v>206</v>
      </c>
      <c r="H320" s="15" t="s">
        <v>768</v>
      </c>
      <c r="I320" s="33" t="s">
        <v>504</v>
      </c>
      <c r="J320" s="15"/>
      <c r="K320" s="15"/>
      <c r="L320" s="120" t="s">
        <v>220</v>
      </c>
      <c r="M320" s="15" t="s">
        <v>771</v>
      </c>
      <c r="N320" s="15" t="s">
        <v>772</v>
      </c>
      <c r="O320" s="15"/>
      <c r="P320" s="15"/>
      <c r="Q320" s="15" t="b">
        <v>0</v>
      </c>
    </row>
    <row r="321" spans="1:17" ht="15" hidden="1" customHeight="1">
      <c r="A321" s="15">
        <v>3240</v>
      </c>
      <c r="B321" s="15">
        <v>320</v>
      </c>
      <c r="C321" s="15">
        <v>0</v>
      </c>
      <c r="D321" s="15">
        <v>193</v>
      </c>
      <c r="E321" s="15" t="b">
        <v>0</v>
      </c>
      <c r="F321" s="15" t="b">
        <v>0</v>
      </c>
      <c r="G321" s="33" t="s">
        <v>206</v>
      </c>
      <c r="H321" s="15" t="s">
        <v>768</v>
      </c>
      <c r="I321" s="33" t="s">
        <v>216</v>
      </c>
      <c r="J321" s="15"/>
      <c r="K321" s="15"/>
      <c r="L321" s="120" t="s">
        <v>220</v>
      </c>
      <c r="M321" s="15" t="s">
        <v>773</v>
      </c>
      <c r="N321" s="15" t="s">
        <v>774</v>
      </c>
      <c r="O321" s="15"/>
      <c r="P321" s="15"/>
      <c r="Q321" s="15" t="b">
        <v>0</v>
      </c>
    </row>
    <row r="322" spans="1:17" ht="15" hidden="1" customHeight="1">
      <c r="A322" s="15">
        <v>3241</v>
      </c>
      <c r="B322" s="15">
        <v>321</v>
      </c>
      <c r="C322" s="15">
        <v>0</v>
      </c>
      <c r="D322" s="15">
        <v>193</v>
      </c>
      <c r="E322" s="15" t="b">
        <v>1</v>
      </c>
      <c r="F322" s="15" t="b">
        <v>0</v>
      </c>
      <c r="G322" s="33" t="s">
        <v>206</v>
      </c>
      <c r="H322" s="15" t="s">
        <v>775</v>
      </c>
      <c r="I322" s="33" t="s">
        <v>208</v>
      </c>
      <c r="J322" s="15"/>
      <c r="K322" s="15"/>
      <c r="L322" s="120" t="s">
        <v>210</v>
      </c>
      <c r="M322" s="15" t="s">
        <v>776</v>
      </c>
      <c r="N322" s="15" t="s">
        <v>777</v>
      </c>
      <c r="O322" s="15"/>
      <c r="P322" s="15"/>
      <c r="Q322" s="15" t="b">
        <v>0</v>
      </c>
    </row>
    <row r="323" spans="1:17" ht="15" hidden="1" customHeight="1">
      <c r="A323" s="15">
        <v>3242</v>
      </c>
      <c r="B323" s="15">
        <v>322</v>
      </c>
      <c r="C323" s="15">
        <v>0</v>
      </c>
      <c r="D323" s="15">
        <v>193</v>
      </c>
      <c r="E323" s="15" t="b">
        <v>1</v>
      </c>
      <c r="F323" s="15" t="b">
        <v>0</v>
      </c>
      <c r="G323" s="33" t="s">
        <v>206</v>
      </c>
      <c r="H323" s="15" t="s">
        <v>775</v>
      </c>
      <c r="I323" s="33" t="s">
        <v>213</v>
      </c>
      <c r="J323" s="15"/>
      <c r="K323" s="15"/>
      <c r="L323" s="120" t="s">
        <v>210</v>
      </c>
      <c r="M323" s="15" t="s">
        <v>778</v>
      </c>
      <c r="N323" s="15" t="s">
        <v>779</v>
      </c>
      <c r="O323" s="15"/>
      <c r="P323" s="15"/>
      <c r="Q323" s="15" t="b">
        <v>0</v>
      </c>
    </row>
    <row r="324" spans="1:17" ht="15" hidden="1" customHeight="1">
      <c r="A324" s="15">
        <v>3243</v>
      </c>
      <c r="B324" s="15">
        <v>323</v>
      </c>
      <c r="C324" s="15">
        <v>0</v>
      </c>
      <c r="D324" s="15">
        <v>193</v>
      </c>
      <c r="E324" s="15" t="b">
        <v>1</v>
      </c>
      <c r="F324" s="15" t="b">
        <v>0</v>
      </c>
      <c r="G324" s="33" t="s">
        <v>206</v>
      </c>
      <c r="H324" s="15" t="s">
        <v>775</v>
      </c>
      <c r="I324" s="33" t="s">
        <v>216</v>
      </c>
      <c r="J324" s="15"/>
      <c r="K324" s="15"/>
      <c r="L324" s="120" t="s">
        <v>210</v>
      </c>
      <c r="M324" s="15" t="s">
        <v>780</v>
      </c>
      <c r="N324" s="15" t="s">
        <v>781</v>
      </c>
      <c r="O324" s="15"/>
      <c r="P324" s="15"/>
      <c r="Q324" s="15" t="b">
        <v>0</v>
      </c>
    </row>
    <row r="325" spans="1:17" ht="15" hidden="1" customHeight="1">
      <c r="A325" s="15">
        <v>3244</v>
      </c>
      <c r="B325" s="15">
        <v>324</v>
      </c>
      <c r="C325" s="15">
        <v>0</v>
      </c>
      <c r="D325" s="15">
        <v>193</v>
      </c>
      <c r="E325" s="15" t="b">
        <v>0</v>
      </c>
      <c r="F325" s="15" t="b">
        <v>0</v>
      </c>
      <c r="G325" s="33" t="s">
        <v>206</v>
      </c>
      <c r="H325" s="15" t="s">
        <v>782</v>
      </c>
      <c r="I325" s="33" t="s">
        <v>208</v>
      </c>
      <c r="J325" s="15"/>
      <c r="K325" s="15"/>
      <c r="L325" s="120" t="s">
        <v>220</v>
      </c>
      <c r="M325" s="15" t="s">
        <v>783</v>
      </c>
      <c r="N325" s="15" t="s">
        <v>784</v>
      </c>
      <c r="O325" s="15"/>
      <c r="P325" s="15"/>
      <c r="Q325" s="15" t="b">
        <v>0</v>
      </c>
    </row>
    <row r="326" spans="1:17" ht="15" hidden="1" customHeight="1">
      <c r="A326" s="15">
        <v>3245</v>
      </c>
      <c r="B326" s="15">
        <v>325</v>
      </c>
      <c r="C326" s="15">
        <v>0</v>
      </c>
      <c r="D326" s="15">
        <v>193</v>
      </c>
      <c r="E326" s="15" t="b">
        <v>0</v>
      </c>
      <c r="F326" s="15" t="b">
        <v>0</v>
      </c>
      <c r="G326" s="33" t="s">
        <v>206</v>
      </c>
      <c r="H326" s="15" t="s">
        <v>782</v>
      </c>
      <c r="I326" s="33" t="s">
        <v>213</v>
      </c>
      <c r="J326" s="15"/>
      <c r="K326" s="15"/>
      <c r="L326" s="120" t="s">
        <v>220</v>
      </c>
      <c r="M326" s="15" t="s">
        <v>785</v>
      </c>
      <c r="N326" s="15" t="s">
        <v>786</v>
      </c>
      <c r="O326" s="15"/>
      <c r="P326" s="15"/>
      <c r="Q326" s="15" t="b">
        <v>0</v>
      </c>
    </row>
    <row r="327" spans="1:17" ht="15" hidden="1" customHeight="1">
      <c r="A327" s="15">
        <v>3246</v>
      </c>
      <c r="B327" s="15">
        <v>326</v>
      </c>
      <c r="C327" s="15">
        <v>0</v>
      </c>
      <c r="D327" s="15">
        <v>193</v>
      </c>
      <c r="E327" s="15" t="b">
        <v>0</v>
      </c>
      <c r="F327" s="15" t="b">
        <v>0</v>
      </c>
      <c r="G327" s="33" t="s">
        <v>206</v>
      </c>
      <c r="H327" s="15" t="s">
        <v>782</v>
      </c>
      <c r="I327" s="33" t="s">
        <v>216</v>
      </c>
      <c r="J327" s="15"/>
      <c r="K327" s="15"/>
      <c r="L327" s="120" t="s">
        <v>220</v>
      </c>
      <c r="M327" s="15" t="s">
        <v>787</v>
      </c>
      <c r="N327" s="15" t="s">
        <v>788</v>
      </c>
      <c r="O327" s="15"/>
      <c r="P327" s="15"/>
      <c r="Q327" s="15" t="b">
        <v>0</v>
      </c>
    </row>
    <row r="328" spans="1:17" ht="15" hidden="1" customHeight="1">
      <c r="A328" s="15">
        <v>3247</v>
      </c>
      <c r="B328" s="15">
        <v>327</v>
      </c>
      <c r="C328" s="15">
        <v>0</v>
      </c>
      <c r="D328" s="15">
        <v>193</v>
      </c>
      <c r="E328" s="15" t="b">
        <v>0</v>
      </c>
      <c r="F328" s="15" t="b">
        <v>0</v>
      </c>
      <c r="G328" s="33" t="s">
        <v>206</v>
      </c>
      <c r="H328" s="15" t="s">
        <v>789</v>
      </c>
      <c r="I328" s="33" t="s">
        <v>208</v>
      </c>
      <c r="J328" s="15"/>
      <c r="K328" s="15"/>
      <c r="L328" s="120" t="s">
        <v>220</v>
      </c>
      <c r="M328" s="15" t="s">
        <v>790</v>
      </c>
      <c r="N328" s="15" t="s">
        <v>791</v>
      </c>
      <c r="O328" s="15"/>
      <c r="P328" s="15"/>
      <c r="Q328" s="15" t="b">
        <v>0</v>
      </c>
    </row>
    <row r="329" spans="1:17" ht="15" hidden="1" customHeight="1">
      <c r="A329" s="15">
        <v>3248</v>
      </c>
      <c r="B329" s="15">
        <v>328</v>
      </c>
      <c r="C329" s="15">
        <v>0</v>
      </c>
      <c r="D329" s="15">
        <v>193</v>
      </c>
      <c r="E329" s="15" t="b">
        <v>0</v>
      </c>
      <c r="F329" s="15" t="b">
        <v>0</v>
      </c>
      <c r="G329" s="33" t="s">
        <v>206</v>
      </c>
      <c r="H329" s="15" t="s">
        <v>789</v>
      </c>
      <c r="I329" s="33" t="s">
        <v>213</v>
      </c>
      <c r="J329" s="15"/>
      <c r="K329" s="15"/>
      <c r="L329" s="120" t="s">
        <v>220</v>
      </c>
      <c r="M329" s="15" t="s">
        <v>792</v>
      </c>
      <c r="N329" s="15" t="s">
        <v>793</v>
      </c>
      <c r="O329" s="15"/>
      <c r="P329" s="15"/>
      <c r="Q329" s="15" t="b">
        <v>0</v>
      </c>
    </row>
    <row r="330" spans="1:17" ht="15" hidden="1" customHeight="1">
      <c r="A330" s="15">
        <v>3249</v>
      </c>
      <c r="B330" s="15">
        <v>329</v>
      </c>
      <c r="C330" s="15">
        <v>0</v>
      </c>
      <c r="D330" s="15">
        <v>193</v>
      </c>
      <c r="E330" s="15" t="b">
        <v>0</v>
      </c>
      <c r="F330" s="15" t="b">
        <v>0</v>
      </c>
      <c r="G330" s="33" t="s">
        <v>206</v>
      </c>
      <c r="H330" s="15" t="s">
        <v>789</v>
      </c>
      <c r="I330" s="33" t="s">
        <v>216</v>
      </c>
      <c r="J330" s="15"/>
      <c r="K330" s="15"/>
      <c r="L330" s="120" t="s">
        <v>220</v>
      </c>
      <c r="M330" s="15" t="s">
        <v>794</v>
      </c>
      <c r="N330" s="15" t="s">
        <v>795</v>
      </c>
      <c r="O330" s="15"/>
      <c r="P330" s="15"/>
      <c r="Q330" s="15" t="b">
        <v>0</v>
      </c>
    </row>
    <row r="331" spans="1:17" ht="15" hidden="1" customHeight="1">
      <c r="A331" s="15">
        <v>3250</v>
      </c>
      <c r="B331" s="15">
        <v>330</v>
      </c>
      <c r="C331" s="15">
        <v>0</v>
      </c>
      <c r="D331" s="15">
        <v>193</v>
      </c>
      <c r="E331" s="15" t="b">
        <v>1</v>
      </c>
      <c r="F331" s="15" t="b">
        <v>0</v>
      </c>
      <c r="G331" s="33" t="s">
        <v>206</v>
      </c>
      <c r="H331" s="15" t="s">
        <v>796</v>
      </c>
      <c r="I331" s="33" t="s">
        <v>208</v>
      </c>
      <c r="J331" s="15"/>
      <c r="K331" s="15"/>
      <c r="L331" s="120" t="s">
        <v>210</v>
      </c>
      <c r="M331" s="15" t="s">
        <v>797</v>
      </c>
      <c r="N331" s="15" t="s">
        <v>798</v>
      </c>
      <c r="O331" s="15"/>
      <c r="P331" s="15"/>
      <c r="Q331" s="15" t="b">
        <v>0</v>
      </c>
    </row>
    <row r="332" spans="1:17" ht="15" hidden="1" customHeight="1">
      <c r="A332" s="15">
        <v>3251</v>
      </c>
      <c r="B332" s="15">
        <v>331</v>
      </c>
      <c r="C332" s="15">
        <v>0</v>
      </c>
      <c r="D332" s="15">
        <v>193</v>
      </c>
      <c r="E332" s="15" t="b">
        <v>1</v>
      </c>
      <c r="F332" s="15" t="b">
        <v>0</v>
      </c>
      <c r="G332" s="33" t="s">
        <v>206</v>
      </c>
      <c r="H332" s="15" t="s">
        <v>796</v>
      </c>
      <c r="I332" s="33" t="s">
        <v>213</v>
      </c>
      <c r="J332" s="15"/>
      <c r="K332" s="15"/>
      <c r="L332" s="120" t="s">
        <v>210</v>
      </c>
      <c r="M332" s="15" t="s">
        <v>799</v>
      </c>
      <c r="N332" s="15" t="s">
        <v>800</v>
      </c>
      <c r="O332" s="15"/>
      <c r="P332" s="15"/>
      <c r="Q332" s="15" t="b">
        <v>0</v>
      </c>
    </row>
    <row r="333" spans="1:17" ht="15" hidden="1" customHeight="1">
      <c r="A333" s="15">
        <v>3252</v>
      </c>
      <c r="B333" s="15">
        <v>332</v>
      </c>
      <c r="C333" s="15">
        <v>0</v>
      </c>
      <c r="D333" s="15">
        <v>193</v>
      </c>
      <c r="E333" s="15" t="b">
        <v>1</v>
      </c>
      <c r="F333" s="15" t="b">
        <v>0</v>
      </c>
      <c r="G333" s="33" t="s">
        <v>206</v>
      </c>
      <c r="H333" s="15" t="s">
        <v>796</v>
      </c>
      <c r="I333" s="33" t="s">
        <v>216</v>
      </c>
      <c r="J333" s="15"/>
      <c r="K333" s="15"/>
      <c r="L333" s="120" t="s">
        <v>210</v>
      </c>
      <c r="M333" s="15" t="s">
        <v>801</v>
      </c>
      <c r="N333" s="15" t="s">
        <v>802</v>
      </c>
      <c r="O333" s="15"/>
      <c r="P333" s="15"/>
      <c r="Q333" s="15" t="b">
        <v>0</v>
      </c>
    </row>
    <row r="334" spans="1:17" ht="15" hidden="1" customHeight="1">
      <c r="A334" s="15">
        <v>3253</v>
      </c>
      <c r="B334" s="15">
        <v>333</v>
      </c>
      <c r="C334" s="15">
        <v>0</v>
      </c>
      <c r="D334" s="15">
        <v>193</v>
      </c>
      <c r="E334" s="15" t="b">
        <v>0</v>
      </c>
      <c r="F334" s="15" t="b">
        <v>0</v>
      </c>
      <c r="G334" s="33" t="s">
        <v>206</v>
      </c>
      <c r="H334" s="15" t="s">
        <v>803</v>
      </c>
      <c r="I334" s="33" t="s">
        <v>208</v>
      </c>
      <c r="J334" s="15"/>
      <c r="K334" s="15"/>
      <c r="L334" s="120" t="s">
        <v>220</v>
      </c>
      <c r="M334" s="15" t="s">
        <v>804</v>
      </c>
      <c r="N334" s="15" t="s">
        <v>805</v>
      </c>
      <c r="O334" s="15"/>
      <c r="P334" s="15"/>
      <c r="Q334" s="15" t="b">
        <v>0</v>
      </c>
    </row>
    <row r="335" spans="1:17" ht="15" hidden="1" customHeight="1">
      <c r="A335" s="15">
        <v>3254</v>
      </c>
      <c r="B335" s="15">
        <v>334</v>
      </c>
      <c r="C335" s="15">
        <v>0</v>
      </c>
      <c r="D335" s="15">
        <v>193</v>
      </c>
      <c r="E335" s="15" t="b">
        <v>0</v>
      </c>
      <c r="F335" s="15" t="b">
        <v>0</v>
      </c>
      <c r="G335" s="33" t="s">
        <v>206</v>
      </c>
      <c r="H335" s="15" t="s">
        <v>803</v>
      </c>
      <c r="I335" s="33" t="s">
        <v>213</v>
      </c>
      <c r="J335" s="15"/>
      <c r="K335" s="15"/>
      <c r="L335" s="120" t="s">
        <v>220</v>
      </c>
      <c r="M335" s="15" t="s">
        <v>806</v>
      </c>
      <c r="N335" s="15" t="s">
        <v>807</v>
      </c>
      <c r="O335" s="15"/>
      <c r="P335" s="15"/>
      <c r="Q335" s="15" t="b">
        <v>0</v>
      </c>
    </row>
    <row r="336" spans="1:17" ht="15" hidden="1" customHeight="1">
      <c r="A336" s="15">
        <v>3255</v>
      </c>
      <c r="B336" s="15">
        <v>335</v>
      </c>
      <c r="C336" s="15">
        <v>0</v>
      </c>
      <c r="D336" s="15">
        <v>193</v>
      </c>
      <c r="E336" s="15" t="b">
        <v>0</v>
      </c>
      <c r="F336" s="15" t="b">
        <v>0</v>
      </c>
      <c r="G336" s="33" t="s">
        <v>206</v>
      </c>
      <c r="H336" s="15" t="s">
        <v>803</v>
      </c>
      <c r="I336" s="33" t="s">
        <v>216</v>
      </c>
      <c r="J336" s="15"/>
      <c r="K336" s="15"/>
      <c r="L336" s="120" t="s">
        <v>220</v>
      </c>
      <c r="M336" s="15" t="s">
        <v>808</v>
      </c>
      <c r="N336" s="15" t="s">
        <v>809</v>
      </c>
      <c r="O336" s="15"/>
      <c r="P336" s="15"/>
      <c r="Q336" s="15" t="b">
        <v>0</v>
      </c>
    </row>
    <row r="337" spans="1:17" ht="15" hidden="1" customHeight="1">
      <c r="A337" s="15">
        <v>3256</v>
      </c>
      <c r="B337" s="15">
        <v>336</v>
      </c>
      <c r="C337" s="15">
        <v>0</v>
      </c>
      <c r="D337" s="15">
        <v>193</v>
      </c>
      <c r="E337" s="15" t="b">
        <v>0</v>
      </c>
      <c r="F337" s="15" t="b">
        <v>0</v>
      </c>
      <c r="G337" s="33" t="s">
        <v>206</v>
      </c>
      <c r="H337" s="15" t="s">
        <v>810</v>
      </c>
      <c r="I337" s="33" t="s">
        <v>208</v>
      </c>
      <c r="J337" s="15"/>
      <c r="K337" s="15"/>
      <c r="L337" s="120" t="s">
        <v>220</v>
      </c>
      <c r="M337" s="15" t="s">
        <v>811</v>
      </c>
      <c r="N337" s="15" t="s">
        <v>812</v>
      </c>
      <c r="O337" s="15"/>
      <c r="P337" s="15"/>
      <c r="Q337" s="15" t="b">
        <v>0</v>
      </c>
    </row>
    <row r="338" spans="1:17" ht="15" hidden="1" customHeight="1">
      <c r="A338" s="15">
        <v>3257</v>
      </c>
      <c r="B338" s="15">
        <v>337</v>
      </c>
      <c r="C338" s="15">
        <v>0</v>
      </c>
      <c r="D338" s="15">
        <v>193</v>
      </c>
      <c r="E338" s="15" t="b">
        <v>0</v>
      </c>
      <c r="F338" s="15" t="b">
        <v>0</v>
      </c>
      <c r="G338" s="33" t="s">
        <v>206</v>
      </c>
      <c r="H338" s="15" t="s">
        <v>810</v>
      </c>
      <c r="I338" s="33" t="s">
        <v>213</v>
      </c>
      <c r="J338" s="15"/>
      <c r="K338" s="15"/>
      <c r="L338" s="120" t="s">
        <v>220</v>
      </c>
      <c r="M338" s="15" t="s">
        <v>813</v>
      </c>
      <c r="N338" s="15" t="s">
        <v>814</v>
      </c>
      <c r="O338" s="15"/>
      <c r="P338" s="15"/>
      <c r="Q338" s="15" t="b">
        <v>0</v>
      </c>
    </row>
    <row r="339" spans="1:17" ht="15" hidden="1" customHeight="1">
      <c r="A339" s="15">
        <v>3258</v>
      </c>
      <c r="B339" s="15">
        <v>338</v>
      </c>
      <c r="C339" s="15">
        <v>0</v>
      </c>
      <c r="D339" s="15">
        <v>193</v>
      </c>
      <c r="E339" s="15" t="b">
        <v>0</v>
      </c>
      <c r="F339" s="15" t="b">
        <v>0</v>
      </c>
      <c r="G339" s="33" t="s">
        <v>206</v>
      </c>
      <c r="H339" s="15" t="s">
        <v>810</v>
      </c>
      <c r="I339" s="33" t="s">
        <v>216</v>
      </c>
      <c r="J339" s="15"/>
      <c r="K339" s="15"/>
      <c r="L339" s="120" t="s">
        <v>220</v>
      </c>
      <c r="M339" s="15" t="s">
        <v>815</v>
      </c>
      <c r="N339" s="15" t="s">
        <v>816</v>
      </c>
      <c r="O339" s="15"/>
      <c r="P339" s="15"/>
      <c r="Q339" s="15" t="b">
        <v>0</v>
      </c>
    </row>
    <row r="340" spans="1:17" ht="15" hidden="1" customHeight="1">
      <c r="A340" s="15">
        <v>3259</v>
      </c>
      <c r="B340" s="15">
        <v>339</v>
      </c>
      <c r="C340" s="15">
        <v>0</v>
      </c>
      <c r="D340" s="15">
        <v>193</v>
      </c>
      <c r="E340" s="15" t="b">
        <v>1</v>
      </c>
      <c r="F340" s="15" t="b">
        <v>0</v>
      </c>
      <c r="G340" s="33" t="s">
        <v>206</v>
      </c>
      <c r="H340" s="15" t="s">
        <v>817</v>
      </c>
      <c r="I340" s="33" t="s">
        <v>208</v>
      </c>
      <c r="J340" s="15"/>
      <c r="K340" s="15"/>
      <c r="L340" s="120" t="s">
        <v>210</v>
      </c>
      <c r="M340" s="15" t="s">
        <v>818</v>
      </c>
      <c r="N340" s="15" t="s">
        <v>819</v>
      </c>
      <c r="O340" s="15"/>
      <c r="P340" s="15"/>
      <c r="Q340" s="15" t="b">
        <v>0</v>
      </c>
    </row>
    <row r="341" spans="1:17" ht="15" hidden="1" customHeight="1">
      <c r="A341" s="15">
        <v>3260</v>
      </c>
      <c r="B341" s="15">
        <v>340</v>
      </c>
      <c r="C341" s="15">
        <v>0</v>
      </c>
      <c r="D341" s="15">
        <v>193</v>
      </c>
      <c r="E341" s="15" t="b">
        <v>1</v>
      </c>
      <c r="F341" s="15" t="b">
        <v>0</v>
      </c>
      <c r="G341" s="33" t="s">
        <v>206</v>
      </c>
      <c r="H341" s="15" t="s">
        <v>817</v>
      </c>
      <c r="I341" s="33" t="s">
        <v>213</v>
      </c>
      <c r="J341" s="15"/>
      <c r="K341" s="15"/>
      <c r="L341" s="120" t="s">
        <v>210</v>
      </c>
      <c r="M341" s="15" t="s">
        <v>820</v>
      </c>
      <c r="N341" s="15" t="s">
        <v>821</v>
      </c>
      <c r="O341" s="15"/>
      <c r="P341" s="15"/>
      <c r="Q341" s="15" t="b">
        <v>0</v>
      </c>
    </row>
    <row r="342" spans="1:17" ht="15" hidden="1" customHeight="1">
      <c r="A342" s="15">
        <v>3261</v>
      </c>
      <c r="B342" s="15">
        <v>341</v>
      </c>
      <c r="C342" s="15">
        <v>0</v>
      </c>
      <c r="D342" s="15">
        <v>193</v>
      </c>
      <c r="E342" s="15" t="b">
        <v>1</v>
      </c>
      <c r="F342" s="15" t="b">
        <v>0</v>
      </c>
      <c r="G342" s="33" t="s">
        <v>206</v>
      </c>
      <c r="H342" s="15" t="s">
        <v>817</v>
      </c>
      <c r="I342" s="33" t="s">
        <v>216</v>
      </c>
      <c r="J342" s="15"/>
      <c r="K342" s="15"/>
      <c r="L342" s="120" t="s">
        <v>210</v>
      </c>
      <c r="M342" s="15" t="s">
        <v>822</v>
      </c>
      <c r="N342" s="15" t="s">
        <v>823</v>
      </c>
      <c r="O342" s="15"/>
      <c r="P342" s="15"/>
      <c r="Q342" s="15" t="b">
        <v>0</v>
      </c>
    </row>
    <row r="343" spans="1:17" ht="15" hidden="1" customHeight="1">
      <c r="A343" s="15">
        <v>3262</v>
      </c>
      <c r="B343" s="15">
        <v>342</v>
      </c>
      <c r="C343" s="15">
        <v>0</v>
      </c>
      <c r="D343" s="15">
        <v>193</v>
      </c>
      <c r="E343" s="15" t="b">
        <v>0</v>
      </c>
      <c r="F343" s="15" t="b">
        <v>0</v>
      </c>
      <c r="G343" s="33" t="s">
        <v>206</v>
      </c>
      <c r="H343" s="15" t="s">
        <v>824</v>
      </c>
      <c r="I343" s="33" t="s">
        <v>208</v>
      </c>
      <c r="J343" s="15"/>
      <c r="K343" s="15"/>
      <c r="L343" s="120" t="s">
        <v>220</v>
      </c>
      <c r="M343" s="15" t="s">
        <v>825</v>
      </c>
      <c r="N343" s="15" t="s">
        <v>826</v>
      </c>
      <c r="O343" s="15"/>
      <c r="P343" s="15"/>
      <c r="Q343" s="15" t="b">
        <v>0</v>
      </c>
    </row>
    <row r="344" spans="1:17" ht="15" hidden="1" customHeight="1">
      <c r="A344" s="15">
        <v>3263</v>
      </c>
      <c r="B344" s="15">
        <v>343</v>
      </c>
      <c r="C344" s="15">
        <v>0</v>
      </c>
      <c r="D344" s="15">
        <v>193</v>
      </c>
      <c r="E344" s="15" t="b">
        <v>0</v>
      </c>
      <c r="F344" s="15" t="b">
        <v>0</v>
      </c>
      <c r="G344" s="33" t="s">
        <v>206</v>
      </c>
      <c r="H344" s="15" t="s">
        <v>824</v>
      </c>
      <c r="I344" s="33" t="s">
        <v>213</v>
      </c>
      <c r="J344" s="15"/>
      <c r="K344" s="15"/>
      <c r="L344" s="120" t="s">
        <v>220</v>
      </c>
      <c r="M344" s="15" t="s">
        <v>827</v>
      </c>
      <c r="N344" s="15" t="s">
        <v>828</v>
      </c>
      <c r="O344" s="15"/>
      <c r="P344" s="15"/>
      <c r="Q344" s="15" t="b">
        <v>0</v>
      </c>
    </row>
    <row r="345" spans="1:17" ht="15" hidden="1" customHeight="1">
      <c r="A345" s="15">
        <v>3264</v>
      </c>
      <c r="B345" s="15">
        <v>344</v>
      </c>
      <c r="C345" s="15">
        <v>0</v>
      </c>
      <c r="D345" s="15">
        <v>193</v>
      </c>
      <c r="E345" s="15" t="b">
        <v>0</v>
      </c>
      <c r="F345" s="15" t="b">
        <v>0</v>
      </c>
      <c r="G345" s="33" t="s">
        <v>206</v>
      </c>
      <c r="H345" s="15" t="s">
        <v>824</v>
      </c>
      <c r="I345" s="33" t="s">
        <v>216</v>
      </c>
      <c r="J345" s="15"/>
      <c r="K345" s="15"/>
      <c r="L345" s="120" t="s">
        <v>220</v>
      </c>
      <c r="M345" s="15" t="s">
        <v>829</v>
      </c>
      <c r="N345" s="15" t="s">
        <v>830</v>
      </c>
      <c r="O345" s="15"/>
      <c r="P345" s="15"/>
      <c r="Q345" s="15" t="b">
        <v>0</v>
      </c>
    </row>
    <row r="346" spans="1:17" ht="15" hidden="1" customHeight="1">
      <c r="A346" s="15">
        <v>3265</v>
      </c>
      <c r="B346" s="15">
        <v>345</v>
      </c>
      <c r="C346" s="15">
        <v>0</v>
      </c>
      <c r="D346" s="15">
        <v>193</v>
      </c>
      <c r="E346" s="15" t="b">
        <v>1</v>
      </c>
      <c r="F346" s="15" t="b">
        <v>0</v>
      </c>
      <c r="G346" s="33" t="s">
        <v>206</v>
      </c>
      <c r="H346" s="15" t="s">
        <v>831</v>
      </c>
      <c r="I346" s="33" t="s">
        <v>208</v>
      </c>
      <c r="J346" s="15"/>
      <c r="K346" s="15"/>
      <c r="L346" s="120" t="s">
        <v>210</v>
      </c>
      <c r="M346" s="15" t="s">
        <v>832</v>
      </c>
      <c r="N346" s="15" t="s">
        <v>833</v>
      </c>
      <c r="O346" s="15"/>
      <c r="P346" s="15"/>
      <c r="Q346" s="15" t="b">
        <v>0</v>
      </c>
    </row>
    <row r="347" spans="1:17" ht="15" hidden="1" customHeight="1">
      <c r="A347" s="15">
        <v>3266</v>
      </c>
      <c r="B347" s="15">
        <v>346</v>
      </c>
      <c r="C347" s="15">
        <v>0</v>
      </c>
      <c r="D347" s="15">
        <v>193</v>
      </c>
      <c r="E347" s="15" t="b">
        <v>1</v>
      </c>
      <c r="F347" s="15" t="b">
        <v>0</v>
      </c>
      <c r="G347" s="33" t="s">
        <v>206</v>
      </c>
      <c r="H347" s="15" t="s">
        <v>831</v>
      </c>
      <c r="I347" s="33" t="s">
        <v>213</v>
      </c>
      <c r="J347" s="15"/>
      <c r="K347" s="15"/>
      <c r="L347" s="120" t="s">
        <v>210</v>
      </c>
      <c r="M347" s="15" t="s">
        <v>834</v>
      </c>
      <c r="N347" s="15" t="s">
        <v>835</v>
      </c>
      <c r="O347" s="15"/>
      <c r="P347" s="15"/>
      <c r="Q347" s="15" t="b">
        <v>0</v>
      </c>
    </row>
    <row r="348" spans="1:17" ht="15" hidden="1" customHeight="1">
      <c r="A348" s="15">
        <v>3267</v>
      </c>
      <c r="B348" s="15">
        <v>347</v>
      </c>
      <c r="C348" s="15">
        <v>0</v>
      </c>
      <c r="D348" s="15">
        <v>193</v>
      </c>
      <c r="E348" s="15" t="b">
        <v>1</v>
      </c>
      <c r="F348" s="15" t="b">
        <v>0</v>
      </c>
      <c r="G348" s="33" t="s">
        <v>206</v>
      </c>
      <c r="H348" s="15" t="s">
        <v>831</v>
      </c>
      <c r="I348" s="33" t="s">
        <v>216</v>
      </c>
      <c r="J348" s="15"/>
      <c r="K348" s="15"/>
      <c r="L348" s="120" t="s">
        <v>210</v>
      </c>
      <c r="M348" s="15" t="s">
        <v>836</v>
      </c>
      <c r="N348" s="15" t="s">
        <v>837</v>
      </c>
      <c r="O348" s="15"/>
      <c r="P348" s="15"/>
      <c r="Q348" s="15" t="b">
        <v>0</v>
      </c>
    </row>
    <row r="349" spans="1:17" ht="15" hidden="1" customHeight="1">
      <c r="A349" s="15">
        <v>3268</v>
      </c>
      <c r="B349" s="15">
        <v>348</v>
      </c>
      <c r="C349" s="15">
        <v>0</v>
      </c>
      <c r="D349" s="15">
        <v>193</v>
      </c>
      <c r="E349" s="15" t="b">
        <v>0</v>
      </c>
      <c r="F349" s="15" t="b">
        <v>0</v>
      </c>
      <c r="G349" s="33" t="s">
        <v>206</v>
      </c>
      <c r="H349" s="15" t="s">
        <v>838</v>
      </c>
      <c r="I349" s="33" t="s">
        <v>208</v>
      </c>
      <c r="J349" s="15"/>
      <c r="K349" s="15"/>
      <c r="L349" s="120" t="s">
        <v>220</v>
      </c>
      <c r="M349" s="15" t="s">
        <v>839</v>
      </c>
      <c r="N349" s="15" t="s">
        <v>840</v>
      </c>
      <c r="O349" s="15"/>
      <c r="P349" s="15"/>
      <c r="Q349" s="15" t="b">
        <v>0</v>
      </c>
    </row>
    <row r="350" spans="1:17" ht="15" hidden="1" customHeight="1">
      <c r="A350" s="15">
        <v>3269</v>
      </c>
      <c r="B350" s="15">
        <v>349</v>
      </c>
      <c r="C350" s="15">
        <v>0</v>
      </c>
      <c r="D350" s="15">
        <v>193</v>
      </c>
      <c r="E350" s="15" t="b">
        <v>0</v>
      </c>
      <c r="F350" s="15" t="b">
        <v>0</v>
      </c>
      <c r="G350" s="33" t="s">
        <v>206</v>
      </c>
      <c r="H350" s="15" t="s">
        <v>838</v>
      </c>
      <c r="I350" s="33" t="s">
        <v>213</v>
      </c>
      <c r="J350" s="15"/>
      <c r="K350" s="15"/>
      <c r="L350" s="120" t="s">
        <v>220</v>
      </c>
      <c r="M350" s="15" t="s">
        <v>841</v>
      </c>
      <c r="N350" s="15" t="s">
        <v>842</v>
      </c>
      <c r="O350" s="15"/>
      <c r="P350" s="15"/>
      <c r="Q350" s="15" t="b">
        <v>0</v>
      </c>
    </row>
    <row r="351" spans="1:17" ht="15" hidden="1" customHeight="1">
      <c r="A351" s="15">
        <v>3270</v>
      </c>
      <c r="B351" s="15">
        <v>350</v>
      </c>
      <c r="C351" s="15">
        <v>0</v>
      </c>
      <c r="D351" s="15">
        <v>193</v>
      </c>
      <c r="E351" s="15" t="b">
        <v>0</v>
      </c>
      <c r="F351" s="15" t="b">
        <v>0</v>
      </c>
      <c r="G351" s="33" t="s">
        <v>206</v>
      </c>
      <c r="H351" s="15" t="s">
        <v>838</v>
      </c>
      <c r="I351" s="33" t="s">
        <v>216</v>
      </c>
      <c r="J351" s="15"/>
      <c r="K351" s="15"/>
      <c r="L351" s="120" t="s">
        <v>220</v>
      </c>
      <c r="M351" s="15" t="s">
        <v>843</v>
      </c>
      <c r="N351" s="15" t="s">
        <v>844</v>
      </c>
      <c r="O351" s="15"/>
      <c r="P351" s="15"/>
      <c r="Q351" s="15" t="b">
        <v>0</v>
      </c>
    </row>
    <row r="352" spans="1:17" ht="15" hidden="1" customHeight="1">
      <c r="A352" s="15">
        <v>3271</v>
      </c>
      <c r="B352" s="15">
        <v>351</v>
      </c>
      <c r="C352" s="15">
        <v>0</v>
      </c>
      <c r="D352" s="15">
        <v>193</v>
      </c>
      <c r="E352" s="15" t="b">
        <v>0</v>
      </c>
      <c r="F352" s="15" t="b">
        <v>0</v>
      </c>
      <c r="G352" s="33" t="s">
        <v>206</v>
      </c>
      <c r="H352" s="15" t="s">
        <v>845</v>
      </c>
      <c r="I352" s="33" t="s">
        <v>208</v>
      </c>
      <c r="J352" s="15"/>
      <c r="K352" s="15"/>
      <c r="L352" s="120" t="s">
        <v>220</v>
      </c>
      <c r="M352" s="15" t="s">
        <v>846</v>
      </c>
      <c r="N352" s="15" t="s">
        <v>847</v>
      </c>
      <c r="O352" s="15"/>
      <c r="P352" s="15"/>
      <c r="Q352" s="15" t="b">
        <v>0</v>
      </c>
    </row>
    <row r="353" spans="1:17" ht="15" hidden="1" customHeight="1">
      <c r="A353" s="15">
        <v>3272</v>
      </c>
      <c r="B353" s="15">
        <v>352</v>
      </c>
      <c r="C353" s="15">
        <v>0</v>
      </c>
      <c r="D353" s="15">
        <v>193</v>
      </c>
      <c r="E353" s="15" t="b">
        <v>0</v>
      </c>
      <c r="F353" s="15" t="b">
        <v>0</v>
      </c>
      <c r="G353" s="33" t="s">
        <v>206</v>
      </c>
      <c r="H353" s="15" t="s">
        <v>845</v>
      </c>
      <c r="I353" s="33" t="s">
        <v>213</v>
      </c>
      <c r="J353" s="15"/>
      <c r="K353" s="15"/>
      <c r="L353" s="120" t="s">
        <v>220</v>
      </c>
      <c r="M353" s="15" t="s">
        <v>848</v>
      </c>
      <c r="N353" s="15" t="s">
        <v>849</v>
      </c>
      <c r="O353" s="15"/>
      <c r="P353" s="15"/>
      <c r="Q353" s="15" t="b">
        <v>0</v>
      </c>
    </row>
    <row r="354" spans="1:17" ht="15" hidden="1" customHeight="1">
      <c r="A354" s="15">
        <v>3273</v>
      </c>
      <c r="B354" s="15">
        <v>353</v>
      </c>
      <c r="C354" s="15">
        <v>0</v>
      </c>
      <c r="D354" s="15">
        <v>193</v>
      </c>
      <c r="E354" s="15" t="b">
        <v>0</v>
      </c>
      <c r="F354" s="15" t="b">
        <v>0</v>
      </c>
      <c r="G354" s="33" t="s">
        <v>206</v>
      </c>
      <c r="H354" s="15" t="s">
        <v>845</v>
      </c>
      <c r="I354" s="33" t="s">
        <v>216</v>
      </c>
      <c r="J354" s="15"/>
      <c r="K354" s="15"/>
      <c r="L354" s="120" t="s">
        <v>220</v>
      </c>
      <c r="M354" s="15" t="s">
        <v>850</v>
      </c>
      <c r="N354" s="15" t="s">
        <v>851</v>
      </c>
      <c r="O354" s="15"/>
      <c r="P354" s="15"/>
      <c r="Q354" s="15" t="b">
        <v>0</v>
      </c>
    </row>
    <row r="355" spans="1:17" ht="15" hidden="1" customHeight="1">
      <c r="A355" s="15">
        <v>3274</v>
      </c>
      <c r="B355" s="15">
        <v>354</v>
      </c>
      <c r="C355" s="15">
        <v>0</v>
      </c>
      <c r="D355" s="15">
        <v>193</v>
      </c>
      <c r="E355" s="15" t="b">
        <v>1</v>
      </c>
      <c r="F355" s="15" t="b">
        <v>0</v>
      </c>
      <c r="G355" s="33" t="s">
        <v>206</v>
      </c>
      <c r="H355" s="15" t="s">
        <v>852</v>
      </c>
      <c r="I355" s="33" t="s">
        <v>208</v>
      </c>
      <c r="J355" s="15"/>
      <c r="K355" s="15"/>
      <c r="L355" s="120" t="s">
        <v>210</v>
      </c>
      <c r="M355" s="15" t="s">
        <v>853</v>
      </c>
      <c r="N355" s="15" t="s">
        <v>854</v>
      </c>
      <c r="O355" s="15"/>
      <c r="P355" s="15"/>
      <c r="Q355" s="15" t="b">
        <v>0</v>
      </c>
    </row>
    <row r="356" spans="1:17" ht="15" hidden="1" customHeight="1">
      <c r="A356" s="15">
        <v>3275</v>
      </c>
      <c r="B356" s="15">
        <v>355</v>
      </c>
      <c r="C356" s="15">
        <v>0</v>
      </c>
      <c r="D356" s="15">
        <v>193</v>
      </c>
      <c r="E356" s="15" t="b">
        <v>1</v>
      </c>
      <c r="F356" s="15" t="b">
        <v>0</v>
      </c>
      <c r="G356" s="33" t="s">
        <v>206</v>
      </c>
      <c r="H356" s="15" t="s">
        <v>852</v>
      </c>
      <c r="I356" s="33" t="s">
        <v>213</v>
      </c>
      <c r="J356" s="15"/>
      <c r="K356" s="15"/>
      <c r="L356" s="120" t="s">
        <v>210</v>
      </c>
      <c r="M356" s="15" t="s">
        <v>855</v>
      </c>
      <c r="N356" s="15" t="s">
        <v>856</v>
      </c>
      <c r="O356" s="15"/>
      <c r="P356" s="15"/>
      <c r="Q356" s="15" t="b">
        <v>0</v>
      </c>
    </row>
    <row r="357" spans="1:17" ht="15" hidden="1" customHeight="1">
      <c r="A357" s="15">
        <v>3276</v>
      </c>
      <c r="B357" s="15">
        <v>356</v>
      </c>
      <c r="C357" s="15">
        <v>0</v>
      </c>
      <c r="D357" s="15">
        <v>193</v>
      </c>
      <c r="E357" s="15" t="b">
        <v>1</v>
      </c>
      <c r="F357" s="15" t="b">
        <v>0</v>
      </c>
      <c r="G357" s="33" t="s">
        <v>206</v>
      </c>
      <c r="H357" s="15" t="s">
        <v>852</v>
      </c>
      <c r="I357" s="33" t="s">
        <v>216</v>
      </c>
      <c r="J357" s="15"/>
      <c r="K357" s="15"/>
      <c r="L357" s="120" t="s">
        <v>210</v>
      </c>
      <c r="M357" s="15" t="s">
        <v>857</v>
      </c>
      <c r="N357" s="15" t="s">
        <v>858</v>
      </c>
      <c r="O357" s="15"/>
      <c r="P357" s="15"/>
      <c r="Q357" s="15" t="b">
        <v>0</v>
      </c>
    </row>
    <row r="358" spans="1:17" ht="15" hidden="1" customHeight="1">
      <c r="A358" s="15">
        <v>3277</v>
      </c>
      <c r="B358" s="15">
        <v>357</v>
      </c>
      <c r="C358" s="15">
        <v>0</v>
      </c>
      <c r="D358" s="15">
        <v>193</v>
      </c>
      <c r="E358" s="15" t="b">
        <v>0</v>
      </c>
      <c r="F358" s="15" t="b">
        <v>0</v>
      </c>
      <c r="G358" s="33" t="s">
        <v>206</v>
      </c>
      <c r="H358" s="15" t="s">
        <v>859</v>
      </c>
      <c r="I358" s="33" t="s">
        <v>208</v>
      </c>
      <c r="J358" s="15"/>
      <c r="K358" s="15"/>
      <c r="L358" s="120" t="s">
        <v>220</v>
      </c>
      <c r="M358" s="15" t="s">
        <v>860</v>
      </c>
      <c r="N358" s="15" t="s">
        <v>861</v>
      </c>
      <c r="O358" s="15"/>
      <c r="P358" s="15"/>
      <c r="Q358" s="15" t="b">
        <v>0</v>
      </c>
    </row>
    <row r="359" spans="1:17" ht="15" hidden="1" customHeight="1">
      <c r="A359" s="15">
        <v>3278</v>
      </c>
      <c r="B359" s="15">
        <v>358</v>
      </c>
      <c r="C359" s="15">
        <v>0</v>
      </c>
      <c r="D359" s="15">
        <v>193</v>
      </c>
      <c r="E359" s="15" t="b">
        <v>0</v>
      </c>
      <c r="F359" s="15" t="b">
        <v>0</v>
      </c>
      <c r="G359" s="33" t="s">
        <v>206</v>
      </c>
      <c r="H359" s="15" t="s">
        <v>859</v>
      </c>
      <c r="I359" s="33" t="s">
        <v>213</v>
      </c>
      <c r="J359" s="15"/>
      <c r="K359" s="15"/>
      <c r="L359" s="120" t="s">
        <v>220</v>
      </c>
      <c r="M359" s="15" t="s">
        <v>862</v>
      </c>
      <c r="N359" s="15" t="s">
        <v>863</v>
      </c>
      <c r="O359" s="15"/>
      <c r="P359" s="15"/>
      <c r="Q359" s="15" t="b">
        <v>0</v>
      </c>
    </row>
    <row r="360" spans="1:17" ht="15" hidden="1" customHeight="1">
      <c r="A360" s="15">
        <v>3279</v>
      </c>
      <c r="B360" s="15">
        <v>359</v>
      </c>
      <c r="C360" s="15">
        <v>0</v>
      </c>
      <c r="D360" s="15">
        <v>193</v>
      </c>
      <c r="E360" s="15" t="b">
        <v>0</v>
      </c>
      <c r="F360" s="15" t="b">
        <v>0</v>
      </c>
      <c r="G360" s="33" t="s">
        <v>206</v>
      </c>
      <c r="H360" s="15" t="s">
        <v>859</v>
      </c>
      <c r="I360" s="33" t="s">
        <v>216</v>
      </c>
      <c r="J360" s="15"/>
      <c r="K360" s="15"/>
      <c r="L360" s="120" t="s">
        <v>220</v>
      </c>
      <c r="M360" s="15" t="s">
        <v>864</v>
      </c>
      <c r="N360" s="15" t="s">
        <v>865</v>
      </c>
      <c r="O360" s="15"/>
      <c r="P360" s="15"/>
      <c r="Q360" s="15" t="b">
        <v>0</v>
      </c>
    </row>
    <row r="361" spans="1:17" ht="15" hidden="1" customHeight="1">
      <c r="A361" s="15">
        <v>3280</v>
      </c>
      <c r="B361" s="15">
        <v>360</v>
      </c>
      <c r="C361" s="15">
        <v>0</v>
      </c>
      <c r="D361" s="15">
        <v>193</v>
      </c>
      <c r="E361" s="15" t="b">
        <v>0</v>
      </c>
      <c r="F361" s="15" t="b">
        <v>0</v>
      </c>
      <c r="G361" s="33" t="s">
        <v>206</v>
      </c>
      <c r="H361" s="15" t="s">
        <v>866</v>
      </c>
      <c r="I361" s="33" t="s">
        <v>208</v>
      </c>
      <c r="J361" s="15"/>
      <c r="K361" s="15"/>
      <c r="L361" s="120" t="s">
        <v>220</v>
      </c>
      <c r="M361" s="15" t="s">
        <v>867</v>
      </c>
      <c r="N361" s="15" t="s">
        <v>868</v>
      </c>
      <c r="O361" s="15"/>
      <c r="P361" s="15"/>
      <c r="Q361" s="15" t="b">
        <v>0</v>
      </c>
    </row>
    <row r="362" spans="1:17" ht="15" hidden="1" customHeight="1">
      <c r="A362" s="15">
        <v>3281</v>
      </c>
      <c r="B362" s="15">
        <v>361</v>
      </c>
      <c r="C362" s="15">
        <v>0</v>
      </c>
      <c r="D362" s="15">
        <v>193</v>
      </c>
      <c r="E362" s="15" t="b">
        <v>0</v>
      </c>
      <c r="F362" s="15" t="b">
        <v>0</v>
      </c>
      <c r="G362" s="33" t="s">
        <v>206</v>
      </c>
      <c r="H362" s="15" t="s">
        <v>866</v>
      </c>
      <c r="I362" s="33" t="s">
        <v>213</v>
      </c>
      <c r="J362" s="15"/>
      <c r="K362" s="15"/>
      <c r="L362" s="120" t="s">
        <v>220</v>
      </c>
      <c r="M362" s="15" t="s">
        <v>869</v>
      </c>
      <c r="N362" s="15" t="s">
        <v>870</v>
      </c>
      <c r="O362" s="15"/>
      <c r="P362" s="15"/>
      <c r="Q362" s="15" t="b">
        <v>0</v>
      </c>
    </row>
    <row r="363" spans="1:17" ht="15" hidden="1" customHeight="1">
      <c r="A363" s="15">
        <v>3282</v>
      </c>
      <c r="B363" s="15">
        <v>362</v>
      </c>
      <c r="C363" s="15">
        <v>0</v>
      </c>
      <c r="D363" s="15">
        <v>193</v>
      </c>
      <c r="E363" s="15" t="b">
        <v>0</v>
      </c>
      <c r="F363" s="15" t="b">
        <v>0</v>
      </c>
      <c r="G363" s="33" t="s">
        <v>206</v>
      </c>
      <c r="H363" s="15" t="s">
        <v>866</v>
      </c>
      <c r="I363" s="33" t="s">
        <v>216</v>
      </c>
      <c r="J363" s="15"/>
      <c r="K363" s="15"/>
      <c r="L363" s="120" t="s">
        <v>220</v>
      </c>
      <c r="M363" s="15" t="s">
        <v>871</v>
      </c>
      <c r="N363" s="15" t="s">
        <v>872</v>
      </c>
      <c r="O363" s="15"/>
      <c r="P363" s="15"/>
      <c r="Q363" s="15" t="b">
        <v>0</v>
      </c>
    </row>
    <row r="364" spans="1:17" ht="15" hidden="1" customHeight="1">
      <c r="A364" s="15">
        <v>3283</v>
      </c>
      <c r="B364" s="15">
        <v>363</v>
      </c>
      <c r="C364" s="15">
        <v>0</v>
      </c>
      <c r="D364" s="15">
        <v>193</v>
      </c>
      <c r="E364" s="15" t="b">
        <v>1</v>
      </c>
      <c r="F364" s="15" t="b">
        <v>0</v>
      </c>
      <c r="G364" s="33" t="s">
        <v>206</v>
      </c>
      <c r="H364" s="15" t="s">
        <v>873</v>
      </c>
      <c r="I364" s="33" t="s">
        <v>208</v>
      </c>
      <c r="J364" s="15"/>
      <c r="K364" s="15"/>
      <c r="L364" s="120" t="s">
        <v>210</v>
      </c>
      <c r="M364" s="15" t="s">
        <v>874</v>
      </c>
      <c r="N364" s="15" t="s">
        <v>875</v>
      </c>
      <c r="O364" s="15"/>
      <c r="P364" s="15"/>
      <c r="Q364" s="15" t="b">
        <v>0</v>
      </c>
    </row>
    <row r="365" spans="1:17" ht="15" hidden="1" customHeight="1">
      <c r="A365" s="15">
        <v>3284</v>
      </c>
      <c r="B365" s="15">
        <v>364</v>
      </c>
      <c r="C365" s="15">
        <v>0</v>
      </c>
      <c r="D365" s="15">
        <v>193</v>
      </c>
      <c r="E365" s="15" t="b">
        <v>1</v>
      </c>
      <c r="F365" s="15" t="b">
        <v>0</v>
      </c>
      <c r="G365" s="33" t="s">
        <v>206</v>
      </c>
      <c r="H365" s="15" t="s">
        <v>873</v>
      </c>
      <c r="I365" s="33" t="s">
        <v>213</v>
      </c>
      <c r="J365" s="15"/>
      <c r="K365" s="15"/>
      <c r="L365" s="120" t="s">
        <v>210</v>
      </c>
      <c r="M365" s="15" t="s">
        <v>876</v>
      </c>
      <c r="N365" s="15" t="s">
        <v>877</v>
      </c>
      <c r="O365" s="15"/>
      <c r="P365" s="15"/>
      <c r="Q365" s="15" t="b">
        <v>0</v>
      </c>
    </row>
    <row r="366" spans="1:17" ht="15" hidden="1" customHeight="1">
      <c r="A366" s="15">
        <v>3285</v>
      </c>
      <c r="B366" s="15">
        <v>365</v>
      </c>
      <c r="C366" s="15">
        <v>0</v>
      </c>
      <c r="D366" s="15">
        <v>193</v>
      </c>
      <c r="E366" s="15" t="b">
        <v>1</v>
      </c>
      <c r="F366" s="15" t="b">
        <v>0</v>
      </c>
      <c r="G366" s="33" t="s">
        <v>206</v>
      </c>
      <c r="H366" s="15" t="s">
        <v>873</v>
      </c>
      <c r="I366" s="33" t="s">
        <v>216</v>
      </c>
      <c r="J366" s="15"/>
      <c r="K366" s="15"/>
      <c r="L366" s="120" t="s">
        <v>210</v>
      </c>
      <c r="M366" s="15" t="s">
        <v>878</v>
      </c>
      <c r="N366" s="15" t="s">
        <v>879</v>
      </c>
      <c r="O366" s="15"/>
      <c r="P366" s="15"/>
      <c r="Q366" s="15" t="b">
        <v>0</v>
      </c>
    </row>
    <row r="367" spans="1:17" ht="15" hidden="1" customHeight="1">
      <c r="A367" s="15">
        <v>3286</v>
      </c>
      <c r="B367" s="15">
        <v>366</v>
      </c>
      <c r="C367" s="15">
        <v>0</v>
      </c>
      <c r="D367" s="15">
        <v>193</v>
      </c>
      <c r="E367" s="15" t="b">
        <v>0</v>
      </c>
      <c r="F367" s="15" t="b">
        <v>0</v>
      </c>
      <c r="G367" s="33" t="s">
        <v>206</v>
      </c>
      <c r="H367" s="15" t="s">
        <v>880</v>
      </c>
      <c r="I367" s="33" t="s">
        <v>208</v>
      </c>
      <c r="J367" s="15"/>
      <c r="K367" s="15"/>
      <c r="L367" s="120" t="s">
        <v>220</v>
      </c>
      <c r="M367" s="15" t="s">
        <v>881</v>
      </c>
      <c r="N367" s="15" t="s">
        <v>882</v>
      </c>
      <c r="O367" s="15"/>
      <c r="P367" s="15"/>
      <c r="Q367" s="15" t="b">
        <v>0</v>
      </c>
    </row>
    <row r="368" spans="1:17" ht="15" hidden="1" customHeight="1">
      <c r="A368" s="15">
        <v>3287</v>
      </c>
      <c r="B368" s="15">
        <v>367</v>
      </c>
      <c r="C368" s="15">
        <v>0</v>
      </c>
      <c r="D368" s="15">
        <v>193</v>
      </c>
      <c r="E368" s="15" t="b">
        <v>0</v>
      </c>
      <c r="F368" s="15" t="b">
        <v>0</v>
      </c>
      <c r="G368" s="33" t="s">
        <v>206</v>
      </c>
      <c r="H368" s="15" t="s">
        <v>880</v>
      </c>
      <c r="I368" s="33" t="s">
        <v>213</v>
      </c>
      <c r="J368" s="15"/>
      <c r="K368" s="15"/>
      <c r="L368" s="120" t="s">
        <v>220</v>
      </c>
      <c r="M368" s="15" t="s">
        <v>883</v>
      </c>
      <c r="N368" s="15" t="s">
        <v>884</v>
      </c>
      <c r="O368" s="15"/>
      <c r="P368" s="15"/>
      <c r="Q368" s="15" t="b">
        <v>0</v>
      </c>
    </row>
    <row r="369" spans="1:17" ht="15" hidden="1" customHeight="1">
      <c r="A369" s="15">
        <v>3288</v>
      </c>
      <c r="B369" s="15">
        <v>368</v>
      </c>
      <c r="C369" s="15">
        <v>0</v>
      </c>
      <c r="D369" s="15">
        <v>193</v>
      </c>
      <c r="E369" s="15" t="b">
        <v>0</v>
      </c>
      <c r="F369" s="15" t="b">
        <v>0</v>
      </c>
      <c r="G369" s="33" t="s">
        <v>206</v>
      </c>
      <c r="H369" s="15" t="s">
        <v>880</v>
      </c>
      <c r="I369" s="33" t="s">
        <v>216</v>
      </c>
      <c r="J369" s="15"/>
      <c r="K369" s="15"/>
      <c r="L369" s="120" t="s">
        <v>220</v>
      </c>
      <c r="M369" s="15" t="s">
        <v>885</v>
      </c>
      <c r="N369" s="15" t="s">
        <v>886</v>
      </c>
      <c r="O369" s="15"/>
      <c r="P369" s="15"/>
      <c r="Q369" s="15" t="b">
        <v>0</v>
      </c>
    </row>
    <row r="370" spans="1:17" ht="15" hidden="1" customHeight="1">
      <c r="A370" s="15">
        <v>3289</v>
      </c>
      <c r="B370" s="15">
        <v>369</v>
      </c>
      <c r="C370" s="15">
        <v>0</v>
      </c>
      <c r="D370" s="15">
        <v>193</v>
      </c>
      <c r="E370" s="15" t="b">
        <v>1</v>
      </c>
      <c r="F370" s="15" t="b">
        <v>0</v>
      </c>
      <c r="G370" s="33" t="s">
        <v>206</v>
      </c>
      <c r="H370" s="15" t="s">
        <v>887</v>
      </c>
      <c r="I370" s="33" t="s">
        <v>208</v>
      </c>
      <c r="J370" s="15"/>
      <c r="K370" s="15"/>
      <c r="L370" s="120" t="s">
        <v>210</v>
      </c>
      <c r="M370" s="15" t="s">
        <v>888</v>
      </c>
      <c r="N370" s="15" t="s">
        <v>889</v>
      </c>
      <c r="O370" s="15"/>
      <c r="P370" s="15"/>
      <c r="Q370" s="15" t="b">
        <v>0</v>
      </c>
    </row>
    <row r="371" spans="1:17" ht="15" hidden="1" customHeight="1">
      <c r="A371" s="15">
        <v>3290</v>
      </c>
      <c r="B371" s="15">
        <v>370</v>
      </c>
      <c r="C371" s="15">
        <v>0</v>
      </c>
      <c r="D371" s="15">
        <v>193</v>
      </c>
      <c r="E371" s="15" t="b">
        <v>1</v>
      </c>
      <c r="F371" s="15" t="b">
        <v>0</v>
      </c>
      <c r="G371" s="33" t="s">
        <v>206</v>
      </c>
      <c r="H371" s="15" t="s">
        <v>887</v>
      </c>
      <c r="I371" s="33" t="s">
        <v>213</v>
      </c>
      <c r="J371" s="15"/>
      <c r="K371" s="15"/>
      <c r="L371" s="120" t="s">
        <v>210</v>
      </c>
      <c r="M371" s="15" t="s">
        <v>890</v>
      </c>
      <c r="N371" s="15" t="s">
        <v>891</v>
      </c>
      <c r="O371" s="15"/>
      <c r="P371" s="15"/>
      <c r="Q371" s="15" t="b">
        <v>0</v>
      </c>
    </row>
    <row r="372" spans="1:17" ht="15" hidden="1" customHeight="1">
      <c r="A372" s="15">
        <v>3291</v>
      </c>
      <c r="B372" s="15">
        <v>371</v>
      </c>
      <c r="C372" s="15">
        <v>0</v>
      </c>
      <c r="D372" s="15">
        <v>193</v>
      </c>
      <c r="E372" s="15" t="b">
        <v>1</v>
      </c>
      <c r="F372" s="15" t="b">
        <v>0</v>
      </c>
      <c r="G372" s="33" t="s">
        <v>206</v>
      </c>
      <c r="H372" s="15" t="s">
        <v>887</v>
      </c>
      <c r="I372" s="33" t="s">
        <v>216</v>
      </c>
      <c r="J372" s="15"/>
      <c r="K372" s="15"/>
      <c r="L372" s="120" t="s">
        <v>210</v>
      </c>
      <c r="M372" s="15" t="s">
        <v>892</v>
      </c>
      <c r="N372" s="15" t="s">
        <v>893</v>
      </c>
      <c r="O372" s="15"/>
      <c r="P372" s="15"/>
      <c r="Q372" s="15" t="b">
        <v>0</v>
      </c>
    </row>
    <row r="373" spans="1:17" ht="15" hidden="1" customHeight="1">
      <c r="A373" s="15">
        <v>3292</v>
      </c>
      <c r="B373" s="15">
        <v>372</v>
      </c>
      <c r="C373" s="15">
        <v>0</v>
      </c>
      <c r="D373" s="15">
        <v>193</v>
      </c>
      <c r="E373" s="15" t="b">
        <v>0</v>
      </c>
      <c r="F373" s="15" t="b">
        <v>0</v>
      </c>
      <c r="G373" s="33" t="s">
        <v>206</v>
      </c>
      <c r="H373" s="15" t="s">
        <v>894</v>
      </c>
      <c r="I373" s="33" t="s">
        <v>208</v>
      </c>
      <c r="J373" s="15"/>
      <c r="K373" s="15"/>
      <c r="L373" s="120" t="s">
        <v>220</v>
      </c>
      <c r="M373" s="15" t="s">
        <v>895</v>
      </c>
      <c r="N373" s="15" t="s">
        <v>896</v>
      </c>
      <c r="O373" s="15"/>
      <c r="P373" s="15"/>
      <c r="Q373" s="15" t="b">
        <v>0</v>
      </c>
    </row>
    <row r="374" spans="1:17" ht="15" hidden="1" customHeight="1">
      <c r="A374" s="15">
        <v>3293</v>
      </c>
      <c r="B374" s="15">
        <v>373</v>
      </c>
      <c r="C374" s="15">
        <v>0</v>
      </c>
      <c r="D374" s="15">
        <v>193</v>
      </c>
      <c r="E374" s="15" t="b">
        <v>0</v>
      </c>
      <c r="F374" s="15" t="b">
        <v>0</v>
      </c>
      <c r="G374" s="33" t="s">
        <v>206</v>
      </c>
      <c r="H374" s="15" t="s">
        <v>894</v>
      </c>
      <c r="I374" s="33" t="s">
        <v>213</v>
      </c>
      <c r="J374" s="15"/>
      <c r="K374" s="15"/>
      <c r="L374" s="120" t="s">
        <v>220</v>
      </c>
      <c r="M374" s="15" t="s">
        <v>897</v>
      </c>
      <c r="N374" s="15" t="s">
        <v>898</v>
      </c>
      <c r="O374" s="15"/>
      <c r="P374" s="15"/>
      <c r="Q374" s="15" t="b">
        <v>0</v>
      </c>
    </row>
    <row r="375" spans="1:17" ht="15" hidden="1" customHeight="1">
      <c r="A375" s="15">
        <v>3294</v>
      </c>
      <c r="B375" s="15">
        <v>374</v>
      </c>
      <c r="C375" s="15">
        <v>0</v>
      </c>
      <c r="D375" s="15">
        <v>193</v>
      </c>
      <c r="E375" s="15" t="b">
        <v>0</v>
      </c>
      <c r="F375" s="15" t="b">
        <v>0</v>
      </c>
      <c r="G375" s="33" t="s">
        <v>206</v>
      </c>
      <c r="H375" s="15" t="s">
        <v>894</v>
      </c>
      <c r="I375" s="33" t="s">
        <v>216</v>
      </c>
      <c r="J375" s="15"/>
      <c r="K375" s="15"/>
      <c r="L375" s="120" t="s">
        <v>220</v>
      </c>
      <c r="M375" s="15" t="s">
        <v>899</v>
      </c>
      <c r="N375" s="15" t="s">
        <v>900</v>
      </c>
      <c r="O375" s="15"/>
      <c r="P375" s="15"/>
      <c r="Q375" s="15" t="b">
        <v>0</v>
      </c>
    </row>
    <row r="376" spans="1:17" ht="15" hidden="1" customHeight="1">
      <c r="A376" s="15">
        <v>3295</v>
      </c>
      <c r="B376" s="15">
        <v>375</v>
      </c>
      <c r="C376" s="15">
        <v>0</v>
      </c>
      <c r="D376" s="15">
        <v>193</v>
      </c>
      <c r="E376" s="15" t="b">
        <v>0</v>
      </c>
      <c r="F376" s="15" t="b">
        <v>0</v>
      </c>
      <c r="G376" s="33" t="s">
        <v>206</v>
      </c>
      <c r="H376" s="15" t="s">
        <v>901</v>
      </c>
      <c r="I376" s="33" t="s">
        <v>208</v>
      </c>
      <c r="J376" s="15"/>
      <c r="K376" s="15"/>
      <c r="L376" s="120" t="s">
        <v>220</v>
      </c>
      <c r="M376" s="15" t="s">
        <v>902</v>
      </c>
      <c r="N376" s="15" t="s">
        <v>903</v>
      </c>
      <c r="O376" s="15"/>
      <c r="P376" s="15"/>
      <c r="Q376" s="15" t="b">
        <v>0</v>
      </c>
    </row>
    <row r="377" spans="1:17" ht="15" hidden="1" customHeight="1">
      <c r="A377" s="15">
        <v>3296</v>
      </c>
      <c r="B377" s="15">
        <v>376</v>
      </c>
      <c r="C377" s="15">
        <v>0</v>
      </c>
      <c r="D377" s="15">
        <v>193</v>
      </c>
      <c r="E377" s="15" t="b">
        <v>0</v>
      </c>
      <c r="F377" s="15" t="b">
        <v>0</v>
      </c>
      <c r="G377" s="33" t="s">
        <v>206</v>
      </c>
      <c r="H377" s="15" t="s">
        <v>901</v>
      </c>
      <c r="I377" s="33" t="s">
        <v>213</v>
      </c>
      <c r="J377" s="15"/>
      <c r="K377" s="15"/>
      <c r="L377" s="120" t="s">
        <v>220</v>
      </c>
      <c r="M377" s="15" t="s">
        <v>904</v>
      </c>
      <c r="N377" s="15" t="s">
        <v>905</v>
      </c>
      <c r="O377" s="15"/>
      <c r="P377" s="15"/>
      <c r="Q377" s="15" t="b">
        <v>0</v>
      </c>
    </row>
    <row r="378" spans="1:17" ht="15" hidden="1" customHeight="1">
      <c r="A378" s="15">
        <v>3297</v>
      </c>
      <c r="B378" s="15">
        <v>377</v>
      </c>
      <c r="C378" s="15">
        <v>0</v>
      </c>
      <c r="D378" s="15">
        <v>193</v>
      </c>
      <c r="E378" s="15" t="b">
        <v>0</v>
      </c>
      <c r="F378" s="15" t="b">
        <v>0</v>
      </c>
      <c r="G378" s="33" t="s">
        <v>206</v>
      </c>
      <c r="H378" s="15" t="s">
        <v>901</v>
      </c>
      <c r="I378" s="33" t="s">
        <v>216</v>
      </c>
      <c r="J378" s="15"/>
      <c r="K378" s="15"/>
      <c r="L378" s="120" t="s">
        <v>220</v>
      </c>
      <c r="M378" s="15" t="s">
        <v>906</v>
      </c>
      <c r="N378" s="15" t="s">
        <v>907</v>
      </c>
      <c r="O378" s="15"/>
      <c r="P378" s="15"/>
      <c r="Q378" s="15" t="b">
        <v>0</v>
      </c>
    </row>
    <row r="379" spans="1:17" ht="15" hidden="1" customHeight="1">
      <c r="A379" s="15">
        <v>3298</v>
      </c>
      <c r="B379" s="15">
        <v>378</v>
      </c>
      <c r="C379" s="15">
        <v>0</v>
      </c>
      <c r="D379" s="15">
        <v>193</v>
      </c>
      <c r="E379" s="15" t="b">
        <v>1</v>
      </c>
      <c r="F379" s="15" t="b">
        <v>0</v>
      </c>
      <c r="G379" s="33" t="s">
        <v>206</v>
      </c>
      <c r="H379" s="15" t="s">
        <v>908</v>
      </c>
      <c r="I379" s="33" t="s">
        <v>208</v>
      </c>
      <c r="J379" s="15"/>
      <c r="K379" s="15"/>
      <c r="L379" s="120" t="s">
        <v>210</v>
      </c>
      <c r="M379" s="15" t="s">
        <v>909</v>
      </c>
      <c r="N379" s="15" t="s">
        <v>910</v>
      </c>
      <c r="O379" s="15"/>
      <c r="P379" s="15"/>
      <c r="Q379" s="15" t="b">
        <v>0</v>
      </c>
    </row>
    <row r="380" spans="1:17" ht="15" hidden="1" customHeight="1">
      <c r="A380" s="15">
        <v>3299</v>
      </c>
      <c r="B380" s="15">
        <v>379</v>
      </c>
      <c r="C380" s="15">
        <v>0</v>
      </c>
      <c r="D380" s="15">
        <v>193</v>
      </c>
      <c r="E380" s="15" t="b">
        <v>1</v>
      </c>
      <c r="F380" s="15" t="b">
        <v>0</v>
      </c>
      <c r="G380" s="33" t="s">
        <v>206</v>
      </c>
      <c r="H380" s="15" t="s">
        <v>908</v>
      </c>
      <c r="I380" s="33" t="s">
        <v>213</v>
      </c>
      <c r="J380" s="15"/>
      <c r="K380" s="15"/>
      <c r="L380" s="120" t="s">
        <v>210</v>
      </c>
      <c r="M380" s="15" t="s">
        <v>911</v>
      </c>
      <c r="N380" s="15" t="s">
        <v>912</v>
      </c>
      <c r="O380" s="15"/>
      <c r="P380" s="15"/>
      <c r="Q380" s="15" t="b">
        <v>0</v>
      </c>
    </row>
    <row r="381" spans="1:17" ht="15" hidden="1" customHeight="1">
      <c r="A381" s="15">
        <v>3300</v>
      </c>
      <c r="B381" s="15">
        <v>380</v>
      </c>
      <c r="C381" s="15">
        <v>0</v>
      </c>
      <c r="D381" s="15">
        <v>193</v>
      </c>
      <c r="E381" s="15" t="b">
        <v>1</v>
      </c>
      <c r="F381" s="15" t="b">
        <v>0</v>
      </c>
      <c r="G381" s="33" t="s">
        <v>206</v>
      </c>
      <c r="H381" s="15" t="s">
        <v>908</v>
      </c>
      <c r="I381" s="33" t="s">
        <v>216</v>
      </c>
      <c r="J381" s="15"/>
      <c r="K381" s="15"/>
      <c r="L381" s="120" t="s">
        <v>210</v>
      </c>
      <c r="M381" s="15" t="s">
        <v>913</v>
      </c>
      <c r="N381" s="15" t="s">
        <v>914</v>
      </c>
      <c r="O381" s="15"/>
      <c r="P381" s="15"/>
      <c r="Q381" s="15" t="b">
        <v>0</v>
      </c>
    </row>
    <row r="382" spans="1:17" ht="15" hidden="1" customHeight="1">
      <c r="A382" s="15">
        <v>3301</v>
      </c>
      <c r="B382" s="15">
        <v>381</v>
      </c>
      <c r="C382" s="15">
        <v>0</v>
      </c>
      <c r="D382" s="15">
        <v>193</v>
      </c>
      <c r="E382" s="15" t="b">
        <v>0</v>
      </c>
      <c r="F382" s="15" t="b">
        <v>0</v>
      </c>
      <c r="G382" s="33" t="s">
        <v>206</v>
      </c>
      <c r="H382" s="15" t="s">
        <v>915</v>
      </c>
      <c r="I382" s="33" t="s">
        <v>208</v>
      </c>
      <c r="J382" s="15"/>
      <c r="K382" s="15"/>
      <c r="L382" s="120" t="s">
        <v>220</v>
      </c>
      <c r="M382" s="15" t="s">
        <v>916</v>
      </c>
      <c r="N382" s="15" t="s">
        <v>917</v>
      </c>
      <c r="O382" s="15"/>
      <c r="P382" s="15"/>
      <c r="Q382" s="15" t="b">
        <v>0</v>
      </c>
    </row>
    <row r="383" spans="1:17" ht="15" hidden="1" customHeight="1">
      <c r="A383" s="15">
        <v>3302</v>
      </c>
      <c r="B383" s="15">
        <v>382</v>
      </c>
      <c r="C383" s="15">
        <v>0</v>
      </c>
      <c r="D383" s="15">
        <v>193</v>
      </c>
      <c r="E383" s="15" t="b">
        <v>0</v>
      </c>
      <c r="F383" s="15" t="b">
        <v>0</v>
      </c>
      <c r="G383" s="33" t="s">
        <v>206</v>
      </c>
      <c r="H383" s="15" t="s">
        <v>915</v>
      </c>
      <c r="I383" s="33" t="s">
        <v>213</v>
      </c>
      <c r="J383" s="15"/>
      <c r="K383" s="15"/>
      <c r="L383" s="120" t="s">
        <v>220</v>
      </c>
      <c r="M383" s="15" t="s">
        <v>918</v>
      </c>
      <c r="N383" s="15" t="s">
        <v>919</v>
      </c>
      <c r="O383" s="15"/>
      <c r="P383" s="15"/>
      <c r="Q383" s="15" t="b">
        <v>0</v>
      </c>
    </row>
    <row r="384" spans="1:17" ht="15" hidden="1" customHeight="1">
      <c r="A384" s="15">
        <v>3303</v>
      </c>
      <c r="B384" s="15">
        <v>383</v>
      </c>
      <c r="C384" s="15">
        <v>0</v>
      </c>
      <c r="D384" s="15">
        <v>193</v>
      </c>
      <c r="E384" s="15" t="b">
        <v>0</v>
      </c>
      <c r="F384" s="15" t="b">
        <v>0</v>
      </c>
      <c r="G384" s="33" t="s">
        <v>206</v>
      </c>
      <c r="H384" s="15" t="s">
        <v>915</v>
      </c>
      <c r="I384" s="33" t="s">
        <v>216</v>
      </c>
      <c r="J384" s="15"/>
      <c r="K384" s="15"/>
      <c r="L384" s="120" t="s">
        <v>220</v>
      </c>
      <c r="M384" s="15" t="s">
        <v>920</v>
      </c>
      <c r="N384" s="15" t="s">
        <v>921</v>
      </c>
      <c r="O384" s="15"/>
      <c r="P384" s="15"/>
      <c r="Q384" s="15" t="b">
        <v>0</v>
      </c>
    </row>
    <row r="385" spans="1:17" ht="15" hidden="1" customHeight="1">
      <c r="A385" s="15">
        <v>3304</v>
      </c>
      <c r="B385" s="15">
        <v>384</v>
      </c>
      <c r="C385" s="15">
        <v>0</v>
      </c>
      <c r="D385" s="15">
        <v>193</v>
      </c>
      <c r="E385" s="15" t="b">
        <v>0</v>
      </c>
      <c r="F385" s="15" t="b">
        <v>0</v>
      </c>
      <c r="G385" s="33" t="s">
        <v>206</v>
      </c>
      <c r="H385" s="15" t="s">
        <v>922</v>
      </c>
      <c r="I385" s="33" t="s">
        <v>208</v>
      </c>
      <c r="J385" s="15"/>
      <c r="K385" s="15"/>
      <c r="L385" s="120" t="s">
        <v>220</v>
      </c>
      <c r="M385" s="15" t="s">
        <v>923</v>
      </c>
      <c r="N385" s="15" t="s">
        <v>924</v>
      </c>
      <c r="O385" s="15"/>
      <c r="P385" s="15"/>
      <c r="Q385" s="15" t="b">
        <v>0</v>
      </c>
    </row>
    <row r="386" spans="1:17" ht="15" hidden="1" customHeight="1">
      <c r="A386" s="15">
        <v>3305</v>
      </c>
      <c r="B386" s="15">
        <v>385</v>
      </c>
      <c r="C386" s="15">
        <v>0</v>
      </c>
      <c r="D386" s="15">
        <v>193</v>
      </c>
      <c r="E386" s="15" t="b">
        <v>0</v>
      </c>
      <c r="F386" s="15" t="b">
        <v>0</v>
      </c>
      <c r="G386" s="33" t="s">
        <v>206</v>
      </c>
      <c r="H386" s="15" t="s">
        <v>922</v>
      </c>
      <c r="I386" s="33" t="s">
        <v>213</v>
      </c>
      <c r="J386" s="15"/>
      <c r="K386" s="15"/>
      <c r="L386" s="120" t="s">
        <v>220</v>
      </c>
      <c r="M386" s="15" t="s">
        <v>925</v>
      </c>
      <c r="N386" s="15" t="s">
        <v>926</v>
      </c>
      <c r="O386" s="15"/>
      <c r="P386" s="15"/>
      <c r="Q386" s="15" t="b">
        <v>0</v>
      </c>
    </row>
    <row r="387" spans="1:17" ht="15" hidden="1" customHeight="1">
      <c r="A387" s="15">
        <v>3306</v>
      </c>
      <c r="B387" s="15">
        <v>386</v>
      </c>
      <c r="C387" s="15">
        <v>0</v>
      </c>
      <c r="D387" s="15">
        <v>193</v>
      </c>
      <c r="E387" s="15" t="b">
        <v>0</v>
      </c>
      <c r="F387" s="15" t="b">
        <v>0</v>
      </c>
      <c r="G387" s="33" t="s">
        <v>206</v>
      </c>
      <c r="H387" s="15" t="s">
        <v>922</v>
      </c>
      <c r="I387" s="33" t="s">
        <v>216</v>
      </c>
      <c r="J387" s="15"/>
      <c r="K387" s="15"/>
      <c r="L387" s="120" t="s">
        <v>220</v>
      </c>
      <c r="M387" s="15" t="s">
        <v>927</v>
      </c>
      <c r="N387" s="15" t="s">
        <v>928</v>
      </c>
      <c r="O387" s="15"/>
      <c r="P387" s="15"/>
      <c r="Q387" s="15" t="b">
        <v>0</v>
      </c>
    </row>
    <row r="388" spans="1:17" ht="15" hidden="1" customHeight="1">
      <c r="A388" s="15">
        <v>3307</v>
      </c>
      <c r="B388" s="15">
        <v>387</v>
      </c>
      <c r="C388" s="15">
        <v>0</v>
      </c>
      <c r="D388" s="15">
        <v>193</v>
      </c>
      <c r="E388" s="15" t="b">
        <v>1</v>
      </c>
      <c r="F388" s="15" t="b">
        <v>0</v>
      </c>
      <c r="G388" s="33" t="s">
        <v>206</v>
      </c>
      <c r="H388" s="15" t="s">
        <v>929</v>
      </c>
      <c r="I388" s="33" t="s">
        <v>208</v>
      </c>
      <c r="J388" s="15"/>
      <c r="K388" s="15"/>
      <c r="L388" s="120" t="s">
        <v>210</v>
      </c>
      <c r="M388" s="15" t="s">
        <v>930</v>
      </c>
      <c r="N388" s="15" t="s">
        <v>931</v>
      </c>
      <c r="O388" s="15"/>
      <c r="P388" s="15"/>
      <c r="Q388" s="15" t="b">
        <v>0</v>
      </c>
    </row>
    <row r="389" spans="1:17" ht="15" hidden="1" customHeight="1">
      <c r="A389" s="15">
        <v>3308</v>
      </c>
      <c r="B389" s="15">
        <v>388</v>
      </c>
      <c r="C389" s="15">
        <v>0</v>
      </c>
      <c r="D389" s="15">
        <v>193</v>
      </c>
      <c r="E389" s="15" t="b">
        <v>1</v>
      </c>
      <c r="F389" s="15" t="b">
        <v>0</v>
      </c>
      <c r="G389" s="33" t="s">
        <v>206</v>
      </c>
      <c r="H389" s="15" t="s">
        <v>929</v>
      </c>
      <c r="I389" s="33" t="s">
        <v>213</v>
      </c>
      <c r="J389" s="15"/>
      <c r="K389" s="15"/>
      <c r="L389" s="120" t="s">
        <v>210</v>
      </c>
      <c r="M389" s="15" t="s">
        <v>932</v>
      </c>
      <c r="N389" s="15" t="s">
        <v>933</v>
      </c>
      <c r="O389" s="15"/>
      <c r="P389" s="15"/>
      <c r="Q389" s="15" t="b">
        <v>0</v>
      </c>
    </row>
    <row r="390" spans="1:17" ht="15" hidden="1" customHeight="1">
      <c r="A390" s="15">
        <v>3309</v>
      </c>
      <c r="B390" s="15">
        <v>389</v>
      </c>
      <c r="C390" s="15">
        <v>0</v>
      </c>
      <c r="D390" s="15">
        <v>193</v>
      </c>
      <c r="E390" s="15" t="b">
        <v>1</v>
      </c>
      <c r="F390" s="15" t="b">
        <v>0</v>
      </c>
      <c r="G390" s="33" t="s">
        <v>206</v>
      </c>
      <c r="H390" s="15" t="s">
        <v>929</v>
      </c>
      <c r="I390" s="33" t="s">
        <v>216</v>
      </c>
      <c r="J390" s="15"/>
      <c r="K390" s="15"/>
      <c r="L390" s="120" t="s">
        <v>210</v>
      </c>
      <c r="M390" s="15" t="s">
        <v>934</v>
      </c>
      <c r="N390" s="15" t="s">
        <v>935</v>
      </c>
      <c r="O390" s="15"/>
      <c r="P390" s="15"/>
      <c r="Q390" s="15" t="b">
        <v>0</v>
      </c>
    </row>
    <row r="391" spans="1:17" ht="15" hidden="1" customHeight="1">
      <c r="A391" s="15">
        <v>3310</v>
      </c>
      <c r="B391" s="15">
        <v>390</v>
      </c>
      <c r="C391" s="15">
        <v>0</v>
      </c>
      <c r="D391" s="15">
        <v>193</v>
      </c>
      <c r="E391" s="15" t="b">
        <v>0</v>
      </c>
      <c r="F391" s="15" t="b">
        <v>0</v>
      </c>
      <c r="G391" s="33" t="s">
        <v>206</v>
      </c>
      <c r="H391" s="15" t="s">
        <v>936</v>
      </c>
      <c r="I391" s="33" t="s">
        <v>208</v>
      </c>
      <c r="J391" s="15"/>
      <c r="K391" s="15"/>
      <c r="L391" s="120" t="s">
        <v>220</v>
      </c>
      <c r="M391" s="15" t="s">
        <v>937</v>
      </c>
      <c r="N391" s="15" t="s">
        <v>938</v>
      </c>
      <c r="O391" s="15"/>
      <c r="P391" s="15"/>
      <c r="Q391" s="15" t="b">
        <v>0</v>
      </c>
    </row>
    <row r="392" spans="1:17" ht="15" hidden="1" customHeight="1">
      <c r="A392" s="15">
        <v>3311</v>
      </c>
      <c r="B392" s="15">
        <v>391</v>
      </c>
      <c r="C392" s="15">
        <v>0</v>
      </c>
      <c r="D392" s="15">
        <v>193</v>
      </c>
      <c r="E392" s="15" t="b">
        <v>0</v>
      </c>
      <c r="F392" s="15" t="b">
        <v>0</v>
      </c>
      <c r="G392" s="33" t="s">
        <v>206</v>
      </c>
      <c r="H392" s="15" t="s">
        <v>936</v>
      </c>
      <c r="I392" s="33" t="s">
        <v>213</v>
      </c>
      <c r="J392" s="15"/>
      <c r="K392" s="15"/>
      <c r="L392" s="120" t="s">
        <v>220</v>
      </c>
      <c r="M392" s="15" t="s">
        <v>939</v>
      </c>
      <c r="N392" s="15" t="s">
        <v>940</v>
      </c>
      <c r="O392" s="15"/>
      <c r="P392" s="15"/>
      <c r="Q392" s="15" t="b">
        <v>0</v>
      </c>
    </row>
    <row r="393" spans="1:17" ht="15" hidden="1" customHeight="1">
      <c r="A393" s="15">
        <v>3312</v>
      </c>
      <c r="B393" s="15">
        <v>392</v>
      </c>
      <c r="C393" s="15">
        <v>0</v>
      </c>
      <c r="D393" s="15">
        <v>193</v>
      </c>
      <c r="E393" s="15" t="b">
        <v>0</v>
      </c>
      <c r="F393" s="15" t="b">
        <v>0</v>
      </c>
      <c r="G393" s="33" t="s">
        <v>206</v>
      </c>
      <c r="H393" s="15" t="s">
        <v>936</v>
      </c>
      <c r="I393" s="33" t="s">
        <v>216</v>
      </c>
      <c r="J393" s="15"/>
      <c r="K393" s="15"/>
      <c r="L393" s="120" t="s">
        <v>220</v>
      </c>
      <c r="M393" s="15" t="s">
        <v>941</v>
      </c>
      <c r="N393" s="15" t="s">
        <v>942</v>
      </c>
      <c r="O393" s="15"/>
      <c r="P393" s="15"/>
      <c r="Q393" s="15" t="b">
        <v>0</v>
      </c>
    </row>
    <row r="394" spans="1:17" ht="15" hidden="1" customHeight="1">
      <c r="A394" s="15">
        <v>3313</v>
      </c>
      <c r="B394" s="15">
        <v>393</v>
      </c>
      <c r="C394" s="15">
        <v>0</v>
      </c>
      <c r="D394" s="15">
        <v>193</v>
      </c>
      <c r="E394" s="15" t="b">
        <v>1</v>
      </c>
      <c r="F394" s="15" t="b">
        <v>0</v>
      </c>
      <c r="G394" s="33" t="s">
        <v>206</v>
      </c>
      <c r="H394" s="15" t="s">
        <v>943</v>
      </c>
      <c r="I394" s="33" t="s">
        <v>208</v>
      </c>
      <c r="J394" s="15"/>
      <c r="K394" s="15"/>
      <c r="L394" s="120" t="s">
        <v>210</v>
      </c>
      <c r="M394" s="15" t="s">
        <v>944</v>
      </c>
      <c r="N394" s="15" t="s">
        <v>945</v>
      </c>
      <c r="O394" s="15"/>
      <c r="P394" s="15"/>
      <c r="Q394" s="15" t="b">
        <v>0</v>
      </c>
    </row>
    <row r="395" spans="1:17" ht="15" hidden="1" customHeight="1">
      <c r="A395" s="15">
        <v>3314</v>
      </c>
      <c r="B395" s="15">
        <v>394</v>
      </c>
      <c r="C395" s="15">
        <v>0</v>
      </c>
      <c r="D395" s="15">
        <v>193</v>
      </c>
      <c r="E395" s="15" t="b">
        <v>1</v>
      </c>
      <c r="F395" s="15" t="b">
        <v>0</v>
      </c>
      <c r="G395" s="33" t="s">
        <v>206</v>
      </c>
      <c r="H395" s="15" t="s">
        <v>943</v>
      </c>
      <c r="I395" s="33" t="s">
        <v>272</v>
      </c>
      <c r="J395" s="15"/>
      <c r="K395" s="15"/>
      <c r="L395" s="120" t="s">
        <v>210</v>
      </c>
      <c r="M395" s="15" t="s">
        <v>946</v>
      </c>
      <c r="N395" s="15" t="s">
        <v>947</v>
      </c>
      <c r="O395" s="15"/>
      <c r="P395" s="15"/>
      <c r="Q395" s="15" t="b">
        <v>0</v>
      </c>
    </row>
    <row r="396" spans="1:17" ht="15" hidden="1" customHeight="1">
      <c r="A396" s="15">
        <v>3315</v>
      </c>
      <c r="B396" s="15">
        <v>395</v>
      </c>
      <c r="C396" s="15">
        <v>0</v>
      </c>
      <c r="D396" s="15">
        <v>193</v>
      </c>
      <c r="E396" s="15" t="b">
        <v>1</v>
      </c>
      <c r="F396" s="15" t="b">
        <v>0</v>
      </c>
      <c r="G396" s="33" t="s">
        <v>206</v>
      </c>
      <c r="H396" s="15" t="s">
        <v>943</v>
      </c>
      <c r="I396" s="33" t="s">
        <v>216</v>
      </c>
      <c r="J396" s="15"/>
      <c r="K396" s="15"/>
      <c r="L396" s="120" t="s">
        <v>210</v>
      </c>
      <c r="M396" s="15" t="s">
        <v>948</v>
      </c>
      <c r="N396" s="15" t="s">
        <v>949</v>
      </c>
      <c r="O396" s="15"/>
      <c r="P396" s="15"/>
      <c r="Q396" s="15" t="b">
        <v>0</v>
      </c>
    </row>
    <row r="397" spans="1:17" ht="15" hidden="1" customHeight="1">
      <c r="A397" s="15">
        <v>3316</v>
      </c>
      <c r="B397" s="15">
        <v>396</v>
      </c>
      <c r="C397" s="15">
        <v>0</v>
      </c>
      <c r="D397" s="15">
        <v>193</v>
      </c>
      <c r="E397" s="15" t="b">
        <v>0</v>
      </c>
      <c r="F397" s="15" t="b">
        <v>0</v>
      </c>
      <c r="G397" s="33" t="s">
        <v>206</v>
      </c>
      <c r="H397" s="15" t="s">
        <v>950</v>
      </c>
      <c r="I397" s="33" t="s">
        <v>208</v>
      </c>
      <c r="J397" s="15"/>
      <c r="K397" s="15"/>
      <c r="L397" s="120" t="s">
        <v>220</v>
      </c>
      <c r="M397" s="15" t="s">
        <v>951</v>
      </c>
      <c r="N397" s="15" t="s">
        <v>952</v>
      </c>
      <c r="O397" s="15"/>
      <c r="P397" s="15"/>
      <c r="Q397" s="15" t="b">
        <v>0</v>
      </c>
    </row>
    <row r="398" spans="1:17" ht="15" hidden="1" customHeight="1">
      <c r="A398" s="15">
        <v>3317</v>
      </c>
      <c r="B398" s="15">
        <v>397</v>
      </c>
      <c r="C398" s="15">
        <v>0</v>
      </c>
      <c r="D398" s="15">
        <v>193</v>
      </c>
      <c r="E398" s="15" t="b">
        <v>0</v>
      </c>
      <c r="F398" s="15" t="b">
        <v>0</v>
      </c>
      <c r="G398" s="33" t="s">
        <v>206</v>
      </c>
      <c r="H398" s="15" t="s">
        <v>950</v>
      </c>
      <c r="I398" s="33" t="s">
        <v>504</v>
      </c>
      <c r="J398" s="15"/>
      <c r="K398" s="15"/>
      <c r="L398" s="120" t="s">
        <v>220</v>
      </c>
      <c r="M398" s="15" t="s">
        <v>953</v>
      </c>
      <c r="N398" s="15" t="s">
        <v>954</v>
      </c>
      <c r="O398" s="15"/>
      <c r="P398" s="15"/>
      <c r="Q398" s="15" t="b">
        <v>0</v>
      </c>
    </row>
    <row r="399" spans="1:17" ht="15" hidden="1" customHeight="1">
      <c r="A399" s="15">
        <v>3318</v>
      </c>
      <c r="B399" s="15">
        <v>398</v>
      </c>
      <c r="C399" s="15">
        <v>0</v>
      </c>
      <c r="D399" s="15">
        <v>193</v>
      </c>
      <c r="E399" s="15" t="b">
        <v>0</v>
      </c>
      <c r="F399" s="15" t="b">
        <v>0</v>
      </c>
      <c r="G399" s="33" t="s">
        <v>206</v>
      </c>
      <c r="H399" s="15" t="s">
        <v>950</v>
      </c>
      <c r="I399" s="33" t="s">
        <v>216</v>
      </c>
      <c r="J399" s="15"/>
      <c r="K399" s="15"/>
      <c r="L399" s="120" t="s">
        <v>220</v>
      </c>
      <c r="M399" s="15" t="s">
        <v>955</v>
      </c>
      <c r="N399" s="15" t="s">
        <v>956</v>
      </c>
      <c r="O399" s="15"/>
      <c r="P399" s="15"/>
      <c r="Q399" s="15" t="b">
        <v>0</v>
      </c>
    </row>
    <row r="400" spans="1:17" ht="15" hidden="1" customHeight="1">
      <c r="A400" s="15">
        <v>3319</v>
      </c>
      <c r="B400" s="15">
        <v>399</v>
      </c>
      <c r="C400" s="15">
        <v>0</v>
      </c>
      <c r="D400" s="15">
        <v>193</v>
      </c>
      <c r="E400" s="15" t="b">
        <v>0</v>
      </c>
      <c r="F400" s="15" t="b">
        <v>0</v>
      </c>
      <c r="G400" s="33" t="s">
        <v>206</v>
      </c>
      <c r="H400" s="15" t="s">
        <v>957</v>
      </c>
      <c r="I400" s="33" t="s">
        <v>208</v>
      </c>
      <c r="J400" s="15"/>
      <c r="K400" s="15"/>
      <c r="L400" s="120" t="s">
        <v>220</v>
      </c>
      <c r="M400" s="15" t="s">
        <v>958</v>
      </c>
      <c r="N400" s="15" t="s">
        <v>959</v>
      </c>
      <c r="O400" s="15"/>
      <c r="P400" s="15"/>
      <c r="Q400" s="15" t="b">
        <v>0</v>
      </c>
    </row>
    <row r="401" spans="1:17" ht="15" hidden="1" customHeight="1">
      <c r="A401" s="15">
        <v>3320</v>
      </c>
      <c r="B401" s="15">
        <v>400</v>
      </c>
      <c r="C401" s="15">
        <v>0</v>
      </c>
      <c r="D401" s="15">
        <v>193</v>
      </c>
      <c r="E401" s="15" t="b">
        <v>0</v>
      </c>
      <c r="F401" s="15" t="b">
        <v>0</v>
      </c>
      <c r="G401" s="33" t="s">
        <v>206</v>
      </c>
      <c r="H401" s="15" t="s">
        <v>957</v>
      </c>
      <c r="I401" s="33" t="s">
        <v>504</v>
      </c>
      <c r="J401" s="15"/>
      <c r="K401" s="15"/>
      <c r="L401" s="120" t="s">
        <v>220</v>
      </c>
      <c r="M401" s="15" t="s">
        <v>960</v>
      </c>
      <c r="N401" s="15" t="s">
        <v>961</v>
      </c>
      <c r="O401" s="15"/>
      <c r="P401" s="15"/>
      <c r="Q401" s="15" t="b">
        <v>0</v>
      </c>
    </row>
    <row r="402" spans="1:17" ht="15" hidden="1" customHeight="1">
      <c r="A402" s="15">
        <v>3321</v>
      </c>
      <c r="B402" s="15">
        <v>401</v>
      </c>
      <c r="C402" s="15">
        <v>0</v>
      </c>
      <c r="D402" s="15">
        <v>193</v>
      </c>
      <c r="E402" s="15" t="b">
        <v>0</v>
      </c>
      <c r="F402" s="15" t="b">
        <v>0</v>
      </c>
      <c r="G402" s="33" t="s">
        <v>206</v>
      </c>
      <c r="H402" s="15" t="s">
        <v>957</v>
      </c>
      <c r="I402" s="33" t="s">
        <v>216</v>
      </c>
      <c r="J402" s="15"/>
      <c r="K402" s="15"/>
      <c r="L402" s="120" t="s">
        <v>220</v>
      </c>
      <c r="M402" s="15" t="s">
        <v>962</v>
      </c>
      <c r="N402" s="15" t="s">
        <v>963</v>
      </c>
      <c r="O402" s="15"/>
      <c r="P402" s="15"/>
      <c r="Q402" s="15" t="b">
        <v>0</v>
      </c>
    </row>
    <row r="403" spans="1:17" ht="15" hidden="1" customHeight="1">
      <c r="A403" s="15">
        <v>3322</v>
      </c>
      <c r="B403" s="15">
        <v>402</v>
      </c>
      <c r="C403" s="15">
        <v>0</v>
      </c>
      <c r="D403" s="15">
        <v>193</v>
      </c>
      <c r="E403" s="15" t="b">
        <v>1</v>
      </c>
      <c r="F403" s="15" t="b">
        <v>0</v>
      </c>
      <c r="G403" s="33" t="s">
        <v>206</v>
      </c>
      <c r="H403" s="15" t="s">
        <v>964</v>
      </c>
      <c r="I403" s="33" t="s">
        <v>208</v>
      </c>
      <c r="J403" s="15"/>
      <c r="K403" s="15"/>
      <c r="L403" s="120" t="s">
        <v>210</v>
      </c>
      <c r="M403" s="15" t="s">
        <v>965</v>
      </c>
      <c r="N403" s="15" t="s">
        <v>966</v>
      </c>
      <c r="O403" s="15"/>
      <c r="P403" s="15"/>
      <c r="Q403" s="15" t="b">
        <v>0</v>
      </c>
    </row>
    <row r="404" spans="1:17" ht="15" hidden="1" customHeight="1">
      <c r="A404" s="15">
        <v>3323</v>
      </c>
      <c r="B404" s="15">
        <v>403</v>
      </c>
      <c r="C404" s="15">
        <v>0</v>
      </c>
      <c r="D404" s="15">
        <v>193</v>
      </c>
      <c r="E404" s="15" t="b">
        <v>1</v>
      </c>
      <c r="F404" s="15" t="b">
        <v>0</v>
      </c>
      <c r="G404" s="33" t="s">
        <v>206</v>
      </c>
      <c r="H404" s="15" t="s">
        <v>964</v>
      </c>
      <c r="I404" s="33" t="s">
        <v>272</v>
      </c>
      <c r="J404" s="15"/>
      <c r="K404" s="15"/>
      <c r="L404" s="120" t="s">
        <v>210</v>
      </c>
      <c r="M404" s="15" t="s">
        <v>967</v>
      </c>
      <c r="N404" s="15" t="s">
        <v>968</v>
      </c>
      <c r="O404" s="15"/>
      <c r="P404" s="15"/>
      <c r="Q404" s="15" t="b">
        <v>0</v>
      </c>
    </row>
    <row r="405" spans="1:17" ht="15" hidden="1" customHeight="1">
      <c r="A405" s="15">
        <v>3324</v>
      </c>
      <c r="B405" s="15">
        <v>404</v>
      </c>
      <c r="C405" s="15">
        <v>0</v>
      </c>
      <c r="D405" s="15">
        <v>193</v>
      </c>
      <c r="E405" s="15" t="b">
        <v>1</v>
      </c>
      <c r="F405" s="15" t="b">
        <v>0</v>
      </c>
      <c r="G405" s="33" t="s">
        <v>206</v>
      </c>
      <c r="H405" s="15" t="s">
        <v>964</v>
      </c>
      <c r="I405" s="33" t="s">
        <v>216</v>
      </c>
      <c r="J405" s="15"/>
      <c r="K405" s="15"/>
      <c r="L405" s="120" t="s">
        <v>210</v>
      </c>
      <c r="M405" s="15" t="s">
        <v>969</v>
      </c>
      <c r="N405" s="15" t="s">
        <v>970</v>
      </c>
      <c r="O405" s="15"/>
      <c r="P405" s="15"/>
      <c r="Q405" s="15" t="b">
        <v>0</v>
      </c>
    </row>
    <row r="406" spans="1:17" ht="15" hidden="1" customHeight="1">
      <c r="A406" s="15">
        <v>3325</v>
      </c>
      <c r="B406" s="15">
        <v>405</v>
      </c>
      <c r="C406" s="15">
        <v>0</v>
      </c>
      <c r="D406" s="15">
        <v>193</v>
      </c>
      <c r="E406" s="15" t="b">
        <v>0</v>
      </c>
      <c r="F406" s="15" t="b">
        <v>0</v>
      </c>
      <c r="G406" s="33" t="s">
        <v>206</v>
      </c>
      <c r="H406" s="15" t="s">
        <v>971</v>
      </c>
      <c r="I406" s="33" t="s">
        <v>208</v>
      </c>
      <c r="J406" s="15"/>
      <c r="K406" s="15"/>
      <c r="L406" s="120" t="s">
        <v>220</v>
      </c>
      <c r="M406" s="15" t="s">
        <v>972</v>
      </c>
      <c r="N406" s="15" t="s">
        <v>973</v>
      </c>
      <c r="O406" s="15"/>
      <c r="P406" s="15"/>
      <c r="Q406" s="15" t="b">
        <v>0</v>
      </c>
    </row>
    <row r="407" spans="1:17" ht="15" hidden="1" customHeight="1">
      <c r="A407" s="15">
        <v>3326</v>
      </c>
      <c r="B407" s="15">
        <v>406</v>
      </c>
      <c r="C407" s="15">
        <v>0</v>
      </c>
      <c r="D407" s="15">
        <v>193</v>
      </c>
      <c r="E407" s="15" t="b">
        <v>0</v>
      </c>
      <c r="F407" s="15" t="b">
        <v>0</v>
      </c>
      <c r="G407" s="33" t="s">
        <v>206</v>
      </c>
      <c r="H407" s="15" t="s">
        <v>971</v>
      </c>
      <c r="I407" s="33" t="s">
        <v>504</v>
      </c>
      <c r="J407" s="15"/>
      <c r="K407" s="15"/>
      <c r="L407" s="120" t="s">
        <v>220</v>
      </c>
      <c r="M407" s="15" t="s">
        <v>974</v>
      </c>
      <c r="N407" s="15" t="s">
        <v>975</v>
      </c>
      <c r="O407" s="15"/>
      <c r="P407" s="15"/>
      <c r="Q407" s="15" t="b">
        <v>0</v>
      </c>
    </row>
    <row r="408" spans="1:17" ht="15" hidden="1" customHeight="1">
      <c r="A408" s="15">
        <v>3327</v>
      </c>
      <c r="B408" s="15">
        <v>407</v>
      </c>
      <c r="C408" s="15">
        <v>0</v>
      </c>
      <c r="D408" s="15">
        <v>193</v>
      </c>
      <c r="E408" s="15" t="b">
        <v>0</v>
      </c>
      <c r="F408" s="15" t="b">
        <v>0</v>
      </c>
      <c r="G408" s="33" t="s">
        <v>206</v>
      </c>
      <c r="H408" s="15" t="s">
        <v>971</v>
      </c>
      <c r="I408" s="33" t="s">
        <v>216</v>
      </c>
      <c r="J408" s="15"/>
      <c r="K408" s="15"/>
      <c r="L408" s="120" t="s">
        <v>220</v>
      </c>
      <c r="M408" s="15" t="s">
        <v>976</v>
      </c>
      <c r="N408" s="15" t="s">
        <v>977</v>
      </c>
      <c r="O408" s="15"/>
      <c r="P408" s="15"/>
      <c r="Q408" s="15" t="b">
        <v>0</v>
      </c>
    </row>
    <row r="409" spans="1:17" ht="15" hidden="1" customHeight="1">
      <c r="A409" s="15">
        <v>3328</v>
      </c>
      <c r="B409" s="15">
        <v>408</v>
      </c>
      <c r="C409" s="15">
        <v>0</v>
      </c>
      <c r="D409" s="15">
        <v>193</v>
      </c>
      <c r="E409" s="15" t="b">
        <v>0</v>
      </c>
      <c r="F409" s="15" t="b">
        <v>0</v>
      </c>
      <c r="G409" s="33" t="s">
        <v>206</v>
      </c>
      <c r="H409" s="15" t="s">
        <v>978</v>
      </c>
      <c r="I409" s="33" t="s">
        <v>208</v>
      </c>
      <c r="J409" s="15"/>
      <c r="K409" s="15"/>
      <c r="L409" s="120" t="s">
        <v>220</v>
      </c>
      <c r="M409" s="15" t="s">
        <v>979</v>
      </c>
      <c r="N409" s="15" t="s">
        <v>980</v>
      </c>
      <c r="O409" s="15"/>
      <c r="P409" s="15"/>
      <c r="Q409" s="15" t="b">
        <v>0</v>
      </c>
    </row>
    <row r="410" spans="1:17" ht="15" hidden="1" customHeight="1">
      <c r="A410" s="15">
        <v>3329</v>
      </c>
      <c r="B410" s="15">
        <v>409</v>
      </c>
      <c r="C410" s="15">
        <v>0</v>
      </c>
      <c r="D410" s="15">
        <v>193</v>
      </c>
      <c r="E410" s="15" t="b">
        <v>0</v>
      </c>
      <c r="F410" s="15" t="b">
        <v>0</v>
      </c>
      <c r="G410" s="33" t="s">
        <v>206</v>
      </c>
      <c r="H410" s="15" t="s">
        <v>978</v>
      </c>
      <c r="I410" s="33" t="s">
        <v>504</v>
      </c>
      <c r="J410" s="15"/>
      <c r="K410" s="15"/>
      <c r="L410" s="120" t="s">
        <v>220</v>
      </c>
      <c r="M410" s="15" t="s">
        <v>981</v>
      </c>
      <c r="N410" s="15" t="s">
        <v>982</v>
      </c>
      <c r="O410" s="15"/>
      <c r="P410" s="15"/>
      <c r="Q410" s="15" t="b">
        <v>0</v>
      </c>
    </row>
    <row r="411" spans="1:17" ht="15" hidden="1" customHeight="1">
      <c r="A411" s="15">
        <v>3330</v>
      </c>
      <c r="B411" s="15">
        <v>410</v>
      </c>
      <c r="C411" s="15">
        <v>0</v>
      </c>
      <c r="D411" s="15">
        <v>193</v>
      </c>
      <c r="E411" s="15" t="b">
        <v>0</v>
      </c>
      <c r="F411" s="15" t="b">
        <v>0</v>
      </c>
      <c r="G411" s="33" t="s">
        <v>206</v>
      </c>
      <c r="H411" s="15" t="s">
        <v>978</v>
      </c>
      <c r="I411" s="33" t="s">
        <v>216</v>
      </c>
      <c r="J411" s="15"/>
      <c r="K411" s="15"/>
      <c r="L411" s="120" t="s">
        <v>220</v>
      </c>
      <c r="M411" s="15" t="s">
        <v>983</v>
      </c>
      <c r="N411" s="15" t="s">
        <v>984</v>
      </c>
      <c r="O411" s="15"/>
      <c r="P411" s="15"/>
      <c r="Q411" s="15" t="b">
        <v>0</v>
      </c>
    </row>
    <row r="412" spans="1:17" ht="15" hidden="1" customHeight="1">
      <c r="A412" s="15">
        <v>3331</v>
      </c>
      <c r="B412" s="15">
        <v>411</v>
      </c>
      <c r="C412" s="15">
        <v>0</v>
      </c>
      <c r="D412" s="15">
        <v>193</v>
      </c>
      <c r="E412" s="15" t="b">
        <v>1</v>
      </c>
      <c r="F412" s="15" t="b">
        <v>0</v>
      </c>
      <c r="G412" s="33" t="s">
        <v>206</v>
      </c>
      <c r="H412" s="15" t="s">
        <v>985</v>
      </c>
      <c r="I412" s="33" t="s">
        <v>208</v>
      </c>
      <c r="J412" s="15"/>
      <c r="K412" s="15"/>
      <c r="L412" s="120" t="s">
        <v>210</v>
      </c>
      <c r="M412" s="15" t="s">
        <v>986</v>
      </c>
      <c r="N412" s="15" t="s">
        <v>987</v>
      </c>
      <c r="O412" s="15"/>
      <c r="P412" s="15"/>
      <c r="Q412" s="15" t="b">
        <v>0</v>
      </c>
    </row>
    <row r="413" spans="1:17" ht="15" hidden="1" customHeight="1">
      <c r="A413" s="15">
        <v>3332</v>
      </c>
      <c r="B413" s="15">
        <v>412</v>
      </c>
      <c r="C413" s="15">
        <v>0</v>
      </c>
      <c r="D413" s="15">
        <v>193</v>
      </c>
      <c r="E413" s="15" t="b">
        <v>1</v>
      </c>
      <c r="F413" s="15" t="b">
        <v>0</v>
      </c>
      <c r="G413" s="33" t="s">
        <v>206</v>
      </c>
      <c r="H413" s="15" t="s">
        <v>985</v>
      </c>
      <c r="I413" s="33" t="s">
        <v>272</v>
      </c>
      <c r="J413" s="15"/>
      <c r="K413" s="15"/>
      <c r="L413" s="120" t="s">
        <v>210</v>
      </c>
      <c r="M413" s="15" t="s">
        <v>988</v>
      </c>
      <c r="N413" s="15" t="s">
        <v>989</v>
      </c>
      <c r="O413" s="15"/>
      <c r="P413" s="15"/>
      <c r="Q413" s="15" t="b">
        <v>0</v>
      </c>
    </row>
    <row r="414" spans="1:17" ht="15" hidden="1" customHeight="1">
      <c r="A414" s="15">
        <v>3333</v>
      </c>
      <c r="B414" s="15">
        <v>413</v>
      </c>
      <c r="C414" s="15">
        <v>0</v>
      </c>
      <c r="D414" s="15">
        <v>193</v>
      </c>
      <c r="E414" s="15" t="b">
        <v>1</v>
      </c>
      <c r="F414" s="15" t="b">
        <v>0</v>
      </c>
      <c r="G414" s="33" t="s">
        <v>206</v>
      </c>
      <c r="H414" s="15" t="s">
        <v>985</v>
      </c>
      <c r="I414" s="33" t="s">
        <v>216</v>
      </c>
      <c r="J414" s="15"/>
      <c r="K414" s="15"/>
      <c r="L414" s="120" t="s">
        <v>210</v>
      </c>
      <c r="M414" s="15" t="s">
        <v>990</v>
      </c>
      <c r="N414" s="15" t="s">
        <v>991</v>
      </c>
      <c r="O414" s="15"/>
      <c r="P414" s="15"/>
      <c r="Q414" s="15" t="b">
        <v>0</v>
      </c>
    </row>
    <row r="415" spans="1:17" ht="15" hidden="1" customHeight="1">
      <c r="A415" s="15">
        <v>3334</v>
      </c>
      <c r="B415" s="15">
        <v>414</v>
      </c>
      <c r="C415" s="15">
        <v>0</v>
      </c>
      <c r="D415" s="15">
        <v>193</v>
      </c>
      <c r="E415" s="15" t="b">
        <v>0</v>
      </c>
      <c r="F415" s="15" t="b">
        <v>0</v>
      </c>
      <c r="G415" s="33" t="s">
        <v>206</v>
      </c>
      <c r="H415" s="15" t="s">
        <v>992</v>
      </c>
      <c r="I415" s="33" t="s">
        <v>208</v>
      </c>
      <c r="J415" s="15"/>
      <c r="K415" s="15"/>
      <c r="L415" s="120" t="s">
        <v>220</v>
      </c>
      <c r="M415" s="15" t="s">
        <v>993</v>
      </c>
      <c r="N415" s="15" t="s">
        <v>994</v>
      </c>
      <c r="O415" s="15"/>
      <c r="P415" s="15"/>
      <c r="Q415" s="15" t="b">
        <v>0</v>
      </c>
    </row>
    <row r="416" spans="1:17" ht="15" hidden="1" customHeight="1">
      <c r="A416" s="15">
        <v>3335</v>
      </c>
      <c r="B416" s="15">
        <v>415</v>
      </c>
      <c r="C416" s="15">
        <v>0</v>
      </c>
      <c r="D416" s="15">
        <v>193</v>
      </c>
      <c r="E416" s="15" t="b">
        <v>0</v>
      </c>
      <c r="F416" s="15" t="b">
        <v>0</v>
      </c>
      <c r="G416" s="33" t="s">
        <v>206</v>
      </c>
      <c r="H416" s="15" t="s">
        <v>992</v>
      </c>
      <c r="I416" s="33" t="s">
        <v>504</v>
      </c>
      <c r="J416" s="15"/>
      <c r="K416" s="15"/>
      <c r="L416" s="120" t="s">
        <v>220</v>
      </c>
      <c r="M416" s="15" t="s">
        <v>995</v>
      </c>
      <c r="N416" s="15" t="s">
        <v>996</v>
      </c>
      <c r="O416" s="15"/>
      <c r="P416" s="15"/>
      <c r="Q416" s="15" t="b">
        <v>0</v>
      </c>
    </row>
    <row r="417" spans="1:17" ht="15" hidden="1" customHeight="1">
      <c r="A417" s="15">
        <v>3336</v>
      </c>
      <c r="B417" s="15">
        <v>416</v>
      </c>
      <c r="C417" s="15">
        <v>0</v>
      </c>
      <c r="D417" s="15">
        <v>193</v>
      </c>
      <c r="E417" s="15" t="b">
        <v>0</v>
      </c>
      <c r="F417" s="15" t="b">
        <v>0</v>
      </c>
      <c r="G417" s="33" t="s">
        <v>206</v>
      </c>
      <c r="H417" s="15" t="s">
        <v>992</v>
      </c>
      <c r="I417" s="33" t="s">
        <v>216</v>
      </c>
      <c r="J417" s="15"/>
      <c r="K417" s="15"/>
      <c r="L417" s="120" t="s">
        <v>220</v>
      </c>
      <c r="M417" s="15" t="s">
        <v>997</v>
      </c>
      <c r="N417" s="15" t="s">
        <v>998</v>
      </c>
      <c r="O417" s="15"/>
      <c r="P417" s="15"/>
      <c r="Q417" s="15" t="b">
        <v>0</v>
      </c>
    </row>
    <row r="418" spans="1:17" ht="15" hidden="1" customHeight="1">
      <c r="A418" s="15">
        <v>3337</v>
      </c>
      <c r="B418" s="15">
        <v>417</v>
      </c>
      <c r="C418" s="15">
        <v>0</v>
      </c>
      <c r="D418" s="15">
        <v>193</v>
      </c>
      <c r="E418" s="15" t="b">
        <v>1</v>
      </c>
      <c r="F418" s="15" t="b">
        <v>0</v>
      </c>
      <c r="G418" s="33" t="s">
        <v>206</v>
      </c>
      <c r="H418" s="15" t="s">
        <v>999</v>
      </c>
      <c r="I418" s="33" t="s">
        <v>208</v>
      </c>
      <c r="J418" s="15"/>
      <c r="K418" s="15"/>
      <c r="L418" s="120" t="s">
        <v>210</v>
      </c>
      <c r="M418" s="15" t="s">
        <v>1000</v>
      </c>
      <c r="N418" s="15" t="s">
        <v>1001</v>
      </c>
      <c r="O418" s="15"/>
      <c r="P418" s="15"/>
      <c r="Q418" s="15" t="b">
        <v>0</v>
      </c>
    </row>
    <row r="419" spans="1:17" ht="15" hidden="1" customHeight="1">
      <c r="A419" s="15">
        <v>3338</v>
      </c>
      <c r="B419" s="15">
        <v>418</v>
      </c>
      <c r="C419" s="15">
        <v>0</v>
      </c>
      <c r="D419" s="15">
        <v>193</v>
      </c>
      <c r="E419" s="15" t="b">
        <v>1</v>
      </c>
      <c r="F419" s="15" t="b">
        <v>0</v>
      </c>
      <c r="G419" s="33" t="s">
        <v>206</v>
      </c>
      <c r="H419" s="15" t="s">
        <v>999</v>
      </c>
      <c r="I419" s="33" t="s">
        <v>213</v>
      </c>
      <c r="J419" s="15"/>
      <c r="K419" s="15"/>
      <c r="L419" s="120" t="s">
        <v>210</v>
      </c>
      <c r="M419" s="15" t="s">
        <v>1002</v>
      </c>
      <c r="N419" s="15" t="s">
        <v>1003</v>
      </c>
      <c r="O419" s="15"/>
      <c r="P419" s="15"/>
      <c r="Q419" s="15" t="b">
        <v>0</v>
      </c>
    </row>
    <row r="420" spans="1:17" ht="15" hidden="1" customHeight="1">
      <c r="A420" s="15">
        <v>3339</v>
      </c>
      <c r="B420" s="15">
        <v>419</v>
      </c>
      <c r="C420" s="15">
        <v>0</v>
      </c>
      <c r="D420" s="15">
        <v>193</v>
      </c>
      <c r="E420" s="15" t="b">
        <v>1</v>
      </c>
      <c r="F420" s="15" t="b">
        <v>0</v>
      </c>
      <c r="G420" s="33" t="s">
        <v>206</v>
      </c>
      <c r="H420" s="15" t="s">
        <v>999</v>
      </c>
      <c r="I420" s="33" t="s">
        <v>216</v>
      </c>
      <c r="J420" s="15"/>
      <c r="K420" s="15"/>
      <c r="L420" s="120" t="s">
        <v>210</v>
      </c>
      <c r="M420" s="15" t="s">
        <v>1004</v>
      </c>
      <c r="N420" s="15" t="s">
        <v>1005</v>
      </c>
      <c r="O420" s="15"/>
      <c r="P420" s="15"/>
      <c r="Q420" s="15" t="b">
        <v>0</v>
      </c>
    </row>
    <row r="421" spans="1:17" ht="15" hidden="1" customHeight="1">
      <c r="A421" s="15">
        <v>3340</v>
      </c>
      <c r="B421" s="15">
        <v>420</v>
      </c>
      <c r="C421" s="15">
        <v>0</v>
      </c>
      <c r="D421" s="15">
        <v>193</v>
      </c>
      <c r="E421" s="15" t="b">
        <v>0</v>
      </c>
      <c r="F421" s="15" t="b">
        <v>0</v>
      </c>
      <c r="G421" s="33" t="s">
        <v>206</v>
      </c>
      <c r="H421" s="15" t="s">
        <v>1006</v>
      </c>
      <c r="I421" s="33" t="s">
        <v>208</v>
      </c>
      <c r="J421" s="15"/>
      <c r="K421" s="15"/>
      <c r="L421" s="120" t="s">
        <v>220</v>
      </c>
      <c r="M421" s="15" t="s">
        <v>1007</v>
      </c>
      <c r="N421" s="15" t="s">
        <v>1008</v>
      </c>
      <c r="O421" s="15"/>
      <c r="P421" s="15"/>
      <c r="Q421" s="15" t="b">
        <v>0</v>
      </c>
    </row>
    <row r="422" spans="1:17" ht="15" hidden="1" customHeight="1">
      <c r="A422" s="15">
        <v>3341</v>
      </c>
      <c r="B422" s="15">
        <v>421</v>
      </c>
      <c r="C422" s="15">
        <v>0</v>
      </c>
      <c r="D422" s="15">
        <v>193</v>
      </c>
      <c r="E422" s="15" t="b">
        <v>0</v>
      </c>
      <c r="F422" s="15" t="b">
        <v>0</v>
      </c>
      <c r="G422" s="33" t="s">
        <v>206</v>
      </c>
      <c r="H422" s="15" t="s">
        <v>1006</v>
      </c>
      <c r="I422" s="33" t="s">
        <v>213</v>
      </c>
      <c r="J422" s="15"/>
      <c r="K422" s="15"/>
      <c r="L422" s="120" t="s">
        <v>220</v>
      </c>
      <c r="M422" s="15" t="s">
        <v>1009</v>
      </c>
      <c r="N422" s="15" t="s">
        <v>1010</v>
      </c>
      <c r="O422" s="15"/>
      <c r="P422" s="15"/>
      <c r="Q422" s="15" t="b">
        <v>0</v>
      </c>
    </row>
    <row r="423" spans="1:17" ht="15" hidden="1" customHeight="1">
      <c r="A423" s="15">
        <v>3342</v>
      </c>
      <c r="B423" s="15">
        <v>422</v>
      </c>
      <c r="C423" s="15">
        <v>0</v>
      </c>
      <c r="D423" s="15">
        <v>193</v>
      </c>
      <c r="E423" s="15" t="b">
        <v>0</v>
      </c>
      <c r="F423" s="15" t="b">
        <v>0</v>
      </c>
      <c r="G423" s="33" t="s">
        <v>206</v>
      </c>
      <c r="H423" s="15" t="s">
        <v>1006</v>
      </c>
      <c r="I423" s="33" t="s">
        <v>216</v>
      </c>
      <c r="J423" s="15"/>
      <c r="K423" s="15"/>
      <c r="L423" s="120" t="s">
        <v>220</v>
      </c>
      <c r="M423" s="15" t="s">
        <v>1011</v>
      </c>
      <c r="N423" s="15" t="s">
        <v>1012</v>
      </c>
      <c r="O423" s="15"/>
      <c r="P423" s="15"/>
      <c r="Q423" s="15" t="b">
        <v>0</v>
      </c>
    </row>
    <row r="424" spans="1:17" ht="15" hidden="1" customHeight="1">
      <c r="A424" s="15">
        <v>3343</v>
      </c>
      <c r="B424" s="15">
        <v>423</v>
      </c>
      <c r="C424" s="15">
        <v>0</v>
      </c>
      <c r="D424" s="15">
        <v>193</v>
      </c>
      <c r="E424" s="15" t="b">
        <v>0</v>
      </c>
      <c r="F424" s="15" t="b">
        <v>0</v>
      </c>
      <c r="G424" s="33" t="s">
        <v>206</v>
      </c>
      <c r="H424" s="15" t="s">
        <v>1013</v>
      </c>
      <c r="I424" s="33" t="s">
        <v>208</v>
      </c>
      <c r="J424" s="15"/>
      <c r="K424" s="15"/>
      <c r="L424" s="120" t="s">
        <v>220</v>
      </c>
      <c r="M424" s="15" t="s">
        <v>1014</v>
      </c>
      <c r="N424" s="15" t="s">
        <v>1015</v>
      </c>
      <c r="O424" s="15"/>
      <c r="P424" s="15"/>
      <c r="Q424" s="15" t="b">
        <v>0</v>
      </c>
    </row>
    <row r="425" spans="1:17" ht="15" hidden="1" customHeight="1">
      <c r="A425" s="15">
        <v>3344</v>
      </c>
      <c r="B425" s="15">
        <v>424</v>
      </c>
      <c r="C425" s="15">
        <v>0</v>
      </c>
      <c r="D425" s="15">
        <v>193</v>
      </c>
      <c r="E425" s="15" t="b">
        <v>0</v>
      </c>
      <c r="F425" s="15" t="b">
        <v>0</v>
      </c>
      <c r="G425" s="33" t="s">
        <v>206</v>
      </c>
      <c r="H425" s="15" t="s">
        <v>1013</v>
      </c>
      <c r="I425" s="33" t="s">
        <v>213</v>
      </c>
      <c r="J425" s="15"/>
      <c r="K425" s="15"/>
      <c r="L425" s="120" t="s">
        <v>220</v>
      </c>
      <c r="M425" s="15" t="s">
        <v>1016</v>
      </c>
      <c r="N425" s="15" t="s">
        <v>1017</v>
      </c>
      <c r="O425" s="15"/>
      <c r="P425" s="15"/>
      <c r="Q425" s="15" t="b">
        <v>0</v>
      </c>
    </row>
    <row r="426" spans="1:17" ht="15" hidden="1" customHeight="1">
      <c r="A426" s="15">
        <v>3345</v>
      </c>
      <c r="B426" s="15">
        <v>425</v>
      </c>
      <c r="C426" s="15">
        <v>0</v>
      </c>
      <c r="D426" s="15">
        <v>193</v>
      </c>
      <c r="E426" s="15" t="b">
        <v>0</v>
      </c>
      <c r="F426" s="15" t="b">
        <v>0</v>
      </c>
      <c r="G426" s="33" t="s">
        <v>206</v>
      </c>
      <c r="H426" s="15" t="s">
        <v>1013</v>
      </c>
      <c r="I426" s="33" t="s">
        <v>216</v>
      </c>
      <c r="J426" s="15"/>
      <c r="K426" s="15"/>
      <c r="L426" s="120" t="s">
        <v>220</v>
      </c>
      <c r="M426" s="15" t="s">
        <v>1018</v>
      </c>
      <c r="N426" s="15" t="s">
        <v>1019</v>
      </c>
      <c r="O426" s="15"/>
      <c r="P426" s="15"/>
      <c r="Q426" s="15" t="b">
        <v>0</v>
      </c>
    </row>
    <row r="427" spans="1:17" ht="15" hidden="1" customHeight="1">
      <c r="A427" s="15">
        <v>3346</v>
      </c>
      <c r="B427" s="15">
        <v>426</v>
      </c>
      <c r="C427" s="15">
        <v>0</v>
      </c>
      <c r="D427" s="15">
        <v>193</v>
      </c>
      <c r="E427" s="15" t="b">
        <v>1</v>
      </c>
      <c r="F427" s="15" t="b">
        <v>0</v>
      </c>
      <c r="G427" s="33" t="s">
        <v>206</v>
      </c>
      <c r="H427" s="15" t="s">
        <v>1020</v>
      </c>
      <c r="I427" s="33" t="s">
        <v>208</v>
      </c>
      <c r="J427" s="15"/>
      <c r="K427" s="15"/>
      <c r="L427" s="120" t="s">
        <v>210</v>
      </c>
      <c r="M427" s="15" t="s">
        <v>1021</v>
      </c>
      <c r="N427" s="15" t="s">
        <v>1022</v>
      </c>
      <c r="O427" s="15"/>
      <c r="P427" s="15"/>
      <c r="Q427" s="15" t="b">
        <v>0</v>
      </c>
    </row>
    <row r="428" spans="1:17" ht="15" hidden="1" customHeight="1">
      <c r="A428" s="15">
        <v>3347</v>
      </c>
      <c r="B428" s="15">
        <v>427</v>
      </c>
      <c r="C428" s="15">
        <v>0</v>
      </c>
      <c r="D428" s="15">
        <v>193</v>
      </c>
      <c r="E428" s="15" t="b">
        <v>1</v>
      </c>
      <c r="F428" s="15" t="b">
        <v>0</v>
      </c>
      <c r="G428" s="33" t="s">
        <v>206</v>
      </c>
      <c r="H428" s="15" t="s">
        <v>1020</v>
      </c>
      <c r="I428" s="33" t="s">
        <v>213</v>
      </c>
      <c r="J428" s="15"/>
      <c r="K428" s="15"/>
      <c r="L428" s="120" t="s">
        <v>210</v>
      </c>
      <c r="M428" s="15" t="s">
        <v>1023</v>
      </c>
      <c r="N428" s="15" t="s">
        <v>1024</v>
      </c>
      <c r="O428" s="15"/>
      <c r="P428" s="15"/>
      <c r="Q428" s="15" t="b">
        <v>0</v>
      </c>
    </row>
    <row r="429" spans="1:17" ht="15" hidden="1" customHeight="1">
      <c r="A429" s="15">
        <v>3348</v>
      </c>
      <c r="B429" s="15">
        <v>428</v>
      </c>
      <c r="C429" s="15">
        <v>0</v>
      </c>
      <c r="D429" s="15">
        <v>193</v>
      </c>
      <c r="E429" s="15" t="b">
        <v>1</v>
      </c>
      <c r="F429" s="15" t="b">
        <v>0</v>
      </c>
      <c r="G429" s="33" t="s">
        <v>206</v>
      </c>
      <c r="H429" s="15" t="s">
        <v>1020</v>
      </c>
      <c r="I429" s="33" t="s">
        <v>216</v>
      </c>
      <c r="J429" s="15"/>
      <c r="K429" s="15"/>
      <c r="L429" s="120" t="s">
        <v>210</v>
      </c>
      <c r="M429" s="15" t="s">
        <v>1025</v>
      </c>
      <c r="N429" s="15" t="s">
        <v>1026</v>
      </c>
      <c r="O429" s="15"/>
      <c r="P429" s="15"/>
      <c r="Q429" s="15" t="b">
        <v>0</v>
      </c>
    </row>
    <row r="430" spans="1:17" ht="15" hidden="1" customHeight="1">
      <c r="A430" s="15">
        <v>3349</v>
      </c>
      <c r="B430" s="15">
        <v>429</v>
      </c>
      <c r="C430" s="15">
        <v>0</v>
      </c>
      <c r="D430" s="15">
        <v>193</v>
      </c>
      <c r="E430" s="15" t="b">
        <v>0</v>
      </c>
      <c r="F430" s="15" t="b">
        <v>0</v>
      </c>
      <c r="G430" s="33" t="s">
        <v>206</v>
      </c>
      <c r="H430" s="15" t="s">
        <v>1027</v>
      </c>
      <c r="I430" s="33" t="s">
        <v>208</v>
      </c>
      <c r="J430" s="15"/>
      <c r="K430" s="15"/>
      <c r="L430" s="120" t="s">
        <v>220</v>
      </c>
      <c r="M430" s="15" t="s">
        <v>1028</v>
      </c>
      <c r="N430" s="15" t="s">
        <v>1029</v>
      </c>
      <c r="O430" s="15"/>
      <c r="P430" s="15"/>
      <c r="Q430" s="15" t="b">
        <v>0</v>
      </c>
    </row>
    <row r="431" spans="1:17" ht="15" hidden="1" customHeight="1">
      <c r="A431" s="15">
        <v>3350</v>
      </c>
      <c r="B431" s="15">
        <v>430</v>
      </c>
      <c r="C431" s="15">
        <v>0</v>
      </c>
      <c r="D431" s="15">
        <v>193</v>
      </c>
      <c r="E431" s="15" t="b">
        <v>0</v>
      </c>
      <c r="F431" s="15" t="b">
        <v>0</v>
      </c>
      <c r="G431" s="33" t="s">
        <v>206</v>
      </c>
      <c r="H431" s="15" t="s">
        <v>1027</v>
      </c>
      <c r="I431" s="33" t="s">
        <v>213</v>
      </c>
      <c r="J431" s="15"/>
      <c r="K431" s="15"/>
      <c r="L431" s="120" t="s">
        <v>220</v>
      </c>
      <c r="M431" s="15" t="s">
        <v>1030</v>
      </c>
      <c r="N431" s="15" t="s">
        <v>1031</v>
      </c>
      <c r="O431" s="15"/>
      <c r="P431" s="15"/>
      <c r="Q431" s="15" t="b">
        <v>0</v>
      </c>
    </row>
    <row r="432" spans="1:17" ht="15" hidden="1" customHeight="1">
      <c r="A432" s="15">
        <v>3351</v>
      </c>
      <c r="B432" s="15">
        <v>431</v>
      </c>
      <c r="C432" s="15">
        <v>0</v>
      </c>
      <c r="D432" s="15">
        <v>193</v>
      </c>
      <c r="E432" s="15" t="b">
        <v>0</v>
      </c>
      <c r="F432" s="15" t="b">
        <v>0</v>
      </c>
      <c r="G432" s="33" t="s">
        <v>206</v>
      </c>
      <c r="H432" s="15" t="s">
        <v>1027</v>
      </c>
      <c r="I432" s="33" t="s">
        <v>216</v>
      </c>
      <c r="J432" s="15"/>
      <c r="K432" s="15"/>
      <c r="L432" s="120" t="s">
        <v>220</v>
      </c>
      <c r="M432" s="15" t="s">
        <v>1032</v>
      </c>
      <c r="N432" s="15" t="s">
        <v>1033</v>
      </c>
      <c r="O432" s="15"/>
      <c r="P432" s="15"/>
      <c r="Q432" s="15" t="b">
        <v>0</v>
      </c>
    </row>
    <row r="433" spans="1:17" ht="15" hidden="1" customHeight="1">
      <c r="A433" s="15">
        <v>3352</v>
      </c>
      <c r="B433" s="15">
        <v>432</v>
      </c>
      <c r="C433" s="15">
        <v>0</v>
      </c>
      <c r="D433" s="15">
        <v>193</v>
      </c>
      <c r="E433" s="15" t="b">
        <v>0</v>
      </c>
      <c r="F433" s="15" t="b">
        <v>0</v>
      </c>
      <c r="G433" s="33" t="s">
        <v>206</v>
      </c>
      <c r="H433" s="15" t="s">
        <v>1034</v>
      </c>
      <c r="I433" s="33" t="s">
        <v>208</v>
      </c>
      <c r="J433" s="15"/>
      <c r="K433" s="15"/>
      <c r="L433" s="120" t="s">
        <v>220</v>
      </c>
      <c r="M433" s="15" t="s">
        <v>1035</v>
      </c>
      <c r="N433" s="15" t="s">
        <v>1036</v>
      </c>
      <c r="O433" s="15"/>
      <c r="P433" s="15"/>
      <c r="Q433" s="15" t="b">
        <v>0</v>
      </c>
    </row>
    <row r="434" spans="1:17" ht="15" hidden="1" customHeight="1">
      <c r="A434" s="15">
        <v>3353</v>
      </c>
      <c r="B434" s="15">
        <v>433</v>
      </c>
      <c r="C434" s="15">
        <v>0</v>
      </c>
      <c r="D434" s="15">
        <v>193</v>
      </c>
      <c r="E434" s="15" t="b">
        <v>0</v>
      </c>
      <c r="F434" s="15" t="b">
        <v>0</v>
      </c>
      <c r="G434" s="33" t="s">
        <v>206</v>
      </c>
      <c r="H434" s="15" t="s">
        <v>1034</v>
      </c>
      <c r="I434" s="33" t="s">
        <v>213</v>
      </c>
      <c r="J434" s="15"/>
      <c r="K434" s="15"/>
      <c r="L434" s="120" t="s">
        <v>220</v>
      </c>
      <c r="M434" s="15" t="s">
        <v>1037</v>
      </c>
      <c r="N434" s="15" t="s">
        <v>1038</v>
      </c>
      <c r="O434" s="15"/>
      <c r="P434" s="15"/>
      <c r="Q434" s="15" t="b">
        <v>0</v>
      </c>
    </row>
    <row r="435" spans="1:17" ht="15" hidden="1" customHeight="1">
      <c r="A435" s="15">
        <v>3354</v>
      </c>
      <c r="B435" s="15">
        <v>434</v>
      </c>
      <c r="C435" s="15">
        <v>0</v>
      </c>
      <c r="D435" s="15">
        <v>193</v>
      </c>
      <c r="E435" s="15" t="b">
        <v>0</v>
      </c>
      <c r="F435" s="15" t="b">
        <v>0</v>
      </c>
      <c r="G435" s="33" t="s">
        <v>206</v>
      </c>
      <c r="H435" s="15" t="s">
        <v>1034</v>
      </c>
      <c r="I435" s="33" t="s">
        <v>216</v>
      </c>
      <c r="J435" s="15"/>
      <c r="K435" s="15"/>
      <c r="L435" s="120" t="s">
        <v>220</v>
      </c>
      <c r="M435" s="15" t="s">
        <v>1039</v>
      </c>
      <c r="N435" s="15" t="s">
        <v>1040</v>
      </c>
      <c r="O435" s="15"/>
      <c r="P435" s="15"/>
      <c r="Q435" s="15" t="b">
        <v>0</v>
      </c>
    </row>
    <row r="436" spans="1:17" ht="15" hidden="1" customHeight="1">
      <c r="A436" s="15">
        <v>3355</v>
      </c>
      <c r="B436" s="15">
        <v>435</v>
      </c>
      <c r="C436" s="15">
        <v>0</v>
      </c>
      <c r="D436" s="15">
        <v>193</v>
      </c>
      <c r="E436" s="15" t="b">
        <v>1</v>
      </c>
      <c r="F436" s="15" t="b">
        <v>0</v>
      </c>
      <c r="G436" s="33" t="s">
        <v>206</v>
      </c>
      <c r="H436" s="15" t="s">
        <v>1041</v>
      </c>
      <c r="I436" s="33" t="s">
        <v>208</v>
      </c>
      <c r="J436" s="15"/>
      <c r="K436" s="15"/>
      <c r="L436" s="120" t="s">
        <v>210</v>
      </c>
      <c r="M436" s="15" t="s">
        <v>1042</v>
      </c>
      <c r="N436" s="15" t="s">
        <v>1043</v>
      </c>
      <c r="O436" s="15"/>
      <c r="P436" s="15"/>
      <c r="Q436" s="15" t="b">
        <v>0</v>
      </c>
    </row>
    <row r="437" spans="1:17" ht="15" hidden="1" customHeight="1">
      <c r="A437" s="15">
        <v>3356</v>
      </c>
      <c r="B437" s="15">
        <v>436</v>
      </c>
      <c r="C437" s="15">
        <v>0</v>
      </c>
      <c r="D437" s="15">
        <v>193</v>
      </c>
      <c r="E437" s="15" t="b">
        <v>1</v>
      </c>
      <c r="F437" s="15" t="b">
        <v>0</v>
      </c>
      <c r="G437" s="33" t="s">
        <v>206</v>
      </c>
      <c r="H437" s="15" t="s">
        <v>1041</v>
      </c>
      <c r="I437" s="33" t="s">
        <v>213</v>
      </c>
      <c r="J437" s="15"/>
      <c r="K437" s="15"/>
      <c r="L437" s="120" t="s">
        <v>210</v>
      </c>
      <c r="M437" s="15" t="s">
        <v>1044</v>
      </c>
      <c r="N437" s="15" t="s">
        <v>1045</v>
      </c>
      <c r="O437" s="15"/>
      <c r="P437" s="15"/>
      <c r="Q437" s="15" t="b">
        <v>0</v>
      </c>
    </row>
    <row r="438" spans="1:17" ht="15" hidden="1" customHeight="1">
      <c r="A438" s="15">
        <v>3357</v>
      </c>
      <c r="B438" s="15">
        <v>437</v>
      </c>
      <c r="C438" s="15">
        <v>0</v>
      </c>
      <c r="D438" s="15">
        <v>193</v>
      </c>
      <c r="E438" s="15" t="b">
        <v>1</v>
      </c>
      <c r="F438" s="15" t="b">
        <v>0</v>
      </c>
      <c r="G438" s="33" t="s">
        <v>206</v>
      </c>
      <c r="H438" s="15" t="s">
        <v>1041</v>
      </c>
      <c r="I438" s="33" t="s">
        <v>216</v>
      </c>
      <c r="J438" s="15"/>
      <c r="K438" s="15"/>
      <c r="L438" s="120" t="s">
        <v>210</v>
      </c>
      <c r="M438" s="15" t="s">
        <v>1046</v>
      </c>
      <c r="N438" s="15" t="s">
        <v>1047</v>
      </c>
      <c r="O438" s="15"/>
      <c r="P438" s="15"/>
      <c r="Q438" s="15" t="b">
        <v>0</v>
      </c>
    </row>
    <row r="439" spans="1:17" ht="15" hidden="1" customHeight="1">
      <c r="A439" s="15">
        <v>3358</v>
      </c>
      <c r="B439" s="15">
        <v>438</v>
      </c>
      <c r="C439" s="15">
        <v>0</v>
      </c>
      <c r="D439" s="15">
        <v>193</v>
      </c>
      <c r="E439" s="15" t="b">
        <v>0</v>
      </c>
      <c r="F439" s="15" t="b">
        <v>0</v>
      </c>
      <c r="G439" s="33" t="s">
        <v>206</v>
      </c>
      <c r="H439" s="15" t="s">
        <v>1048</v>
      </c>
      <c r="I439" s="33" t="s">
        <v>208</v>
      </c>
      <c r="J439" s="15"/>
      <c r="K439" s="15"/>
      <c r="L439" s="120" t="s">
        <v>220</v>
      </c>
      <c r="M439" s="15" t="s">
        <v>1049</v>
      </c>
      <c r="N439" s="15" t="s">
        <v>1050</v>
      </c>
      <c r="O439" s="15"/>
      <c r="P439" s="15"/>
      <c r="Q439" s="15" t="b">
        <v>0</v>
      </c>
    </row>
    <row r="440" spans="1:17" ht="15" hidden="1" customHeight="1">
      <c r="A440" s="15">
        <v>3359</v>
      </c>
      <c r="B440" s="15">
        <v>439</v>
      </c>
      <c r="C440" s="15">
        <v>0</v>
      </c>
      <c r="D440" s="15">
        <v>193</v>
      </c>
      <c r="E440" s="15" t="b">
        <v>0</v>
      </c>
      <c r="F440" s="15" t="b">
        <v>0</v>
      </c>
      <c r="G440" s="33" t="s">
        <v>206</v>
      </c>
      <c r="H440" s="15" t="s">
        <v>1048</v>
      </c>
      <c r="I440" s="33" t="s">
        <v>213</v>
      </c>
      <c r="J440" s="15"/>
      <c r="K440" s="15"/>
      <c r="L440" s="120" t="s">
        <v>220</v>
      </c>
      <c r="M440" s="15" t="s">
        <v>1051</v>
      </c>
      <c r="N440" s="15" t="s">
        <v>1052</v>
      </c>
      <c r="O440" s="15"/>
      <c r="P440" s="15"/>
      <c r="Q440" s="15" t="b">
        <v>0</v>
      </c>
    </row>
    <row r="441" spans="1:17" ht="15" hidden="1" customHeight="1">
      <c r="A441" s="15">
        <v>3360</v>
      </c>
      <c r="B441" s="15">
        <v>440</v>
      </c>
      <c r="C441" s="15">
        <v>0</v>
      </c>
      <c r="D441" s="15">
        <v>193</v>
      </c>
      <c r="E441" s="15" t="b">
        <v>0</v>
      </c>
      <c r="F441" s="15" t="b">
        <v>0</v>
      </c>
      <c r="G441" s="33" t="s">
        <v>206</v>
      </c>
      <c r="H441" s="15" t="s">
        <v>1048</v>
      </c>
      <c r="I441" s="33" t="s">
        <v>216</v>
      </c>
      <c r="J441" s="15"/>
      <c r="K441" s="15"/>
      <c r="L441" s="120" t="s">
        <v>220</v>
      </c>
      <c r="M441" s="15" t="s">
        <v>1053</v>
      </c>
      <c r="N441" s="15" t="s">
        <v>1054</v>
      </c>
      <c r="O441" s="15"/>
      <c r="P441" s="15"/>
      <c r="Q441" s="15" t="b">
        <v>0</v>
      </c>
    </row>
    <row r="442" spans="1:17" ht="15" hidden="1" customHeight="1">
      <c r="A442" s="15">
        <v>3361</v>
      </c>
      <c r="B442" s="15">
        <v>441</v>
      </c>
      <c r="C442" s="15">
        <v>0</v>
      </c>
      <c r="D442" s="15">
        <v>193</v>
      </c>
      <c r="E442" s="15" t="b">
        <v>1</v>
      </c>
      <c r="F442" s="15" t="b">
        <v>0</v>
      </c>
      <c r="G442" s="33" t="s">
        <v>206</v>
      </c>
      <c r="H442" s="15" t="s">
        <v>1055</v>
      </c>
      <c r="I442" s="33" t="s">
        <v>208</v>
      </c>
      <c r="J442" s="15"/>
      <c r="K442" s="15"/>
      <c r="L442" s="120" t="s">
        <v>210</v>
      </c>
      <c r="M442" s="15" t="s">
        <v>1056</v>
      </c>
      <c r="N442" s="15" t="s">
        <v>1057</v>
      </c>
      <c r="O442" s="15"/>
      <c r="P442" s="15"/>
      <c r="Q442" s="15" t="b">
        <v>0</v>
      </c>
    </row>
    <row r="443" spans="1:17" ht="15" hidden="1" customHeight="1">
      <c r="A443" s="15">
        <v>3362</v>
      </c>
      <c r="B443" s="15">
        <v>442</v>
      </c>
      <c r="C443" s="15">
        <v>0</v>
      </c>
      <c r="D443" s="15">
        <v>193</v>
      </c>
      <c r="E443" s="15" t="b">
        <v>1</v>
      </c>
      <c r="F443" s="15" t="b">
        <v>0</v>
      </c>
      <c r="G443" s="33" t="s">
        <v>206</v>
      </c>
      <c r="H443" s="15" t="s">
        <v>1055</v>
      </c>
      <c r="I443" s="33" t="s">
        <v>213</v>
      </c>
      <c r="J443" s="15"/>
      <c r="K443" s="15"/>
      <c r="L443" s="120" t="s">
        <v>210</v>
      </c>
      <c r="M443" s="15" t="s">
        <v>1058</v>
      </c>
      <c r="N443" s="15" t="s">
        <v>1059</v>
      </c>
      <c r="O443" s="15"/>
      <c r="P443" s="15"/>
      <c r="Q443" s="15" t="b">
        <v>0</v>
      </c>
    </row>
    <row r="444" spans="1:17" ht="15" hidden="1" customHeight="1">
      <c r="A444" s="15">
        <v>3363</v>
      </c>
      <c r="B444" s="15">
        <v>443</v>
      </c>
      <c r="C444" s="15">
        <v>0</v>
      </c>
      <c r="D444" s="15">
        <v>193</v>
      </c>
      <c r="E444" s="15" t="b">
        <v>1</v>
      </c>
      <c r="F444" s="15" t="b">
        <v>0</v>
      </c>
      <c r="G444" s="33" t="s">
        <v>206</v>
      </c>
      <c r="H444" s="15" t="s">
        <v>1055</v>
      </c>
      <c r="I444" s="33" t="s">
        <v>216</v>
      </c>
      <c r="J444" s="15"/>
      <c r="K444" s="15"/>
      <c r="L444" s="120" t="s">
        <v>210</v>
      </c>
      <c r="M444" s="15" t="s">
        <v>1060</v>
      </c>
      <c r="N444" s="15" t="s">
        <v>1061</v>
      </c>
      <c r="O444" s="15"/>
      <c r="P444" s="15"/>
      <c r="Q444" s="15" t="b">
        <v>0</v>
      </c>
    </row>
    <row r="445" spans="1:17" ht="15" hidden="1" customHeight="1">
      <c r="A445" s="15">
        <v>3364</v>
      </c>
      <c r="B445" s="15">
        <v>444</v>
      </c>
      <c r="C445" s="15">
        <v>0</v>
      </c>
      <c r="D445" s="15">
        <v>193</v>
      </c>
      <c r="E445" s="15" t="b">
        <v>0</v>
      </c>
      <c r="F445" s="15" t="b">
        <v>0</v>
      </c>
      <c r="G445" s="33" t="s">
        <v>206</v>
      </c>
      <c r="H445" s="15" t="s">
        <v>1062</v>
      </c>
      <c r="I445" s="33" t="s">
        <v>208</v>
      </c>
      <c r="J445" s="15"/>
      <c r="K445" s="15"/>
      <c r="L445" s="120" t="s">
        <v>220</v>
      </c>
      <c r="M445" s="15" t="s">
        <v>1063</v>
      </c>
      <c r="N445" s="15" t="s">
        <v>1064</v>
      </c>
      <c r="O445" s="15"/>
      <c r="P445" s="15"/>
      <c r="Q445" s="15" t="b">
        <v>0</v>
      </c>
    </row>
    <row r="446" spans="1:17" ht="15" hidden="1" customHeight="1">
      <c r="A446" s="15">
        <v>3365</v>
      </c>
      <c r="B446" s="15">
        <v>445</v>
      </c>
      <c r="C446" s="15">
        <v>0</v>
      </c>
      <c r="D446" s="15">
        <v>193</v>
      </c>
      <c r="E446" s="15" t="b">
        <v>0</v>
      </c>
      <c r="F446" s="15" t="b">
        <v>0</v>
      </c>
      <c r="G446" s="33" t="s">
        <v>206</v>
      </c>
      <c r="H446" s="15" t="s">
        <v>1062</v>
      </c>
      <c r="I446" s="33" t="s">
        <v>213</v>
      </c>
      <c r="J446" s="15"/>
      <c r="K446" s="15"/>
      <c r="L446" s="120" t="s">
        <v>220</v>
      </c>
      <c r="M446" s="15" t="s">
        <v>1065</v>
      </c>
      <c r="N446" s="15" t="s">
        <v>1066</v>
      </c>
      <c r="O446" s="15"/>
      <c r="P446" s="15"/>
      <c r="Q446" s="15" t="b">
        <v>0</v>
      </c>
    </row>
    <row r="447" spans="1:17" ht="15" hidden="1" customHeight="1">
      <c r="A447" s="15">
        <v>3366</v>
      </c>
      <c r="B447" s="15">
        <v>446</v>
      </c>
      <c r="C447" s="15">
        <v>0</v>
      </c>
      <c r="D447" s="15">
        <v>193</v>
      </c>
      <c r="E447" s="15" t="b">
        <v>0</v>
      </c>
      <c r="F447" s="15" t="b">
        <v>0</v>
      </c>
      <c r="G447" s="33" t="s">
        <v>206</v>
      </c>
      <c r="H447" s="15" t="s">
        <v>1062</v>
      </c>
      <c r="I447" s="33" t="s">
        <v>216</v>
      </c>
      <c r="J447" s="15"/>
      <c r="K447" s="15"/>
      <c r="L447" s="120" t="s">
        <v>220</v>
      </c>
      <c r="M447" s="15" t="s">
        <v>1067</v>
      </c>
      <c r="N447" s="15" t="s">
        <v>1068</v>
      </c>
      <c r="O447" s="15"/>
      <c r="P447" s="15"/>
      <c r="Q447" s="15" t="b">
        <v>0</v>
      </c>
    </row>
    <row r="448" spans="1:17" ht="15" hidden="1" customHeight="1">
      <c r="A448" s="15">
        <v>3367</v>
      </c>
      <c r="B448" s="15">
        <v>447</v>
      </c>
      <c r="C448" s="15">
        <v>0</v>
      </c>
      <c r="D448" s="15">
        <v>193</v>
      </c>
      <c r="E448" s="15" t="b">
        <v>0</v>
      </c>
      <c r="F448" s="15" t="b">
        <v>0</v>
      </c>
      <c r="G448" s="33" t="s">
        <v>206</v>
      </c>
      <c r="H448" s="15" t="s">
        <v>1069</v>
      </c>
      <c r="I448" s="33" t="s">
        <v>208</v>
      </c>
      <c r="J448" s="15"/>
      <c r="K448" s="15"/>
      <c r="L448" s="120" t="s">
        <v>220</v>
      </c>
      <c r="M448" s="15" t="s">
        <v>1070</v>
      </c>
      <c r="N448" s="15" t="s">
        <v>1071</v>
      </c>
      <c r="O448" s="15"/>
      <c r="P448" s="15"/>
      <c r="Q448" s="15" t="b">
        <v>0</v>
      </c>
    </row>
    <row r="449" spans="1:17" ht="15" hidden="1" customHeight="1">
      <c r="A449" s="15">
        <v>3368</v>
      </c>
      <c r="B449" s="15">
        <v>448</v>
      </c>
      <c r="C449" s="15">
        <v>0</v>
      </c>
      <c r="D449" s="15">
        <v>193</v>
      </c>
      <c r="E449" s="15" t="b">
        <v>0</v>
      </c>
      <c r="F449" s="15" t="b">
        <v>0</v>
      </c>
      <c r="G449" s="33" t="s">
        <v>206</v>
      </c>
      <c r="H449" s="15" t="s">
        <v>1069</v>
      </c>
      <c r="I449" s="33" t="s">
        <v>213</v>
      </c>
      <c r="J449" s="15"/>
      <c r="K449" s="15"/>
      <c r="L449" s="120" t="s">
        <v>220</v>
      </c>
      <c r="M449" s="15" t="s">
        <v>1072</v>
      </c>
      <c r="N449" s="15" t="s">
        <v>1073</v>
      </c>
      <c r="O449" s="15"/>
      <c r="P449" s="15"/>
      <c r="Q449" s="15" t="b">
        <v>0</v>
      </c>
    </row>
    <row r="450" spans="1:17" ht="15" hidden="1" customHeight="1">
      <c r="A450" s="15">
        <v>3369</v>
      </c>
      <c r="B450" s="15">
        <v>449</v>
      </c>
      <c r="C450" s="15">
        <v>0</v>
      </c>
      <c r="D450" s="15">
        <v>193</v>
      </c>
      <c r="E450" s="15" t="b">
        <v>0</v>
      </c>
      <c r="F450" s="15" t="b">
        <v>0</v>
      </c>
      <c r="G450" s="33" t="s">
        <v>206</v>
      </c>
      <c r="H450" s="15" t="s">
        <v>1069</v>
      </c>
      <c r="I450" s="33" t="s">
        <v>216</v>
      </c>
      <c r="J450" s="15"/>
      <c r="K450" s="15"/>
      <c r="L450" s="120" t="s">
        <v>220</v>
      </c>
      <c r="M450" s="15" t="s">
        <v>1074</v>
      </c>
      <c r="N450" s="15" t="s">
        <v>1075</v>
      </c>
      <c r="O450" s="15"/>
      <c r="P450" s="15"/>
      <c r="Q450" s="15" t="b">
        <v>0</v>
      </c>
    </row>
    <row r="451" spans="1:17" ht="15" hidden="1" customHeight="1">
      <c r="A451" s="15">
        <v>3370</v>
      </c>
      <c r="B451" s="15">
        <v>450</v>
      </c>
      <c r="C451" s="15">
        <v>0</v>
      </c>
      <c r="D451" s="15">
        <v>193</v>
      </c>
      <c r="E451" s="15" t="b">
        <v>1</v>
      </c>
      <c r="F451" s="15" t="b">
        <v>0</v>
      </c>
      <c r="G451" s="33" t="s">
        <v>206</v>
      </c>
      <c r="H451" s="15" t="s">
        <v>1076</v>
      </c>
      <c r="I451" s="33" t="s">
        <v>208</v>
      </c>
      <c r="J451" s="15"/>
      <c r="K451" s="15"/>
      <c r="L451" s="120" t="s">
        <v>210</v>
      </c>
      <c r="M451" s="15" t="s">
        <v>1077</v>
      </c>
      <c r="N451" s="15" t="s">
        <v>1078</v>
      </c>
      <c r="O451" s="15"/>
      <c r="P451" s="15"/>
      <c r="Q451" s="15" t="b">
        <v>0</v>
      </c>
    </row>
    <row r="452" spans="1:17" ht="15" hidden="1" customHeight="1">
      <c r="A452" s="15">
        <v>3371</v>
      </c>
      <c r="B452" s="15">
        <v>451</v>
      </c>
      <c r="C452" s="15">
        <v>0</v>
      </c>
      <c r="D452" s="15">
        <v>193</v>
      </c>
      <c r="E452" s="15" t="b">
        <v>1</v>
      </c>
      <c r="F452" s="15" t="b">
        <v>0</v>
      </c>
      <c r="G452" s="33" t="s">
        <v>206</v>
      </c>
      <c r="H452" s="15" t="s">
        <v>1076</v>
      </c>
      <c r="I452" s="33" t="s">
        <v>213</v>
      </c>
      <c r="J452" s="15"/>
      <c r="K452" s="15"/>
      <c r="L452" s="120" t="s">
        <v>210</v>
      </c>
      <c r="M452" s="15" t="s">
        <v>1079</v>
      </c>
      <c r="N452" s="15" t="s">
        <v>1080</v>
      </c>
      <c r="O452" s="15"/>
      <c r="P452" s="15"/>
      <c r="Q452" s="15" t="b">
        <v>0</v>
      </c>
    </row>
    <row r="453" spans="1:17" ht="15" hidden="1" customHeight="1">
      <c r="A453" s="15">
        <v>3372</v>
      </c>
      <c r="B453" s="15">
        <v>452</v>
      </c>
      <c r="C453" s="15">
        <v>0</v>
      </c>
      <c r="D453" s="15">
        <v>193</v>
      </c>
      <c r="E453" s="15" t="b">
        <v>1</v>
      </c>
      <c r="F453" s="15" t="b">
        <v>0</v>
      </c>
      <c r="G453" s="33" t="s">
        <v>206</v>
      </c>
      <c r="H453" s="15" t="s">
        <v>1076</v>
      </c>
      <c r="I453" s="33" t="s">
        <v>216</v>
      </c>
      <c r="J453" s="15"/>
      <c r="K453" s="15"/>
      <c r="L453" s="120" t="s">
        <v>210</v>
      </c>
      <c r="M453" s="15" t="s">
        <v>1081</v>
      </c>
      <c r="N453" s="15" t="s">
        <v>1082</v>
      </c>
      <c r="O453" s="15"/>
      <c r="P453" s="15"/>
      <c r="Q453" s="15" t="b">
        <v>0</v>
      </c>
    </row>
    <row r="454" spans="1:17" ht="15" hidden="1" customHeight="1">
      <c r="A454" s="15">
        <v>3373</v>
      </c>
      <c r="B454" s="15">
        <v>453</v>
      </c>
      <c r="C454" s="15">
        <v>0</v>
      </c>
      <c r="D454" s="15">
        <v>193</v>
      </c>
      <c r="E454" s="15" t="b">
        <v>0</v>
      </c>
      <c r="F454" s="15" t="b">
        <v>0</v>
      </c>
      <c r="G454" s="33" t="s">
        <v>206</v>
      </c>
      <c r="H454" s="15" t="s">
        <v>1083</v>
      </c>
      <c r="I454" s="33" t="s">
        <v>208</v>
      </c>
      <c r="J454" s="15"/>
      <c r="K454" s="15"/>
      <c r="L454" s="120" t="s">
        <v>220</v>
      </c>
      <c r="M454" s="15" t="s">
        <v>1084</v>
      </c>
      <c r="N454" s="15" t="s">
        <v>1085</v>
      </c>
      <c r="O454" s="15"/>
      <c r="P454" s="15"/>
      <c r="Q454" s="15" t="b">
        <v>0</v>
      </c>
    </row>
    <row r="455" spans="1:17" ht="15" hidden="1" customHeight="1">
      <c r="A455" s="15">
        <v>3374</v>
      </c>
      <c r="B455" s="15">
        <v>454</v>
      </c>
      <c r="C455" s="15">
        <v>0</v>
      </c>
      <c r="D455" s="15">
        <v>193</v>
      </c>
      <c r="E455" s="15" t="b">
        <v>0</v>
      </c>
      <c r="F455" s="15" t="b">
        <v>0</v>
      </c>
      <c r="G455" s="33" t="s">
        <v>206</v>
      </c>
      <c r="H455" s="15" t="s">
        <v>1083</v>
      </c>
      <c r="I455" s="33" t="s">
        <v>213</v>
      </c>
      <c r="J455" s="15"/>
      <c r="K455" s="15"/>
      <c r="L455" s="120" t="s">
        <v>220</v>
      </c>
      <c r="M455" s="15" t="s">
        <v>1086</v>
      </c>
      <c r="N455" s="15" t="s">
        <v>1087</v>
      </c>
      <c r="O455" s="15"/>
      <c r="P455" s="15"/>
      <c r="Q455" s="15" t="b">
        <v>0</v>
      </c>
    </row>
    <row r="456" spans="1:17" ht="15" hidden="1" customHeight="1">
      <c r="A456" s="15">
        <v>3375</v>
      </c>
      <c r="B456" s="15">
        <v>455</v>
      </c>
      <c r="C456" s="15">
        <v>0</v>
      </c>
      <c r="D456" s="15">
        <v>193</v>
      </c>
      <c r="E456" s="15" t="b">
        <v>0</v>
      </c>
      <c r="F456" s="15" t="b">
        <v>0</v>
      </c>
      <c r="G456" s="33" t="s">
        <v>206</v>
      </c>
      <c r="H456" s="15" t="s">
        <v>1083</v>
      </c>
      <c r="I456" s="33" t="s">
        <v>216</v>
      </c>
      <c r="J456" s="15"/>
      <c r="K456" s="15"/>
      <c r="L456" s="120" t="s">
        <v>220</v>
      </c>
      <c r="M456" s="15" t="s">
        <v>1088</v>
      </c>
      <c r="N456" s="15" t="s">
        <v>1089</v>
      </c>
      <c r="O456" s="15"/>
      <c r="P456" s="15"/>
      <c r="Q456" s="15" t="b">
        <v>0</v>
      </c>
    </row>
    <row r="457" spans="1:17" ht="15" hidden="1" customHeight="1">
      <c r="A457" s="15">
        <v>3376</v>
      </c>
      <c r="B457" s="15">
        <v>456</v>
      </c>
      <c r="C457" s="15">
        <v>0</v>
      </c>
      <c r="D457" s="15">
        <v>193</v>
      </c>
      <c r="E457" s="15" t="b">
        <v>0</v>
      </c>
      <c r="F457" s="15" t="b">
        <v>0</v>
      </c>
      <c r="G457" s="33" t="s">
        <v>206</v>
      </c>
      <c r="H457" s="15" t="s">
        <v>1090</v>
      </c>
      <c r="I457" s="33" t="s">
        <v>208</v>
      </c>
      <c r="J457" s="15"/>
      <c r="K457" s="15"/>
      <c r="L457" s="120" t="s">
        <v>220</v>
      </c>
      <c r="M457" s="15" t="s">
        <v>1091</v>
      </c>
      <c r="N457" s="15" t="s">
        <v>1092</v>
      </c>
      <c r="O457" s="15"/>
      <c r="P457" s="15"/>
      <c r="Q457" s="15" t="b">
        <v>0</v>
      </c>
    </row>
    <row r="458" spans="1:17" ht="15" hidden="1" customHeight="1">
      <c r="A458" s="15">
        <v>3377</v>
      </c>
      <c r="B458" s="15">
        <v>457</v>
      </c>
      <c r="C458" s="15">
        <v>0</v>
      </c>
      <c r="D458" s="15">
        <v>193</v>
      </c>
      <c r="E458" s="15" t="b">
        <v>0</v>
      </c>
      <c r="F458" s="15" t="b">
        <v>0</v>
      </c>
      <c r="G458" s="33" t="s">
        <v>206</v>
      </c>
      <c r="H458" s="15" t="s">
        <v>1090</v>
      </c>
      <c r="I458" s="33" t="s">
        <v>213</v>
      </c>
      <c r="J458" s="15"/>
      <c r="K458" s="15"/>
      <c r="L458" s="120" t="s">
        <v>220</v>
      </c>
      <c r="M458" s="15" t="s">
        <v>1093</v>
      </c>
      <c r="N458" s="15" t="s">
        <v>1094</v>
      </c>
      <c r="O458" s="15"/>
      <c r="P458" s="15"/>
      <c r="Q458" s="15" t="b">
        <v>0</v>
      </c>
    </row>
    <row r="459" spans="1:17" ht="15" hidden="1" customHeight="1">
      <c r="A459" s="15">
        <v>3378</v>
      </c>
      <c r="B459" s="15">
        <v>458</v>
      </c>
      <c r="C459" s="15">
        <v>0</v>
      </c>
      <c r="D459" s="15">
        <v>193</v>
      </c>
      <c r="E459" s="15" t="b">
        <v>0</v>
      </c>
      <c r="F459" s="15" t="b">
        <v>0</v>
      </c>
      <c r="G459" s="33" t="s">
        <v>206</v>
      </c>
      <c r="H459" s="15" t="s">
        <v>1090</v>
      </c>
      <c r="I459" s="33" t="s">
        <v>216</v>
      </c>
      <c r="J459" s="15"/>
      <c r="K459" s="15"/>
      <c r="L459" s="120" t="s">
        <v>220</v>
      </c>
      <c r="M459" s="15" t="s">
        <v>1095</v>
      </c>
      <c r="N459" s="15" t="s">
        <v>1096</v>
      </c>
      <c r="O459" s="15"/>
      <c r="P459" s="15"/>
      <c r="Q459" s="15" t="b">
        <v>0</v>
      </c>
    </row>
    <row r="460" spans="1:17" ht="15" hidden="1" customHeight="1">
      <c r="A460" s="15">
        <v>3379</v>
      </c>
      <c r="B460" s="15">
        <v>459</v>
      </c>
      <c r="C460" s="15">
        <v>0</v>
      </c>
      <c r="D460" s="15">
        <v>193</v>
      </c>
      <c r="E460" s="15" t="b">
        <v>1</v>
      </c>
      <c r="F460" s="15" t="b">
        <v>0</v>
      </c>
      <c r="G460" s="33" t="s">
        <v>206</v>
      </c>
      <c r="H460" s="15" t="s">
        <v>1097</v>
      </c>
      <c r="I460" s="33" t="s">
        <v>208</v>
      </c>
      <c r="J460" s="15"/>
      <c r="K460" s="15"/>
      <c r="L460" s="120" t="s">
        <v>210</v>
      </c>
      <c r="M460" s="15" t="s">
        <v>1098</v>
      </c>
      <c r="N460" s="15" t="s">
        <v>1099</v>
      </c>
      <c r="O460" s="15"/>
      <c r="P460" s="15"/>
      <c r="Q460" s="15" t="b">
        <v>0</v>
      </c>
    </row>
    <row r="461" spans="1:17" ht="15" hidden="1" customHeight="1">
      <c r="A461" s="15">
        <v>3380</v>
      </c>
      <c r="B461" s="15">
        <v>460</v>
      </c>
      <c r="C461" s="15">
        <v>0</v>
      </c>
      <c r="D461" s="15">
        <v>193</v>
      </c>
      <c r="E461" s="15" t="b">
        <v>1</v>
      </c>
      <c r="F461" s="15" t="b">
        <v>0</v>
      </c>
      <c r="G461" s="33" t="s">
        <v>206</v>
      </c>
      <c r="H461" s="15" t="s">
        <v>1097</v>
      </c>
      <c r="I461" s="33" t="s">
        <v>213</v>
      </c>
      <c r="J461" s="15"/>
      <c r="K461" s="15"/>
      <c r="L461" s="120" t="s">
        <v>210</v>
      </c>
      <c r="M461" s="15" t="s">
        <v>1100</v>
      </c>
      <c r="N461" s="15" t="s">
        <v>1101</v>
      </c>
      <c r="O461" s="15"/>
      <c r="P461" s="15"/>
      <c r="Q461" s="15" t="b">
        <v>0</v>
      </c>
    </row>
    <row r="462" spans="1:17" ht="15" hidden="1" customHeight="1">
      <c r="A462" s="15">
        <v>3381</v>
      </c>
      <c r="B462" s="15">
        <v>461</v>
      </c>
      <c r="C462" s="15">
        <v>0</v>
      </c>
      <c r="D462" s="15">
        <v>193</v>
      </c>
      <c r="E462" s="15" t="b">
        <v>1</v>
      </c>
      <c r="F462" s="15" t="b">
        <v>0</v>
      </c>
      <c r="G462" s="33" t="s">
        <v>206</v>
      </c>
      <c r="H462" s="15" t="s">
        <v>1097</v>
      </c>
      <c r="I462" s="33" t="s">
        <v>216</v>
      </c>
      <c r="J462" s="15"/>
      <c r="K462" s="15"/>
      <c r="L462" s="120" t="s">
        <v>210</v>
      </c>
      <c r="M462" s="15" t="s">
        <v>1102</v>
      </c>
      <c r="N462" s="15" t="s">
        <v>1103</v>
      </c>
      <c r="O462" s="15"/>
      <c r="P462" s="15"/>
      <c r="Q462" s="15" t="b">
        <v>0</v>
      </c>
    </row>
    <row r="463" spans="1:17" ht="15" hidden="1" customHeight="1">
      <c r="A463" s="15">
        <v>3382</v>
      </c>
      <c r="B463" s="15">
        <v>462</v>
      </c>
      <c r="C463" s="15">
        <v>0</v>
      </c>
      <c r="D463" s="15">
        <v>193</v>
      </c>
      <c r="E463" s="15" t="b">
        <v>0</v>
      </c>
      <c r="F463" s="15" t="b">
        <v>0</v>
      </c>
      <c r="G463" s="33" t="s">
        <v>206</v>
      </c>
      <c r="H463" s="15" t="s">
        <v>1104</v>
      </c>
      <c r="I463" s="33" t="s">
        <v>208</v>
      </c>
      <c r="J463" s="15"/>
      <c r="K463" s="15"/>
      <c r="L463" s="120" t="s">
        <v>220</v>
      </c>
      <c r="M463" s="15" t="s">
        <v>1105</v>
      </c>
      <c r="N463" s="15" t="s">
        <v>1106</v>
      </c>
      <c r="O463" s="15"/>
      <c r="P463" s="15"/>
      <c r="Q463" s="15" t="b">
        <v>0</v>
      </c>
    </row>
    <row r="464" spans="1:17" ht="15" hidden="1" customHeight="1">
      <c r="A464" s="15">
        <v>3383</v>
      </c>
      <c r="B464" s="15">
        <v>463</v>
      </c>
      <c r="C464" s="15">
        <v>0</v>
      </c>
      <c r="D464" s="15">
        <v>193</v>
      </c>
      <c r="E464" s="15" t="b">
        <v>0</v>
      </c>
      <c r="F464" s="15" t="b">
        <v>0</v>
      </c>
      <c r="G464" s="33" t="s">
        <v>206</v>
      </c>
      <c r="H464" s="15" t="s">
        <v>1104</v>
      </c>
      <c r="I464" s="33" t="s">
        <v>213</v>
      </c>
      <c r="J464" s="15"/>
      <c r="K464" s="15"/>
      <c r="L464" s="120" t="s">
        <v>220</v>
      </c>
      <c r="M464" s="15" t="s">
        <v>1107</v>
      </c>
      <c r="N464" s="15" t="s">
        <v>1108</v>
      </c>
      <c r="O464" s="15"/>
      <c r="P464" s="15"/>
      <c r="Q464" s="15" t="b">
        <v>0</v>
      </c>
    </row>
    <row r="465" spans="1:17" ht="15" hidden="1" customHeight="1">
      <c r="A465" s="15">
        <v>3384</v>
      </c>
      <c r="B465" s="15">
        <v>464</v>
      </c>
      <c r="C465" s="15">
        <v>0</v>
      </c>
      <c r="D465" s="15">
        <v>193</v>
      </c>
      <c r="E465" s="15" t="b">
        <v>0</v>
      </c>
      <c r="F465" s="15" t="b">
        <v>0</v>
      </c>
      <c r="G465" s="33" t="s">
        <v>206</v>
      </c>
      <c r="H465" s="15" t="s">
        <v>1104</v>
      </c>
      <c r="I465" s="33" t="s">
        <v>216</v>
      </c>
      <c r="J465" s="15"/>
      <c r="K465" s="15"/>
      <c r="L465" s="120" t="s">
        <v>220</v>
      </c>
      <c r="M465" s="15" t="s">
        <v>1109</v>
      </c>
      <c r="N465" s="15" t="s">
        <v>1110</v>
      </c>
      <c r="O465" s="15"/>
      <c r="P465" s="15"/>
      <c r="Q465" s="15" t="b">
        <v>0</v>
      </c>
    </row>
    <row r="466" spans="1:17" ht="15" hidden="1" customHeight="1">
      <c r="A466" s="15">
        <v>3385</v>
      </c>
      <c r="B466" s="15">
        <v>465</v>
      </c>
      <c r="C466" s="15">
        <v>0</v>
      </c>
      <c r="D466" s="15">
        <v>196</v>
      </c>
      <c r="E466" s="15" t="b">
        <v>1</v>
      </c>
      <c r="F466" s="15" t="b">
        <v>0</v>
      </c>
      <c r="G466" s="33" t="s">
        <v>206</v>
      </c>
      <c r="H466" s="15" t="s">
        <v>1111</v>
      </c>
      <c r="I466" s="33" t="s">
        <v>208</v>
      </c>
      <c r="J466" s="15"/>
      <c r="K466" s="15"/>
      <c r="L466" s="120" t="s">
        <v>210</v>
      </c>
      <c r="M466" s="15" t="s">
        <v>1112</v>
      </c>
      <c r="N466" s="15" t="s">
        <v>1113</v>
      </c>
      <c r="O466" s="15"/>
      <c r="P466" s="15"/>
      <c r="Q466" s="15" t="b">
        <v>0</v>
      </c>
    </row>
    <row r="467" spans="1:17" ht="15" hidden="1" customHeight="1">
      <c r="A467" s="15">
        <v>3386</v>
      </c>
      <c r="B467" s="15">
        <v>466</v>
      </c>
      <c r="C467" s="15">
        <v>0</v>
      </c>
      <c r="D467" s="15">
        <v>196</v>
      </c>
      <c r="E467" s="15" t="b">
        <v>1</v>
      </c>
      <c r="F467" s="15" t="b">
        <v>0</v>
      </c>
      <c r="G467" s="33" t="s">
        <v>206</v>
      </c>
      <c r="H467" s="15" t="s">
        <v>1111</v>
      </c>
      <c r="I467" s="33" t="s">
        <v>213</v>
      </c>
      <c r="J467" s="15"/>
      <c r="K467" s="15"/>
      <c r="L467" s="120" t="s">
        <v>210</v>
      </c>
      <c r="M467" s="15" t="s">
        <v>1114</v>
      </c>
      <c r="N467" s="15" t="s">
        <v>1115</v>
      </c>
      <c r="O467" s="15"/>
      <c r="P467" s="15"/>
      <c r="Q467" s="15" t="b">
        <v>0</v>
      </c>
    </row>
    <row r="468" spans="1:17" ht="15" hidden="1" customHeight="1">
      <c r="A468" s="15">
        <v>3387</v>
      </c>
      <c r="B468" s="15">
        <v>467</v>
      </c>
      <c r="C468" s="15">
        <v>0</v>
      </c>
      <c r="D468" s="15">
        <v>196</v>
      </c>
      <c r="E468" s="15" t="b">
        <v>1</v>
      </c>
      <c r="F468" s="15" t="b">
        <v>0</v>
      </c>
      <c r="G468" s="33" t="s">
        <v>206</v>
      </c>
      <c r="H468" s="15" t="s">
        <v>1111</v>
      </c>
      <c r="I468" s="33" t="s">
        <v>216</v>
      </c>
      <c r="J468" s="15"/>
      <c r="K468" s="15"/>
      <c r="L468" s="120" t="s">
        <v>210</v>
      </c>
      <c r="M468" s="15" t="s">
        <v>1116</v>
      </c>
      <c r="N468" s="15" t="s">
        <v>1117</v>
      </c>
      <c r="O468" s="15"/>
      <c r="P468" s="15"/>
      <c r="Q468" s="15" t="b">
        <v>0</v>
      </c>
    </row>
    <row r="469" spans="1:17" ht="15" hidden="1" customHeight="1">
      <c r="A469" s="15">
        <v>3388</v>
      </c>
      <c r="B469" s="15">
        <v>468</v>
      </c>
      <c r="C469" s="15">
        <v>0</v>
      </c>
      <c r="D469" s="15">
        <v>196</v>
      </c>
      <c r="E469" s="15" t="b">
        <v>0</v>
      </c>
      <c r="F469" s="15" t="b">
        <v>0</v>
      </c>
      <c r="G469" s="33" t="s">
        <v>206</v>
      </c>
      <c r="H469" s="15" t="s">
        <v>1118</v>
      </c>
      <c r="I469" s="33" t="s">
        <v>208</v>
      </c>
      <c r="J469" s="15"/>
      <c r="K469" s="15"/>
      <c r="L469" s="120" t="s">
        <v>220</v>
      </c>
      <c r="M469" s="15" t="s">
        <v>1119</v>
      </c>
      <c r="N469" s="15" t="s">
        <v>1120</v>
      </c>
      <c r="O469" s="15"/>
      <c r="P469" s="15"/>
      <c r="Q469" s="15" t="b">
        <v>0</v>
      </c>
    </row>
    <row r="470" spans="1:17" ht="15" hidden="1" customHeight="1">
      <c r="A470" s="15">
        <v>3389</v>
      </c>
      <c r="B470" s="15">
        <v>469</v>
      </c>
      <c r="C470" s="15">
        <v>0</v>
      </c>
      <c r="D470" s="15">
        <v>196</v>
      </c>
      <c r="E470" s="15" t="b">
        <v>0</v>
      </c>
      <c r="F470" s="15" t="b">
        <v>0</v>
      </c>
      <c r="G470" s="33" t="s">
        <v>206</v>
      </c>
      <c r="H470" s="15" t="s">
        <v>1118</v>
      </c>
      <c r="I470" s="33" t="s">
        <v>213</v>
      </c>
      <c r="J470" s="15"/>
      <c r="K470" s="15"/>
      <c r="L470" s="120" t="s">
        <v>220</v>
      </c>
      <c r="M470" s="15" t="s">
        <v>1121</v>
      </c>
      <c r="N470" s="15" t="s">
        <v>1122</v>
      </c>
      <c r="O470" s="15"/>
      <c r="P470" s="15"/>
      <c r="Q470" s="15" t="b">
        <v>0</v>
      </c>
    </row>
    <row r="471" spans="1:17" ht="15" hidden="1" customHeight="1">
      <c r="A471" s="15">
        <v>3390</v>
      </c>
      <c r="B471" s="15">
        <v>470</v>
      </c>
      <c r="C471" s="15">
        <v>0</v>
      </c>
      <c r="D471" s="15">
        <v>196</v>
      </c>
      <c r="E471" s="15" t="b">
        <v>0</v>
      </c>
      <c r="F471" s="15" t="b">
        <v>0</v>
      </c>
      <c r="G471" s="33" t="s">
        <v>206</v>
      </c>
      <c r="H471" s="15" t="s">
        <v>1118</v>
      </c>
      <c r="I471" s="33" t="s">
        <v>216</v>
      </c>
      <c r="J471" s="15"/>
      <c r="K471" s="15"/>
      <c r="L471" s="120" t="s">
        <v>220</v>
      </c>
      <c r="M471" s="15" t="s">
        <v>1123</v>
      </c>
      <c r="N471" s="15" t="s">
        <v>1124</v>
      </c>
      <c r="O471" s="15"/>
      <c r="P471" s="15"/>
      <c r="Q471" s="15" t="b">
        <v>0</v>
      </c>
    </row>
    <row r="472" spans="1:17" ht="15" hidden="1" customHeight="1">
      <c r="A472" s="15">
        <v>3391</v>
      </c>
      <c r="B472" s="15">
        <v>471</v>
      </c>
      <c r="C472" s="15">
        <v>0</v>
      </c>
      <c r="D472" s="15">
        <v>196</v>
      </c>
      <c r="E472" s="15" t="b">
        <v>0</v>
      </c>
      <c r="F472" s="15" t="b">
        <v>0</v>
      </c>
      <c r="G472" s="33" t="s">
        <v>206</v>
      </c>
      <c r="H472" s="15" t="s">
        <v>1125</v>
      </c>
      <c r="I472" s="33" t="s">
        <v>208</v>
      </c>
      <c r="J472" s="15"/>
      <c r="K472" s="15"/>
      <c r="L472" s="120" t="s">
        <v>220</v>
      </c>
      <c r="M472" s="15" t="s">
        <v>1126</v>
      </c>
      <c r="N472" s="15" t="s">
        <v>1127</v>
      </c>
      <c r="O472" s="15"/>
      <c r="P472" s="15"/>
      <c r="Q472" s="15" t="b">
        <v>0</v>
      </c>
    </row>
    <row r="473" spans="1:17" ht="15" hidden="1" customHeight="1">
      <c r="A473" s="15">
        <v>3392</v>
      </c>
      <c r="B473" s="15">
        <v>472</v>
      </c>
      <c r="C473" s="15">
        <v>0</v>
      </c>
      <c r="D473" s="15">
        <v>196</v>
      </c>
      <c r="E473" s="15" t="b">
        <v>0</v>
      </c>
      <c r="F473" s="15" t="b">
        <v>0</v>
      </c>
      <c r="G473" s="33" t="s">
        <v>206</v>
      </c>
      <c r="H473" s="15" t="s">
        <v>1125</v>
      </c>
      <c r="I473" s="33" t="s">
        <v>213</v>
      </c>
      <c r="J473" s="15"/>
      <c r="K473" s="15"/>
      <c r="L473" s="120" t="s">
        <v>220</v>
      </c>
      <c r="M473" s="15" t="s">
        <v>1128</v>
      </c>
      <c r="N473" s="15" t="s">
        <v>1129</v>
      </c>
      <c r="O473" s="15"/>
      <c r="P473" s="15"/>
      <c r="Q473" s="15" t="b">
        <v>0</v>
      </c>
    </row>
    <row r="474" spans="1:17" ht="15" hidden="1" customHeight="1">
      <c r="A474" s="15">
        <v>3393</v>
      </c>
      <c r="B474" s="15">
        <v>473</v>
      </c>
      <c r="C474" s="15">
        <v>0</v>
      </c>
      <c r="D474" s="15">
        <v>196</v>
      </c>
      <c r="E474" s="15" t="b">
        <v>0</v>
      </c>
      <c r="F474" s="15" t="b">
        <v>0</v>
      </c>
      <c r="G474" s="33" t="s">
        <v>206</v>
      </c>
      <c r="H474" s="15" t="s">
        <v>1125</v>
      </c>
      <c r="I474" s="33" t="s">
        <v>216</v>
      </c>
      <c r="J474" s="15"/>
      <c r="K474" s="15"/>
      <c r="L474" s="120" t="s">
        <v>220</v>
      </c>
      <c r="M474" s="15" t="s">
        <v>1130</v>
      </c>
      <c r="N474" s="15" t="s">
        <v>1131</v>
      </c>
      <c r="O474" s="15"/>
      <c r="P474" s="15"/>
      <c r="Q474" s="15" t="b">
        <v>0</v>
      </c>
    </row>
    <row r="475" spans="1:17" ht="15" hidden="1" customHeight="1">
      <c r="A475" s="15">
        <v>3394</v>
      </c>
      <c r="B475" s="15">
        <v>474</v>
      </c>
      <c r="C475" s="15">
        <v>0</v>
      </c>
      <c r="D475" s="15">
        <v>196</v>
      </c>
      <c r="E475" s="15" t="b">
        <v>1</v>
      </c>
      <c r="F475" s="15" t="b">
        <v>0</v>
      </c>
      <c r="G475" s="33" t="s">
        <v>206</v>
      </c>
      <c r="H475" s="15" t="s">
        <v>1132</v>
      </c>
      <c r="I475" s="33" t="s">
        <v>208</v>
      </c>
      <c r="J475" s="15"/>
      <c r="K475" s="15"/>
      <c r="L475" s="120" t="s">
        <v>210</v>
      </c>
      <c r="M475" s="15" t="s">
        <v>1133</v>
      </c>
      <c r="N475" s="15" t="s">
        <v>1134</v>
      </c>
      <c r="O475" s="15"/>
      <c r="P475" s="15"/>
      <c r="Q475" s="15" t="b">
        <v>0</v>
      </c>
    </row>
    <row r="476" spans="1:17" ht="15" hidden="1" customHeight="1">
      <c r="A476" s="15">
        <v>3395</v>
      </c>
      <c r="B476" s="15">
        <v>475</v>
      </c>
      <c r="C476" s="15">
        <v>0</v>
      </c>
      <c r="D476" s="15">
        <v>196</v>
      </c>
      <c r="E476" s="15" t="b">
        <v>1</v>
      </c>
      <c r="F476" s="15" t="b">
        <v>0</v>
      </c>
      <c r="G476" s="33" t="s">
        <v>206</v>
      </c>
      <c r="H476" s="15" t="s">
        <v>1132</v>
      </c>
      <c r="I476" s="33" t="s">
        <v>213</v>
      </c>
      <c r="J476" s="15"/>
      <c r="K476" s="15"/>
      <c r="L476" s="120" t="s">
        <v>210</v>
      </c>
      <c r="M476" s="15" t="s">
        <v>1135</v>
      </c>
      <c r="N476" s="15" t="s">
        <v>1136</v>
      </c>
      <c r="O476" s="15"/>
      <c r="P476" s="15"/>
      <c r="Q476" s="15" t="b">
        <v>0</v>
      </c>
    </row>
    <row r="477" spans="1:17" ht="15" hidden="1" customHeight="1">
      <c r="A477" s="15">
        <v>3396</v>
      </c>
      <c r="B477" s="15">
        <v>476</v>
      </c>
      <c r="C477" s="15">
        <v>0</v>
      </c>
      <c r="D477" s="15">
        <v>196</v>
      </c>
      <c r="E477" s="15" t="b">
        <v>1</v>
      </c>
      <c r="F477" s="15" t="b">
        <v>0</v>
      </c>
      <c r="G477" s="33" t="s">
        <v>206</v>
      </c>
      <c r="H477" s="15" t="s">
        <v>1132</v>
      </c>
      <c r="I477" s="33" t="s">
        <v>216</v>
      </c>
      <c r="J477" s="15"/>
      <c r="K477" s="15"/>
      <c r="L477" s="120" t="s">
        <v>210</v>
      </c>
      <c r="M477" s="15" t="s">
        <v>1137</v>
      </c>
      <c r="N477" s="15" t="s">
        <v>1138</v>
      </c>
      <c r="O477" s="15"/>
      <c r="P477" s="15"/>
      <c r="Q477" s="15" t="b">
        <v>0</v>
      </c>
    </row>
    <row r="478" spans="1:17" ht="15" hidden="1" customHeight="1">
      <c r="A478" s="15">
        <v>3397</v>
      </c>
      <c r="B478" s="15">
        <v>477</v>
      </c>
      <c r="C478" s="15">
        <v>0</v>
      </c>
      <c r="D478" s="15">
        <v>196</v>
      </c>
      <c r="E478" s="15" t="b">
        <v>0</v>
      </c>
      <c r="F478" s="15" t="b">
        <v>0</v>
      </c>
      <c r="G478" s="33" t="s">
        <v>206</v>
      </c>
      <c r="H478" s="15" t="s">
        <v>1139</v>
      </c>
      <c r="I478" s="33" t="s">
        <v>208</v>
      </c>
      <c r="J478" s="15"/>
      <c r="K478" s="15"/>
      <c r="L478" s="120" t="s">
        <v>220</v>
      </c>
      <c r="M478" s="15" t="s">
        <v>1140</v>
      </c>
      <c r="N478" s="15" t="s">
        <v>1141</v>
      </c>
      <c r="O478" s="15"/>
      <c r="P478" s="15"/>
      <c r="Q478" s="15" t="b">
        <v>0</v>
      </c>
    </row>
    <row r="479" spans="1:17" ht="15" hidden="1" customHeight="1">
      <c r="A479" s="15">
        <v>3398</v>
      </c>
      <c r="B479" s="15">
        <v>478</v>
      </c>
      <c r="C479" s="15">
        <v>0</v>
      </c>
      <c r="D479" s="15">
        <v>196</v>
      </c>
      <c r="E479" s="15" t="b">
        <v>0</v>
      </c>
      <c r="F479" s="15" t="b">
        <v>0</v>
      </c>
      <c r="G479" s="33" t="s">
        <v>206</v>
      </c>
      <c r="H479" s="15" t="s">
        <v>1139</v>
      </c>
      <c r="I479" s="33" t="s">
        <v>213</v>
      </c>
      <c r="J479" s="15"/>
      <c r="K479" s="15"/>
      <c r="L479" s="120" t="s">
        <v>220</v>
      </c>
      <c r="M479" s="15" t="s">
        <v>1142</v>
      </c>
      <c r="N479" s="15" t="s">
        <v>1143</v>
      </c>
      <c r="O479" s="15"/>
      <c r="P479" s="15"/>
      <c r="Q479" s="15" t="b">
        <v>0</v>
      </c>
    </row>
    <row r="480" spans="1:17" ht="15" hidden="1" customHeight="1">
      <c r="A480" s="15">
        <v>3399</v>
      </c>
      <c r="B480" s="15">
        <v>479</v>
      </c>
      <c r="C480" s="15">
        <v>0</v>
      </c>
      <c r="D480" s="15">
        <v>196</v>
      </c>
      <c r="E480" s="15" t="b">
        <v>0</v>
      </c>
      <c r="F480" s="15" t="b">
        <v>0</v>
      </c>
      <c r="G480" s="33" t="s">
        <v>206</v>
      </c>
      <c r="H480" s="15" t="s">
        <v>1139</v>
      </c>
      <c r="I480" s="33" t="s">
        <v>216</v>
      </c>
      <c r="J480" s="15"/>
      <c r="K480" s="15"/>
      <c r="L480" s="120" t="s">
        <v>220</v>
      </c>
      <c r="M480" s="15" t="s">
        <v>1144</v>
      </c>
      <c r="N480" s="15" t="s">
        <v>1145</v>
      </c>
      <c r="O480" s="15"/>
      <c r="P480" s="15"/>
      <c r="Q480" s="15" t="b">
        <v>0</v>
      </c>
    </row>
    <row r="481" spans="1:17" ht="15" hidden="1" customHeight="1">
      <c r="A481" s="15">
        <v>3400</v>
      </c>
      <c r="B481" s="15">
        <v>480</v>
      </c>
      <c r="C481" s="15">
        <v>0</v>
      </c>
      <c r="D481" s="15">
        <v>196</v>
      </c>
      <c r="E481" s="15" t="b">
        <v>0</v>
      </c>
      <c r="F481" s="15" t="b">
        <v>0</v>
      </c>
      <c r="G481" s="33" t="s">
        <v>206</v>
      </c>
      <c r="H481" s="15" t="s">
        <v>1146</v>
      </c>
      <c r="I481" s="33" t="s">
        <v>208</v>
      </c>
      <c r="J481" s="15"/>
      <c r="K481" s="15"/>
      <c r="L481" s="120" t="s">
        <v>220</v>
      </c>
      <c r="M481" s="15" t="s">
        <v>1147</v>
      </c>
      <c r="N481" s="15" t="s">
        <v>1148</v>
      </c>
      <c r="O481" s="15"/>
      <c r="P481" s="15"/>
      <c r="Q481" s="15" t="b">
        <v>0</v>
      </c>
    </row>
    <row r="482" spans="1:17" ht="15" hidden="1" customHeight="1">
      <c r="A482" s="15">
        <v>3401</v>
      </c>
      <c r="B482" s="15">
        <v>481</v>
      </c>
      <c r="C482" s="15">
        <v>0</v>
      </c>
      <c r="D482" s="15">
        <v>196</v>
      </c>
      <c r="E482" s="15" t="b">
        <v>0</v>
      </c>
      <c r="F482" s="15" t="b">
        <v>0</v>
      </c>
      <c r="G482" s="33" t="s">
        <v>206</v>
      </c>
      <c r="H482" s="15" t="s">
        <v>1146</v>
      </c>
      <c r="I482" s="33" t="s">
        <v>213</v>
      </c>
      <c r="J482" s="15"/>
      <c r="K482" s="15"/>
      <c r="L482" s="120" t="s">
        <v>220</v>
      </c>
      <c r="M482" s="15" t="s">
        <v>1149</v>
      </c>
      <c r="N482" s="15" t="s">
        <v>1150</v>
      </c>
      <c r="O482" s="15"/>
      <c r="P482" s="15"/>
      <c r="Q482" s="15" t="b">
        <v>0</v>
      </c>
    </row>
    <row r="483" spans="1:17" ht="15" hidden="1" customHeight="1">
      <c r="A483" s="15">
        <v>3402</v>
      </c>
      <c r="B483" s="15">
        <v>482</v>
      </c>
      <c r="C483" s="15">
        <v>0</v>
      </c>
      <c r="D483" s="15">
        <v>196</v>
      </c>
      <c r="E483" s="15" t="b">
        <v>0</v>
      </c>
      <c r="F483" s="15" t="b">
        <v>0</v>
      </c>
      <c r="G483" s="33" t="s">
        <v>206</v>
      </c>
      <c r="H483" s="15" t="s">
        <v>1146</v>
      </c>
      <c r="I483" s="33" t="s">
        <v>216</v>
      </c>
      <c r="J483" s="15"/>
      <c r="K483" s="15"/>
      <c r="L483" s="120" t="s">
        <v>220</v>
      </c>
      <c r="M483" s="15" t="s">
        <v>1151</v>
      </c>
      <c r="N483" s="15" t="s">
        <v>1152</v>
      </c>
      <c r="O483" s="15"/>
      <c r="P483" s="15"/>
      <c r="Q483" s="15" t="b">
        <v>0</v>
      </c>
    </row>
    <row r="484" spans="1:17" ht="15" hidden="1" customHeight="1">
      <c r="A484" s="15">
        <v>3403</v>
      </c>
      <c r="B484" s="15">
        <v>483</v>
      </c>
      <c r="C484" s="15">
        <v>0</v>
      </c>
      <c r="D484" s="15">
        <v>196</v>
      </c>
      <c r="E484" s="15" t="b">
        <v>1</v>
      </c>
      <c r="F484" s="15" t="b">
        <v>0</v>
      </c>
      <c r="G484" s="33" t="s">
        <v>206</v>
      </c>
      <c r="H484" s="15" t="s">
        <v>1153</v>
      </c>
      <c r="I484" s="33" t="s">
        <v>208</v>
      </c>
      <c r="J484" s="15"/>
      <c r="K484" s="15"/>
      <c r="L484" s="120" t="s">
        <v>210</v>
      </c>
      <c r="M484" s="15" t="s">
        <v>1154</v>
      </c>
      <c r="N484" s="15" t="s">
        <v>1155</v>
      </c>
      <c r="O484" s="15"/>
      <c r="P484" s="15"/>
      <c r="Q484" s="15" t="b">
        <v>0</v>
      </c>
    </row>
    <row r="485" spans="1:17" ht="15" hidden="1" customHeight="1">
      <c r="A485" s="15">
        <v>3404</v>
      </c>
      <c r="B485" s="15">
        <v>484</v>
      </c>
      <c r="C485" s="15">
        <v>0</v>
      </c>
      <c r="D485" s="15">
        <v>196</v>
      </c>
      <c r="E485" s="15" t="b">
        <v>1</v>
      </c>
      <c r="F485" s="15" t="b">
        <v>0</v>
      </c>
      <c r="G485" s="33" t="s">
        <v>206</v>
      </c>
      <c r="H485" s="15" t="s">
        <v>1153</v>
      </c>
      <c r="I485" s="33" t="s">
        <v>213</v>
      </c>
      <c r="J485" s="15"/>
      <c r="K485" s="15"/>
      <c r="L485" s="120" t="s">
        <v>210</v>
      </c>
      <c r="M485" s="15" t="s">
        <v>1156</v>
      </c>
      <c r="N485" s="15" t="s">
        <v>1157</v>
      </c>
      <c r="O485" s="15"/>
      <c r="P485" s="15"/>
      <c r="Q485" s="15" t="b">
        <v>0</v>
      </c>
    </row>
    <row r="486" spans="1:17" ht="15" hidden="1" customHeight="1">
      <c r="A486" s="15">
        <v>3405</v>
      </c>
      <c r="B486" s="15">
        <v>485</v>
      </c>
      <c r="C486" s="15">
        <v>0</v>
      </c>
      <c r="D486" s="15">
        <v>196</v>
      </c>
      <c r="E486" s="15" t="b">
        <v>1</v>
      </c>
      <c r="F486" s="15" t="b">
        <v>0</v>
      </c>
      <c r="G486" s="33" t="s">
        <v>206</v>
      </c>
      <c r="H486" s="15" t="s">
        <v>1153</v>
      </c>
      <c r="I486" s="33" t="s">
        <v>216</v>
      </c>
      <c r="J486" s="15"/>
      <c r="K486" s="15"/>
      <c r="L486" s="120" t="s">
        <v>210</v>
      </c>
      <c r="M486" s="15" t="s">
        <v>1158</v>
      </c>
      <c r="N486" s="15" t="s">
        <v>1159</v>
      </c>
      <c r="O486" s="15"/>
      <c r="P486" s="15"/>
      <c r="Q486" s="15" t="b">
        <v>0</v>
      </c>
    </row>
    <row r="487" spans="1:17" ht="15" hidden="1" customHeight="1">
      <c r="A487" s="15">
        <v>3406</v>
      </c>
      <c r="B487" s="15">
        <v>486</v>
      </c>
      <c r="C487" s="15">
        <v>0</v>
      </c>
      <c r="D487" s="15">
        <v>196</v>
      </c>
      <c r="E487" s="15" t="b">
        <v>0</v>
      </c>
      <c r="F487" s="15" t="b">
        <v>0</v>
      </c>
      <c r="G487" s="33" t="s">
        <v>206</v>
      </c>
      <c r="H487" s="15" t="s">
        <v>1160</v>
      </c>
      <c r="I487" s="33" t="s">
        <v>208</v>
      </c>
      <c r="J487" s="15"/>
      <c r="K487" s="15"/>
      <c r="L487" s="120" t="s">
        <v>220</v>
      </c>
      <c r="M487" s="15" t="s">
        <v>1161</v>
      </c>
      <c r="N487" s="15" t="s">
        <v>1162</v>
      </c>
      <c r="O487" s="15"/>
      <c r="P487" s="15"/>
      <c r="Q487" s="15" t="b">
        <v>0</v>
      </c>
    </row>
    <row r="488" spans="1:17" ht="15" hidden="1" customHeight="1">
      <c r="A488" s="15">
        <v>3407</v>
      </c>
      <c r="B488" s="15">
        <v>487</v>
      </c>
      <c r="C488" s="15">
        <v>0</v>
      </c>
      <c r="D488" s="15">
        <v>196</v>
      </c>
      <c r="E488" s="15" t="b">
        <v>0</v>
      </c>
      <c r="F488" s="15" t="b">
        <v>0</v>
      </c>
      <c r="G488" s="33" t="s">
        <v>206</v>
      </c>
      <c r="H488" s="15" t="s">
        <v>1160</v>
      </c>
      <c r="I488" s="33" t="s">
        <v>213</v>
      </c>
      <c r="J488" s="15"/>
      <c r="K488" s="15"/>
      <c r="L488" s="120" t="s">
        <v>220</v>
      </c>
      <c r="M488" s="15" t="s">
        <v>1163</v>
      </c>
      <c r="N488" s="15" t="s">
        <v>1164</v>
      </c>
      <c r="O488" s="15"/>
      <c r="P488" s="15"/>
      <c r="Q488" s="15" t="b">
        <v>0</v>
      </c>
    </row>
    <row r="489" spans="1:17" ht="15" hidden="1" customHeight="1">
      <c r="A489" s="15">
        <v>3408</v>
      </c>
      <c r="B489" s="15">
        <v>488</v>
      </c>
      <c r="C489" s="15">
        <v>0</v>
      </c>
      <c r="D489" s="15">
        <v>196</v>
      </c>
      <c r="E489" s="15" t="b">
        <v>0</v>
      </c>
      <c r="F489" s="15" t="b">
        <v>0</v>
      </c>
      <c r="G489" s="33" t="s">
        <v>206</v>
      </c>
      <c r="H489" s="15" t="s">
        <v>1160</v>
      </c>
      <c r="I489" s="33" t="s">
        <v>216</v>
      </c>
      <c r="J489" s="15"/>
      <c r="K489" s="15"/>
      <c r="L489" s="120" t="s">
        <v>220</v>
      </c>
      <c r="M489" s="15" t="s">
        <v>1165</v>
      </c>
      <c r="N489" s="15" t="s">
        <v>1166</v>
      </c>
      <c r="O489" s="15"/>
      <c r="P489" s="15"/>
      <c r="Q489" s="15" t="b">
        <v>0</v>
      </c>
    </row>
    <row r="490" spans="1:17" ht="15" hidden="1" customHeight="1">
      <c r="A490" s="15">
        <v>3409</v>
      </c>
      <c r="B490" s="15">
        <v>489</v>
      </c>
      <c r="C490" s="15">
        <v>0</v>
      </c>
      <c r="D490" s="15">
        <v>196</v>
      </c>
      <c r="E490" s="15" t="b">
        <v>1</v>
      </c>
      <c r="F490" s="15" t="b">
        <v>0</v>
      </c>
      <c r="G490" s="33" t="s">
        <v>206</v>
      </c>
      <c r="H490" s="15" t="s">
        <v>1167</v>
      </c>
      <c r="I490" s="33" t="s">
        <v>208</v>
      </c>
      <c r="J490" s="15"/>
      <c r="K490" s="15"/>
      <c r="L490" s="120" t="s">
        <v>210</v>
      </c>
      <c r="M490" s="15" t="s">
        <v>1168</v>
      </c>
      <c r="N490" s="15" t="s">
        <v>1169</v>
      </c>
      <c r="O490" s="15"/>
      <c r="P490" s="15"/>
      <c r="Q490" s="15" t="b">
        <v>0</v>
      </c>
    </row>
    <row r="491" spans="1:17" ht="15" hidden="1" customHeight="1">
      <c r="A491" s="15">
        <v>3410</v>
      </c>
      <c r="B491" s="15">
        <v>490</v>
      </c>
      <c r="C491" s="15">
        <v>0</v>
      </c>
      <c r="D491" s="15">
        <v>196</v>
      </c>
      <c r="E491" s="15" t="b">
        <v>1</v>
      </c>
      <c r="F491" s="15" t="b">
        <v>0</v>
      </c>
      <c r="G491" s="33" t="s">
        <v>206</v>
      </c>
      <c r="H491" s="15" t="s">
        <v>1167</v>
      </c>
      <c r="I491" s="33" t="s">
        <v>213</v>
      </c>
      <c r="J491" s="15"/>
      <c r="K491" s="15"/>
      <c r="L491" s="120" t="s">
        <v>210</v>
      </c>
      <c r="M491" s="15" t="s">
        <v>1170</v>
      </c>
      <c r="N491" s="15" t="s">
        <v>1171</v>
      </c>
      <c r="O491" s="15"/>
      <c r="P491" s="15"/>
      <c r="Q491" s="15" t="b">
        <v>0</v>
      </c>
    </row>
    <row r="492" spans="1:17" ht="15" hidden="1" customHeight="1">
      <c r="A492" s="15">
        <v>3411</v>
      </c>
      <c r="B492" s="15">
        <v>491</v>
      </c>
      <c r="C492" s="15">
        <v>0</v>
      </c>
      <c r="D492" s="15">
        <v>196</v>
      </c>
      <c r="E492" s="15" t="b">
        <v>1</v>
      </c>
      <c r="F492" s="15" t="b">
        <v>0</v>
      </c>
      <c r="G492" s="33" t="s">
        <v>206</v>
      </c>
      <c r="H492" s="15" t="s">
        <v>1167</v>
      </c>
      <c r="I492" s="33" t="s">
        <v>216</v>
      </c>
      <c r="J492" s="15"/>
      <c r="K492" s="15"/>
      <c r="L492" s="120" t="s">
        <v>210</v>
      </c>
      <c r="M492" s="15" t="s">
        <v>1172</v>
      </c>
      <c r="N492" s="15" t="s">
        <v>1173</v>
      </c>
      <c r="O492" s="15"/>
      <c r="P492" s="15"/>
      <c r="Q492" s="15" t="b">
        <v>0</v>
      </c>
    </row>
    <row r="493" spans="1:17" ht="15" hidden="1" customHeight="1">
      <c r="A493" s="15">
        <v>3412</v>
      </c>
      <c r="B493" s="15">
        <v>492</v>
      </c>
      <c r="C493" s="15">
        <v>0</v>
      </c>
      <c r="D493" s="15">
        <v>196</v>
      </c>
      <c r="E493" s="15" t="b">
        <v>0</v>
      </c>
      <c r="F493" s="15" t="b">
        <v>0</v>
      </c>
      <c r="G493" s="33" t="s">
        <v>206</v>
      </c>
      <c r="H493" s="15" t="s">
        <v>1174</v>
      </c>
      <c r="I493" s="33" t="s">
        <v>208</v>
      </c>
      <c r="J493" s="15"/>
      <c r="K493" s="15"/>
      <c r="L493" s="120" t="s">
        <v>220</v>
      </c>
      <c r="M493" s="15" t="s">
        <v>1175</v>
      </c>
      <c r="N493" s="15" t="s">
        <v>1176</v>
      </c>
      <c r="O493" s="15"/>
      <c r="P493" s="15"/>
      <c r="Q493" s="15" t="b">
        <v>0</v>
      </c>
    </row>
    <row r="494" spans="1:17" ht="15" hidden="1" customHeight="1">
      <c r="A494" s="15">
        <v>3413</v>
      </c>
      <c r="B494" s="15">
        <v>493</v>
      </c>
      <c r="C494" s="15">
        <v>0</v>
      </c>
      <c r="D494" s="15">
        <v>196</v>
      </c>
      <c r="E494" s="15" t="b">
        <v>0</v>
      </c>
      <c r="F494" s="15" t="b">
        <v>0</v>
      </c>
      <c r="G494" s="33" t="s">
        <v>206</v>
      </c>
      <c r="H494" s="15" t="s">
        <v>1174</v>
      </c>
      <c r="I494" s="33" t="s">
        <v>213</v>
      </c>
      <c r="J494" s="15"/>
      <c r="K494" s="15"/>
      <c r="L494" s="120" t="s">
        <v>220</v>
      </c>
      <c r="M494" s="15" t="s">
        <v>1177</v>
      </c>
      <c r="N494" s="15" t="s">
        <v>1178</v>
      </c>
      <c r="O494" s="15"/>
      <c r="P494" s="15"/>
      <c r="Q494" s="15" t="b">
        <v>0</v>
      </c>
    </row>
    <row r="495" spans="1:17" ht="15" hidden="1" customHeight="1">
      <c r="A495" s="15">
        <v>3414</v>
      </c>
      <c r="B495" s="15">
        <v>494</v>
      </c>
      <c r="C495" s="15">
        <v>0</v>
      </c>
      <c r="D495" s="15">
        <v>196</v>
      </c>
      <c r="E495" s="15" t="b">
        <v>0</v>
      </c>
      <c r="F495" s="15" t="b">
        <v>0</v>
      </c>
      <c r="G495" s="33" t="s">
        <v>206</v>
      </c>
      <c r="H495" s="15" t="s">
        <v>1174</v>
      </c>
      <c r="I495" s="33" t="s">
        <v>216</v>
      </c>
      <c r="J495" s="15"/>
      <c r="K495" s="15"/>
      <c r="L495" s="120" t="s">
        <v>220</v>
      </c>
      <c r="M495" s="15" t="s">
        <v>1179</v>
      </c>
      <c r="N495" s="15" t="s">
        <v>1180</v>
      </c>
      <c r="O495" s="15"/>
      <c r="P495" s="15"/>
      <c r="Q495" s="15" t="b">
        <v>0</v>
      </c>
    </row>
    <row r="496" spans="1:17" ht="15" hidden="1" customHeight="1">
      <c r="A496" s="15">
        <v>3415</v>
      </c>
      <c r="B496" s="15">
        <v>495</v>
      </c>
      <c r="C496" s="15">
        <v>0</v>
      </c>
      <c r="D496" s="15">
        <v>196</v>
      </c>
      <c r="E496" s="15" t="b">
        <v>0</v>
      </c>
      <c r="F496" s="15" t="b">
        <v>0</v>
      </c>
      <c r="G496" s="33" t="s">
        <v>206</v>
      </c>
      <c r="H496" s="15" t="s">
        <v>1181</v>
      </c>
      <c r="I496" s="33" t="s">
        <v>208</v>
      </c>
      <c r="J496" s="15"/>
      <c r="K496" s="15"/>
      <c r="L496" s="120" t="s">
        <v>220</v>
      </c>
      <c r="M496" s="15" t="s">
        <v>1182</v>
      </c>
      <c r="N496" s="15" t="s">
        <v>1183</v>
      </c>
      <c r="O496" s="15"/>
      <c r="P496" s="15"/>
      <c r="Q496" s="15" t="b">
        <v>0</v>
      </c>
    </row>
    <row r="497" spans="1:17" ht="15" hidden="1" customHeight="1">
      <c r="A497" s="15">
        <v>3416</v>
      </c>
      <c r="B497" s="15">
        <v>496</v>
      </c>
      <c r="C497" s="15">
        <v>0</v>
      </c>
      <c r="D497" s="15">
        <v>196</v>
      </c>
      <c r="E497" s="15" t="b">
        <v>0</v>
      </c>
      <c r="F497" s="15" t="b">
        <v>0</v>
      </c>
      <c r="G497" s="33" t="s">
        <v>206</v>
      </c>
      <c r="H497" s="15" t="s">
        <v>1181</v>
      </c>
      <c r="I497" s="33" t="s">
        <v>213</v>
      </c>
      <c r="J497" s="15"/>
      <c r="K497" s="15"/>
      <c r="L497" s="120" t="s">
        <v>220</v>
      </c>
      <c r="M497" s="15" t="s">
        <v>1184</v>
      </c>
      <c r="N497" s="15" t="s">
        <v>1185</v>
      </c>
      <c r="O497" s="15"/>
      <c r="P497" s="15"/>
      <c r="Q497" s="15" t="b">
        <v>0</v>
      </c>
    </row>
    <row r="498" spans="1:17" ht="15" hidden="1" customHeight="1">
      <c r="A498" s="15">
        <v>3417</v>
      </c>
      <c r="B498" s="15">
        <v>497</v>
      </c>
      <c r="C498" s="15">
        <v>0</v>
      </c>
      <c r="D498" s="15">
        <v>196</v>
      </c>
      <c r="E498" s="15" t="b">
        <v>0</v>
      </c>
      <c r="F498" s="15" t="b">
        <v>0</v>
      </c>
      <c r="G498" s="33" t="s">
        <v>206</v>
      </c>
      <c r="H498" s="15" t="s">
        <v>1181</v>
      </c>
      <c r="I498" s="33" t="s">
        <v>216</v>
      </c>
      <c r="J498" s="15"/>
      <c r="K498" s="15"/>
      <c r="L498" s="120" t="s">
        <v>220</v>
      </c>
      <c r="M498" s="15" t="s">
        <v>1186</v>
      </c>
      <c r="N498" s="15" t="s">
        <v>1187</v>
      </c>
      <c r="O498" s="15"/>
      <c r="P498" s="15"/>
      <c r="Q498" s="15" t="b">
        <v>0</v>
      </c>
    </row>
    <row r="499" spans="1:17" ht="15" hidden="1" customHeight="1">
      <c r="A499" s="15">
        <v>3418</v>
      </c>
      <c r="B499" s="15">
        <v>498</v>
      </c>
      <c r="C499" s="15">
        <v>0</v>
      </c>
      <c r="D499" s="15">
        <v>196</v>
      </c>
      <c r="E499" s="15" t="b">
        <v>1</v>
      </c>
      <c r="F499" s="15" t="b">
        <v>0</v>
      </c>
      <c r="G499" s="33" t="s">
        <v>206</v>
      </c>
      <c r="H499" s="15" t="s">
        <v>1188</v>
      </c>
      <c r="I499" s="33" t="s">
        <v>208</v>
      </c>
      <c r="J499" s="15"/>
      <c r="K499" s="15"/>
      <c r="L499" s="120" t="s">
        <v>210</v>
      </c>
      <c r="M499" s="15" t="s">
        <v>1189</v>
      </c>
      <c r="N499" s="15" t="s">
        <v>1190</v>
      </c>
      <c r="O499" s="15"/>
      <c r="P499" s="15"/>
      <c r="Q499" s="15" t="b">
        <v>0</v>
      </c>
    </row>
    <row r="500" spans="1:17" ht="15" hidden="1" customHeight="1">
      <c r="A500" s="15">
        <v>3419</v>
      </c>
      <c r="B500" s="15">
        <v>499</v>
      </c>
      <c r="C500" s="15">
        <v>0</v>
      </c>
      <c r="D500" s="15">
        <v>196</v>
      </c>
      <c r="E500" s="15" t="b">
        <v>1</v>
      </c>
      <c r="F500" s="15" t="b">
        <v>0</v>
      </c>
      <c r="G500" s="33" t="s">
        <v>206</v>
      </c>
      <c r="H500" s="15" t="s">
        <v>1188</v>
      </c>
      <c r="I500" s="33" t="s">
        <v>213</v>
      </c>
      <c r="J500" s="15"/>
      <c r="K500" s="15"/>
      <c r="L500" s="120" t="s">
        <v>210</v>
      </c>
      <c r="M500" s="15" t="s">
        <v>1191</v>
      </c>
      <c r="N500" s="15" t="s">
        <v>1192</v>
      </c>
      <c r="O500" s="15"/>
      <c r="P500" s="15"/>
      <c r="Q500" s="15" t="b">
        <v>0</v>
      </c>
    </row>
    <row r="501" spans="1:17" ht="15" hidden="1" customHeight="1">
      <c r="A501" s="15">
        <v>3420</v>
      </c>
      <c r="B501" s="15">
        <v>500</v>
      </c>
      <c r="C501" s="15">
        <v>0</v>
      </c>
      <c r="D501" s="15">
        <v>196</v>
      </c>
      <c r="E501" s="15" t="b">
        <v>1</v>
      </c>
      <c r="F501" s="15" t="b">
        <v>0</v>
      </c>
      <c r="G501" s="33" t="s">
        <v>206</v>
      </c>
      <c r="H501" s="15" t="s">
        <v>1188</v>
      </c>
      <c r="I501" s="33" t="s">
        <v>216</v>
      </c>
      <c r="J501" s="15"/>
      <c r="K501" s="15"/>
      <c r="L501" s="120" t="s">
        <v>210</v>
      </c>
      <c r="M501" s="15" t="s">
        <v>1193</v>
      </c>
      <c r="N501" s="15" t="s">
        <v>1194</v>
      </c>
      <c r="O501" s="15"/>
      <c r="P501" s="15"/>
      <c r="Q501" s="15" t="b">
        <v>0</v>
      </c>
    </row>
    <row r="502" spans="1:17" ht="15" hidden="1" customHeight="1">
      <c r="A502" s="15">
        <v>3421</v>
      </c>
      <c r="B502" s="15">
        <v>501</v>
      </c>
      <c r="C502" s="15">
        <v>0</v>
      </c>
      <c r="D502" s="15">
        <v>196</v>
      </c>
      <c r="E502" s="15" t="b">
        <v>0</v>
      </c>
      <c r="F502" s="15" t="b">
        <v>0</v>
      </c>
      <c r="G502" s="33" t="s">
        <v>206</v>
      </c>
      <c r="H502" s="15" t="s">
        <v>1195</v>
      </c>
      <c r="I502" s="33" t="s">
        <v>208</v>
      </c>
      <c r="J502" s="15"/>
      <c r="K502" s="15"/>
      <c r="L502" s="120" t="s">
        <v>220</v>
      </c>
      <c r="M502" s="15" t="s">
        <v>1196</v>
      </c>
      <c r="N502" s="15" t="s">
        <v>1197</v>
      </c>
      <c r="O502" s="15"/>
      <c r="P502" s="15"/>
      <c r="Q502" s="15" t="b">
        <v>0</v>
      </c>
    </row>
    <row r="503" spans="1:17" ht="15" hidden="1" customHeight="1">
      <c r="A503" s="15">
        <v>3422</v>
      </c>
      <c r="B503" s="15">
        <v>502</v>
      </c>
      <c r="C503" s="15">
        <v>0</v>
      </c>
      <c r="D503" s="15">
        <v>196</v>
      </c>
      <c r="E503" s="15" t="b">
        <v>0</v>
      </c>
      <c r="F503" s="15" t="b">
        <v>0</v>
      </c>
      <c r="G503" s="33" t="s">
        <v>206</v>
      </c>
      <c r="H503" s="15" t="s">
        <v>1195</v>
      </c>
      <c r="I503" s="33" t="s">
        <v>213</v>
      </c>
      <c r="J503" s="15"/>
      <c r="K503" s="15"/>
      <c r="L503" s="120" t="s">
        <v>220</v>
      </c>
      <c r="M503" s="15" t="s">
        <v>1198</v>
      </c>
      <c r="N503" s="15" t="s">
        <v>1199</v>
      </c>
      <c r="O503" s="15"/>
      <c r="P503" s="15"/>
      <c r="Q503" s="15" t="b">
        <v>0</v>
      </c>
    </row>
    <row r="504" spans="1:17" ht="15" hidden="1" customHeight="1">
      <c r="A504" s="15">
        <v>3423</v>
      </c>
      <c r="B504" s="15">
        <v>503</v>
      </c>
      <c r="C504" s="15">
        <v>0</v>
      </c>
      <c r="D504" s="15">
        <v>196</v>
      </c>
      <c r="E504" s="15" t="b">
        <v>0</v>
      </c>
      <c r="F504" s="15" t="b">
        <v>0</v>
      </c>
      <c r="G504" s="33" t="s">
        <v>206</v>
      </c>
      <c r="H504" s="15" t="s">
        <v>1195</v>
      </c>
      <c r="I504" s="33" t="s">
        <v>216</v>
      </c>
      <c r="J504" s="15"/>
      <c r="K504" s="15"/>
      <c r="L504" s="120" t="s">
        <v>220</v>
      </c>
      <c r="M504" s="15" t="s">
        <v>1200</v>
      </c>
      <c r="N504" s="15" t="s">
        <v>1201</v>
      </c>
      <c r="O504" s="15"/>
      <c r="P504" s="15"/>
      <c r="Q504" s="15" t="b">
        <v>0</v>
      </c>
    </row>
    <row r="505" spans="1:17" ht="15" hidden="1" customHeight="1">
      <c r="A505" s="15">
        <v>3424</v>
      </c>
      <c r="B505" s="15">
        <v>504</v>
      </c>
      <c r="C505" s="15">
        <v>0</v>
      </c>
      <c r="D505" s="15">
        <v>196</v>
      </c>
      <c r="E505" s="15" t="b">
        <v>0</v>
      </c>
      <c r="F505" s="15" t="b">
        <v>0</v>
      </c>
      <c r="G505" s="33" t="s">
        <v>206</v>
      </c>
      <c r="H505" s="15" t="s">
        <v>1202</v>
      </c>
      <c r="I505" s="33" t="s">
        <v>208</v>
      </c>
      <c r="J505" s="15"/>
      <c r="K505" s="15"/>
      <c r="L505" s="120" t="s">
        <v>220</v>
      </c>
      <c r="M505" s="15" t="s">
        <v>1203</v>
      </c>
      <c r="N505" s="15" t="s">
        <v>1204</v>
      </c>
      <c r="O505" s="15"/>
      <c r="P505" s="15"/>
      <c r="Q505" s="15" t="b">
        <v>0</v>
      </c>
    </row>
    <row r="506" spans="1:17" ht="15" hidden="1" customHeight="1">
      <c r="A506" s="15">
        <v>3425</v>
      </c>
      <c r="B506" s="15">
        <v>505</v>
      </c>
      <c r="C506" s="15">
        <v>0</v>
      </c>
      <c r="D506" s="15">
        <v>196</v>
      </c>
      <c r="E506" s="15" t="b">
        <v>0</v>
      </c>
      <c r="F506" s="15" t="b">
        <v>0</v>
      </c>
      <c r="G506" s="33" t="s">
        <v>206</v>
      </c>
      <c r="H506" s="15" t="s">
        <v>1202</v>
      </c>
      <c r="I506" s="33" t="s">
        <v>213</v>
      </c>
      <c r="J506" s="15"/>
      <c r="K506" s="15"/>
      <c r="L506" s="120" t="s">
        <v>220</v>
      </c>
      <c r="M506" s="15" t="s">
        <v>1205</v>
      </c>
      <c r="N506" s="15" t="s">
        <v>1206</v>
      </c>
      <c r="O506" s="15"/>
      <c r="P506" s="15"/>
      <c r="Q506" s="15" t="b">
        <v>0</v>
      </c>
    </row>
    <row r="507" spans="1:17" ht="15" hidden="1" customHeight="1">
      <c r="A507" s="15">
        <v>3426</v>
      </c>
      <c r="B507" s="15">
        <v>506</v>
      </c>
      <c r="C507" s="15">
        <v>0</v>
      </c>
      <c r="D507" s="15">
        <v>196</v>
      </c>
      <c r="E507" s="15" t="b">
        <v>0</v>
      </c>
      <c r="F507" s="15" t="b">
        <v>0</v>
      </c>
      <c r="G507" s="33" t="s">
        <v>206</v>
      </c>
      <c r="H507" s="15" t="s">
        <v>1202</v>
      </c>
      <c r="I507" s="33" t="s">
        <v>216</v>
      </c>
      <c r="J507" s="15"/>
      <c r="K507" s="15"/>
      <c r="L507" s="120" t="s">
        <v>220</v>
      </c>
      <c r="M507" s="15" t="s">
        <v>1207</v>
      </c>
      <c r="N507" s="15" t="s">
        <v>1208</v>
      </c>
      <c r="O507" s="15"/>
      <c r="P507" s="15"/>
      <c r="Q507" s="15" t="b">
        <v>0</v>
      </c>
    </row>
    <row r="508" spans="1:17" ht="15" hidden="1" customHeight="1">
      <c r="A508" s="15">
        <v>3427</v>
      </c>
      <c r="B508" s="15">
        <v>507</v>
      </c>
      <c r="C508" s="15">
        <v>0</v>
      </c>
      <c r="D508" s="15">
        <v>196</v>
      </c>
      <c r="E508" s="15" t="b">
        <v>1</v>
      </c>
      <c r="F508" s="15" t="b">
        <v>0</v>
      </c>
      <c r="G508" s="33" t="s">
        <v>206</v>
      </c>
      <c r="H508" s="15" t="s">
        <v>1209</v>
      </c>
      <c r="I508" s="33" t="s">
        <v>208</v>
      </c>
      <c r="J508" s="15"/>
      <c r="K508" s="15"/>
      <c r="L508" s="120" t="s">
        <v>210</v>
      </c>
      <c r="M508" s="15" t="s">
        <v>1210</v>
      </c>
      <c r="N508" s="15" t="s">
        <v>1211</v>
      </c>
      <c r="O508" s="15"/>
      <c r="P508" s="15"/>
      <c r="Q508" s="15" t="b">
        <v>0</v>
      </c>
    </row>
    <row r="509" spans="1:17" ht="15" hidden="1" customHeight="1">
      <c r="A509" s="15">
        <v>3428</v>
      </c>
      <c r="B509" s="15">
        <v>508</v>
      </c>
      <c r="C509" s="15">
        <v>0</v>
      </c>
      <c r="D509" s="15">
        <v>196</v>
      </c>
      <c r="E509" s="15" t="b">
        <v>1</v>
      </c>
      <c r="F509" s="15" t="b">
        <v>0</v>
      </c>
      <c r="G509" s="33" t="s">
        <v>206</v>
      </c>
      <c r="H509" s="15" t="s">
        <v>1209</v>
      </c>
      <c r="I509" s="33" t="s">
        <v>213</v>
      </c>
      <c r="J509" s="15"/>
      <c r="K509" s="15"/>
      <c r="L509" s="120" t="s">
        <v>210</v>
      </c>
      <c r="M509" s="15" t="s">
        <v>1212</v>
      </c>
      <c r="N509" s="15" t="s">
        <v>1213</v>
      </c>
      <c r="O509" s="15"/>
      <c r="P509" s="15"/>
      <c r="Q509" s="15" t="b">
        <v>0</v>
      </c>
    </row>
    <row r="510" spans="1:17" ht="15" hidden="1" customHeight="1">
      <c r="A510" s="15">
        <v>3429</v>
      </c>
      <c r="B510" s="15">
        <v>509</v>
      </c>
      <c r="C510" s="15">
        <v>0</v>
      </c>
      <c r="D510" s="15">
        <v>196</v>
      </c>
      <c r="E510" s="15" t="b">
        <v>1</v>
      </c>
      <c r="F510" s="15" t="b">
        <v>0</v>
      </c>
      <c r="G510" s="33" t="s">
        <v>206</v>
      </c>
      <c r="H510" s="15" t="s">
        <v>1209</v>
      </c>
      <c r="I510" s="33" t="s">
        <v>216</v>
      </c>
      <c r="J510" s="15"/>
      <c r="K510" s="15"/>
      <c r="L510" s="120" t="s">
        <v>210</v>
      </c>
      <c r="M510" s="15" t="s">
        <v>1214</v>
      </c>
      <c r="N510" s="15" t="s">
        <v>1215</v>
      </c>
      <c r="O510" s="15"/>
      <c r="P510" s="15"/>
      <c r="Q510" s="15" t="b">
        <v>0</v>
      </c>
    </row>
    <row r="511" spans="1:17" ht="15" hidden="1" customHeight="1">
      <c r="A511" s="15">
        <v>3430</v>
      </c>
      <c r="B511" s="15">
        <v>510</v>
      </c>
      <c r="C511" s="15">
        <v>0</v>
      </c>
      <c r="D511" s="15">
        <v>196</v>
      </c>
      <c r="E511" s="15" t="b">
        <v>0</v>
      </c>
      <c r="F511" s="15" t="b">
        <v>0</v>
      </c>
      <c r="G511" s="33" t="s">
        <v>206</v>
      </c>
      <c r="H511" s="15" t="s">
        <v>1216</v>
      </c>
      <c r="I511" s="33" t="s">
        <v>208</v>
      </c>
      <c r="J511" s="15"/>
      <c r="K511" s="15"/>
      <c r="L511" s="120" t="s">
        <v>220</v>
      </c>
      <c r="M511" s="15" t="s">
        <v>1217</v>
      </c>
      <c r="N511" s="15" t="s">
        <v>1218</v>
      </c>
      <c r="O511" s="15"/>
      <c r="P511" s="15"/>
      <c r="Q511" s="15" t="b">
        <v>0</v>
      </c>
    </row>
    <row r="512" spans="1:17" ht="15" hidden="1" customHeight="1">
      <c r="A512" s="15">
        <v>3431</v>
      </c>
      <c r="B512" s="15">
        <v>511</v>
      </c>
      <c r="C512" s="15">
        <v>0</v>
      </c>
      <c r="D512" s="15">
        <v>196</v>
      </c>
      <c r="E512" s="15" t="b">
        <v>0</v>
      </c>
      <c r="F512" s="15" t="b">
        <v>0</v>
      </c>
      <c r="G512" s="33" t="s">
        <v>206</v>
      </c>
      <c r="H512" s="15" t="s">
        <v>1216</v>
      </c>
      <c r="I512" s="33" t="s">
        <v>213</v>
      </c>
      <c r="J512" s="15"/>
      <c r="K512" s="15"/>
      <c r="L512" s="120" t="s">
        <v>220</v>
      </c>
      <c r="M512" s="15" t="s">
        <v>1219</v>
      </c>
      <c r="N512" s="15" t="s">
        <v>1220</v>
      </c>
      <c r="O512" s="15"/>
      <c r="P512" s="15"/>
      <c r="Q512" s="15" t="b">
        <v>0</v>
      </c>
    </row>
    <row r="513" spans="1:17" ht="15" hidden="1" customHeight="1">
      <c r="A513" s="15">
        <v>3432</v>
      </c>
      <c r="B513" s="15">
        <v>512</v>
      </c>
      <c r="C513" s="15">
        <v>0</v>
      </c>
      <c r="D513" s="15">
        <v>196</v>
      </c>
      <c r="E513" s="15" t="b">
        <v>0</v>
      </c>
      <c r="F513" s="15" t="b">
        <v>0</v>
      </c>
      <c r="G513" s="33" t="s">
        <v>206</v>
      </c>
      <c r="H513" s="15" t="s">
        <v>1216</v>
      </c>
      <c r="I513" s="33" t="s">
        <v>216</v>
      </c>
      <c r="J513" s="15"/>
      <c r="K513" s="15"/>
      <c r="L513" s="120" t="s">
        <v>220</v>
      </c>
      <c r="M513" s="15" t="s">
        <v>1221</v>
      </c>
      <c r="N513" s="15" t="s">
        <v>1222</v>
      </c>
      <c r="O513" s="15"/>
      <c r="P513" s="15"/>
      <c r="Q513" s="15" t="b">
        <v>0</v>
      </c>
    </row>
    <row r="514" spans="1:17" ht="15" hidden="1" customHeight="1">
      <c r="A514" s="15">
        <v>3433</v>
      </c>
      <c r="B514" s="15">
        <v>513</v>
      </c>
      <c r="C514" s="15">
        <v>0</v>
      </c>
      <c r="D514" s="15">
        <v>196</v>
      </c>
      <c r="E514" s="15" t="b">
        <v>1</v>
      </c>
      <c r="F514" s="15" t="b">
        <v>0</v>
      </c>
      <c r="G514" s="33" t="s">
        <v>206</v>
      </c>
      <c r="H514" s="15" t="s">
        <v>1223</v>
      </c>
      <c r="I514" s="33" t="s">
        <v>208</v>
      </c>
      <c r="J514" s="15"/>
      <c r="K514" s="15"/>
      <c r="L514" s="120" t="s">
        <v>210</v>
      </c>
      <c r="M514" s="15" t="s">
        <v>1224</v>
      </c>
      <c r="N514" s="15" t="s">
        <v>1225</v>
      </c>
      <c r="O514" s="15"/>
      <c r="P514" s="15"/>
      <c r="Q514" s="15" t="b">
        <v>0</v>
      </c>
    </row>
    <row r="515" spans="1:17" ht="15" hidden="1" customHeight="1">
      <c r="A515" s="15">
        <v>3434</v>
      </c>
      <c r="B515" s="15">
        <v>514</v>
      </c>
      <c r="C515" s="15">
        <v>0</v>
      </c>
      <c r="D515" s="15">
        <v>196</v>
      </c>
      <c r="E515" s="15" t="b">
        <v>1</v>
      </c>
      <c r="F515" s="15" t="b">
        <v>0</v>
      </c>
      <c r="G515" s="33" t="s">
        <v>206</v>
      </c>
      <c r="H515" s="15" t="s">
        <v>1223</v>
      </c>
      <c r="I515" s="33" t="s">
        <v>213</v>
      </c>
      <c r="J515" s="15"/>
      <c r="K515" s="15"/>
      <c r="L515" s="120" t="s">
        <v>210</v>
      </c>
      <c r="M515" s="15" t="s">
        <v>1226</v>
      </c>
      <c r="N515" s="15" t="s">
        <v>1227</v>
      </c>
      <c r="O515" s="15"/>
      <c r="P515" s="15"/>
      <c r="Q515" s="15" t="b">
        <v>0</v>
      </c>
    </row>
    <row r="516" spans="1:17" ht="15" hidden="1" customHeight="1">
      <c r="A516" s="15">
        <v>3435</v>
      </c>
      <c r="B516" s="15">
        <v>515</v>
      </c>
      <c r="C516" s="15">
        <v>0</v>
      </c>
      <c r="D516" s="15">
        <v>196</v>
      </c>
      <c r="E516" s="15" t="b">
        <v>1</v>
      </c>
      <c r="F516" s="15" t="b">
        <v>0</v>
      </c>
      <c r="G516" s="33" t="s">
        <v>206</v>
      </c>
      <c r="H516" s="15" t="s">
        <v>1223</v>
      </c>
      <c r="I516" s="33" t="s">
        <v>216</v>
      </c>
      <c r="J516" s="15"/>
      <c r="K516" s="15"/>
      <c r="L516" s="120" t="s">
        <v>210</v>
      </c>
      <c r="M516" s="15" t="s">
        <v>1228</v>
      </c>
      <c r="N516" s="15" t="s">
        <v>1229</v>
      </c>
      <c r="O516" s="15"/>
      <c r="P516" s="15"/>
      <c r="Q516" s="15" t="b">
        <v>0</v>
      </c>
    </row>
    <row r="517" spans="1:17" ht="15" hidden="1" customHeight="1">
      <c r="A517" s="15">
        <v>3436</v>
      </c>
      <c r="B517" s="15">
        <v>516</v>
      </c>
      <c r="C517" s="15">
        <v>0</v>
      </c>
      <c r="D517" s="15">
        <v>196</v>
      </c>
      <c r="E517" s="15" t="b">
        <v>0</v>
      </c>
      <c r="F517" s="15" t="b">
        <v>0</v>
      </c>
      <c r="G517" s="33" t="s">
        <v>206</v>
      </c>
      <c r="H517" s="15" t="s">
        <v>1230</v>
      </c>
      <c r="I517" s="33" t="s">
        <v>208</v>
      </c>
      <c r="J517" s="15"/>
      <c r="K517" s="15"/>
      <c r="L517" s="120" t="s">
        <v>220</v>
      </c>
      <c r="M517" s="15" t="s">
        <v>1231</v>
      </c>
      <c r="N517" s="15" t="s">
        <v>1232</v>
      </c>
      <c r="O517" s="15"/>
      <c r="P517" s="15"/>
      <c r="Q517" s="15" t="b">
        <v>0</v>
      </c>
    </row>
    <row r="518" spans="1:17" ht="15" hidden="1" customHeight="1">
      <c r="A518" s="15">
        <v>3437</v>
      </c>
      <c r="B518" s="15">
        <v>517</v>
      </c>
      <c r="C518" s="15">
        <v>0</v>
      </c>
      <c r="D518" s="15">
        <v>196</v>
      </c>
      <c r="E518" s="15" t="b">
        <v>0</v>
      </c>
      <c r="F518" s="15" t="b">
        <v>0</v>
      </c>
      <c r="G518" s="33" t="s">
        <v>206</v>
      </c>
      <c r="H518" s="15" t="s">
        <v>1230</v>
      </c>
      <c r="I518" s="33" t="s">
        <v>213</v>
      </c>
      <c r="J518" s="15"/>
      <c r="K518" s="15"/>
      <c r="L518" s="120" t="s">
        <v>220</v>
      </c>
      <c r="M518" s="15" t="s">
        <v>1233</v>
      </c>
      <c r="N518" s="15" t="s">
        <v>1234</v>
      </c>
      <c r="O518" s="15"/>
      <c r="P518" s="15"/>
      <c r="Q518" s="15" t="b">
        <v>0</v>
      </c>
    </row>
    <row r="519" spans="1:17" ht="15" hidden="1" customHeight="1">
      <c r="A519" s="15">
        <v>3438</v>
      </c>
      <c r="B519" s="15">
        <v>518</v>
      </c>
      <c r="C519" s="15">
        <v>0</v>
      </c>
      <c r="D519" s="15">
        <v>196</v>
      </c>
      <c r="E519" s="15" t="b">
        <v>0</v>
      </c>
      <c r="F519" s="15" t="b">
        <v>0</v>
      </c>
      <c r="G519" s="33" t="s">
        <v>206</v>
      </c>
      <c r="H519" s="15" t="s">
        <v>1230</v>
      </c>
      <c r="I519" s="33" t="s">
        <v>216</v>
      </c>
      <c r="J519" s="15"/>
      <c r="K519" s="15"/>
      <c r="L519" s="120" t="s">
        <v>220</v>
      </c>
      <c r="M519" s="15" t="s">
        <v>1235</v>
      </c>
      <c r="N519" s="15" t="s">
        <v>1236</v>
      </c>
      <c r="O519" s="15"/>
      <c r="P519" s="15"/>
      <c r="Q519" s="15" t="b">
        <v>0</v>
      </c>
    </row>
    <row r="520" spans="1:17" ht="15" hidden="1" customHeight="1">
      <c r="A520" s="15">
        <v>3439</v>
      </c>
      <c r="B520" s="15">
        <v>519</v>
      </c>
      <c r="C520" s="15">
        <v>0</v>
      </c>
      <c r="D520" s="15">
        <v>196</v>
      </c>
      <c r="E520" s="15" t="b">
        <v>0</v>
      </c>
      <c r="F520" s="15" t="b">
        <v>0</v>
      </c>
      <c r="G520" s="33" t="s">
        <v>206</v>
      </c>
      <c r="H520" s="15" t="s">
        <v>1237</v>
      </c>
      <c r="I520" s="33" t="s">
        <v>208</v>
      </c>
      <c r="J520" s="15"/>
      <c r="K520" s="15"/>
      <c r="L520" s="120" t="s">
        <v>220</v>
      </c>
      <c r="M520" s="15" t="s">
        <v>1238</v>
      </c>
      <c r="N520" s="15" t="s">
        <v>1239</v>
      </c>
      <c r="O520" s="15"/>
      <c r="P520" s="15"/>
      <c r="Q520" s="15" t="b">
        <v>0</v>
      </c>
    </row>
    <row r="521" spans="1:17" ht="15" hidden="1" customHeight="1">
      <c r="A521" s="15">
        <v>3440</v>
      </c>
      <c r="B521" s="15">
        <v>520</v>
      </c>
      <c r="C521" s="15">
        <v>0</v>
      </c>
      <c r="D521" s="15">
        <v>196</v>
      </c>
      <c r="E521" s="15" t="b">
        <v>0</v>
      </c>
      <c r="F521" s="15" t="b">
        <v>0</v>
      </c>
      <c r="G521" s="33" t="s">
        <v>206</v>
      </c>
      <c r="H521" s="15" t="s">
        <v>1237</v>
      </c>
      <c r="I521" s="33" t="s">
        <v>213</v>
      </c>
      <c r="J521" s="15"/>
      <c r="K521" s="15"/>
      <c r="L521" s="120" t="s">
        <v>220</v>
      </c>
      <c r="M521" s="15" t="s">
        <v>1240</v>
      </c>
      <c r="N521" s="15" t="s">
        <v>1241</v>
      </c>
      <c r="O521" s="15"/>
      <c r="P521" s="15"/>
      <c r="Q521" s="15" t="b">
        <v>0</v>
      </c>
    </row>
    <row r="522" spans="1:17" ht="15" hidden="1" customHeight="1">
      <c r="A522" s="15">
        <v>3441</v>
      </c>
      <c r="B522" s="15">
        <v>521</v>
      </c>
      <c r="C522" s="15">
        <v>0</v>
      </c>
      <c r="D522" s="15">
        <v>196</v>
      </c>
      <c r="E522" s="15" t="b">
        <v>0</v>
      </c>
      <c r="F522" s="15" t="b">
        <v>0</v>
      </c>
      <c r="G522" s="33" t="s">
        <v>206</v>
      </c>
      <c r="H522" s="15" t="s">
        <v>1237</v>
      </c>
      <c r="I522" s="33" t="s">
        <v>216</v>
      </c>
      <c r="J522" s="15"/>
      <c r="K522" s="15"/>
      <c r="L522" s="120" t="s">
        <v>220</v>
      </c>
      <c r="M522" s="15" t="s">
        <v>1242</v>
      </c>
      <c r="N522" s="15" t="s">
        <v>1243</v>
      </c>
      <c r="O522" s="15"/>
      <c r="P522" s="15"/>
      <c r="Q522" s="15" t="b">
        <v>0</v>
      </c>
    </row>
    <row r="523" spans="1:17" ht="15" hidden="1" customHeight="1">
      <c r="A523" s="15">
        <v>3442</v>
      </c>
      <c r="B523" s="15">
        <v>522</v>
      </c>
      <c r="C523" s="15">
        <v>0</v>
      </c>
      <c r="D523" s="15">
        <v>196</v>
      </c>
      <c r="E523" s="15" t="b">
        <v>1</v>
      </c>
      <c r="F523" s="15" t="b">
        <v>0</v>
      </c>
      <c r="G523" s="33" t="s">
        <v>206</v>
      </c>
      <c r="H523" s="15" t="s">
        <v>1244</v>
      </c>
      <c r="I523" s="33" t="s">
        <v>208</v>
      </c>
      <c r="J523" s="15"/>
      <c r="K523" s="15"/>
      <c r="L523" s="120" t="s">
        <v>210</v>
      </c>
      <c r="M523" s="15" t="s">
        <v>1245</v>
      </c>
      <c r="N523" s="15" t="s">
        <v>1246</v>
      </c>
      <c r="O523" s="15"/>
      <c r="P523" s="15"/>
      <c r="Q523" s="15" t="b">
        <v>0</v>
      </c>
    </row>
    <row r="524" spans="1:17" ht="15" hidden="1" customHeight="1">
      <c r="A524" s="15">
        <v>3443</v>
      </c>
      <c r="B524" s="15">
        <v>523</v>
      </c>
      <c r="C524" s="15">
        <v>0</v>
      </c>
      <c r="D524" s="15">
        <v>196</v>
      </c>
      <c r="E524" s="15" t="b">
        <v>1</v>
      </c>
      <c r="F524" s="15" t="b">
        <v>0</v>
      </c>
      <c r="G524" s="33" t="s">
        <v>206</v>
      </c>
      <c r="H524" s="15" t="s">
        <v>1244</v>
      </c>
      <c r="I524" s="33" t="s">
        <v>213</v>
      </c>
      <c r="J524" s="15"/>
      <c r="K524" s="15"/>
      <c r="L524" s="120" t="s">
        <v>210</v>
      </c>
      <c r="M524" s="15" t="s">
        <v>1247</v>
      </c>
      <c r="N524" s="15" t="s">
        <v>1248</v>
      </c>
      <c r="O524" s="15"/>
      <c r="P524" s="15"/>
      <c r="Q524" s="15" t="b">
        <v>0</v>
      </c>
    </row>
    <row r="525" spans="1:17" ht="15" hidden="1" customHeight="1">
      <c r="A525" s="15">
        <v>3444</v>
      </c>
      <c r="B525" s="15">
        <v>524</v>
      </c>
      <c r="C525" s="15">
        <v>0</v>
      </c>
      <c r="D525" s="15">
        <v>196</v>
      </c>
      <c r="E525" s="15" t="b">
        <v>1</v>
      </c>
      <c r="F525" s="15" t="b">
        <v>0</v>
      </c>
      <c r="G525" s="33" t="s">
        <v>206</v>
      </c>
      <c r="H525" s="15" t="s">
        <v>1244</v>
      </c>
      <c r="I525" s="33" t="s">
        <v>216</v>
      </c>
      <c r="J525" s="15"/>
      <c r="K525" s="15"/>
      <c r="L525" s="120" t="s">
        <v>210</v>
      </c>
      <c r="M525" s="15" t="s">
        <v>1249</v>
      </c>
      <c r="N525" s="15" t="s">
        <v>1250</v>
      </c>
      <c r="O525" s="15"/>
      <c r="P525" s="15"/>
      <c r="Q525" s="15" t="b">
        <v>0</v>
      </c>
    </row>
    <row r="526" spans="1:17" ht="15" hidden="1" customHeight="1">
      <c r="A526" s="15">
        <v>3445</v>
      </c>
      <c r="B526" s="15">
        <v>525</v>
      </c>
      <c r="C526" s="15">
        <v>0</v>
      </c>
      <c r="D526" s="15">
        <v>196</v>
      </c>
      <c r="E526" s="15" t="b">
        <v>0</v>
      </c>
      <c r="F526" s="15" t="b">
        <v>0</v>
      </c>
      <c r="G526" s="33" t="s">
        <v>206</v>
      </c>
      <c r="H526" s="15" t="s">
        <v>1251</v>
      </c>
      <c r="I526" s="33" t="s">
        <v>208</v>
      </c>
      <c r="J526" s="15"/>
      <c r="K526" s="15"/>
      <c r="L526" s="120" t="s">
        <v>220</v>
      </c>
      <c r="M526" s="15" t="s">
        <v>1252</v>
      </c>
      <c r="N526" s="15" t="s">
        <v>1253</v>
      </c>
      <c r="O526" s="15"/>
      <c r="P526" s="15"/>
      <c r="Q526" s="15" t="b">
        <v>0</v>
      </c>
    </row>
    <row r="527" spans="1:17" ht="15" hidden="1" customHeight="1">
      <c r="A527" s="15">
        <v>3446</v>
      </c>
      <c r="B527" s="15">
        <v>526</v>
      </c>
      <c r="C527" s="15">
        <v>0</v>
      </c>
      <c r="D527" s="15">
        <v>196</v>
      </c>
      <c r="E527" s="15" t="b">
        <v>0</v>
      </c>
      <c r="F527" s="15" t="b">
        <v>0</v>
      </c>
      <c r="G527" s="33" t="s">
        <v>206</v>
      </c>
      <c r="H527" s="15" t="s">
        <v>1251</v>
      </c>
      <c r="I527" s="33" t="s">
        <v>213</v>
      </c>
      <c r="J527" s="15"/>
      <c r="K527" s="15"/>
      <c r="L527" s="120" t="s">
        <v>220</v>
      </c>
      <c r="M527" s="15" t="s">
        <v>1254</v>
      </c>
      <c r="N527" s="15" t="s">
        <v>1255</v>
      </c>
      <c r="O527" s="15"/>
      <c r="P527" s="15"/>
      <c r="Q527" s="15" t="b">
        <v>0</v>
      </c>
    </row>
    <row r="528" spans="1:17" ht="15" hidden="1" customHeight="1">
      <c r="A528" s="15">
        <v>3447</v>
      </c>
      <c r="B528" s="15">
        <v>527</v>
      </c>
      <c r="C528" s="15">
        <v>0</v>
      </c>
      <c r="D528" s="15">
        <v>196</v>
      </c>
      <c r="E528" s="15" t="b">
        <v>0</v>
      </c>
      <c r="F528" s="15" t="b">
        <v>0</v>
      </c>
      <c r="G528" s="33" t="s">
        <v>206</v>
      </c>
      <c r="H528" s="15" t="s">
        <v>1251</v>
      </c>
      <c r="I528" s="33" t="s">
        <v>216</v>
      </c>
      <c r="J528" s="15"/>
      <c r="K528" s="15"/>
      <c r="L528" s="120" t="s">
        <v>220</v>
      </c>
      <c r="M528" s="15" t="s">
        <v>1256</v>
      </c>
      <c r="N528" s="15" t="s">
        <v>1257</v>
      </c>
      <c r="O528" s="15"/>
      <c r="P528" s="15"/>
      <c r="Q528" s="15" t="b">
        <v>0</v>
      </c>
    </row>
    <row r="529" spans="1:17" ht="15" hidden="1" customHeight="1">
      <c r="A529" s="15">
        <v>3448</v>
      </c>
      <c r="B529" s="15">
        <v>528</v>
      </c>
      <c r="C529" s="15">
        <v>0</v>
      </c>
      <c r="D529" s="15">
        <v>196</v>
      </c>
      <c r="E529" s="15" t="b">
        <v>0</v>
      </c>
      <c r="F529" s="15" t="b">
        <v>0</v>
      </c>
      <c r="G529" s="33" t="s">
        <v>206</v>
      </c>
      <c r="H529" s="15" t="s">
        <v>1258</v>
      </c>
      <c r="I529" s="33" t="s">
        <v>208</v>
      </c>
      <c r="J529" s="15"/>
      <c r="K529" s="15"/>
      <c r="L529" s="120" t="s">
        <v>220</v>
      </c>
      <c r="M529" s="15" t="s">
        <v>1259</v>
      </c>
      <c r="N529" s="15" t="s">
        <v>1260</v>
      </c>
      <c r="O529" s="15"/>
      <c r="P529" s="15"/>
      <c r="Q529" s="15" t="b">
        <v>0</v>
      </c>
    </row>
    <row r="530" spans="1:17" ht="15" hidden="1" customHeight="1">
      <c r="A530" s="15">
        <v>3449</v>
      </c>
      <c r="B530" s="15">
        <v>529</v>
      </c>
      <c r="C530" s="15">
        <v>0</v>
      </c>
      <c r="D530" s="15">
        <v>196</v>
      </c>
      <c r="E530" s="15" t="b">
        <v>0</v>
      </c>
      <c r="F530" s="15" t="b">
        <v>0</v>
      </c>
      <c r="G530" s="33" t="s">
        <v>206</v>
      </c>
      <c r="H530" s="15" t="s">
        <v>1258</v>
      </c>
      <c r="I530" s="33" t="s">
        <v>213</v>
      </c>
      <c r="J530" s="15"/>
      <c r="K530" s="15"/>
      <c r="L530" s="120" t="s">
        <v>220</v>
      </c>
      <c r="M530" s="15" t="s">
        <v>1261</v>
      </c>
      <c r="N530" s="15" t="s">
        <v>1262</v>
      </c>
      <c r="O530" s="15"/>
      <c r="P530" s="15"/>
      <c r="Q530" s="15" t="b">
        <v>0</v>
      </c>
    </row>
    <row r="531" spans="1:17" ht="15" hidden="1" customHeight="1">
      <c r="A531" s="15">
        <v>3450</v>
      </c>
      <c r="B531" s="15">
        <v>530</v>
      </c>
      <c r="C531" s="15">
        <v>0</v>
      </c>
      <c r="D531" s="15">
        <v>196</v>
      </c>
      <c r="E531" s="15" t="b">
        <v>0</v>
      </c>
      <c r="F531" s="15" t="b">
        <v>0</v>
      </c>
      <c r="G531" s="33" t="s">
        <v>206</v>
      </c>
      <c r="H531" s="15" t="s">
        <v>1258</v>
      </c>
      <c r="I531" s="33" t="s">
        <v>216</v>
      </c>
      <c r="J531" s="15"/>
      <c r="K531" s="15"/>
      <c r="L531" s="120" t="s">
        <v>220</v>
      </c>
      <c r="M531" s="15" t="s">
        <v>1263</v>
      </c>
      <c r="N531" s="15" t="s">
        <v>1264</v>
      </c>
      <c r="O531" s="15"/>
      <c r="P531" s="15"/>
      <c r="Q531" s="15" t="b">
        <v>0</v>
      </c>
    </row>
    <row r="532" spans="1:17" ht="15" hidden="1" customHeight="1">
      <c r="A532" s="15">
        <v>3451</v>
      </c>
      <c r="B532" s="15">
        <v>531</v>
      </c>
      <c r="C532" s="15">
        <v>0</v>
      </c>
      <c r="D532" s="15">
        <v>196</v>
      </c>
      <c r="E532" s="15" t="b">
        <v>1</v>
      </c>
      <c r="F532" s="15" t="b">
        <v>0</v>
      </c>
      <c r="G532" s="33" t="s">
        <v>206</v>
      </c>
      <c r="H532" s="15" t="s">
        <v>1265</v>
      </c>
      <c r="I532" s="33" t="s">
        <v>208</v>
      </c>
      <c r="J532" s="15"/>
      <c r="K532" s="15"/>
      <c r="L532" s="120" t="s">
        <v>210</v>
      </c>
      <c r="M532" s="15" t="s">
        <v>1266</v>
      </c>
      <c r="N532" s="15" t="s">
        <v>1267</v>
      </c>
      <c r="O532" s="15"/>
      <c r="P532" s="15"/>
      <c r="Q532" s="15" t="b">
        <v>0</v>
      </c>
    </row>
    <row r="533" spans="1:17" ht="15" hidden="1" customHeight="1">
      <c r="A533" s="15">
        <v>3452</v>
      </c>
      <c r="B533" s="15">
        <v>532</v>
      </c>
      <c r="C533" s="15">
        <v>0</v>
      </c>
      <c r="D533" s="15">
        <v>196</v>
      </c>
      <c r="E533" s="15" t="b">
        <v>1</v>
      </c>
      <c r="F533" s="15" t="b">
        <v>0</v>
      </c>
      <c r="G533" s="33" t="s">
        <v>206</v>
      </c>
      <c r="H533" s="15" t="s">
        <v>1265</v>
      </c>
      <c r="I533" s="33" t="s">
        <v>213</v>
      </c>
      <c r="J533" s="15"/>
      <c r="K533" s="15"/>
      <c r="L533" s="120" t="s">
        <v>210</v>
      </c>
      <c r="M533" s="15" t="s">
        <v>1268</v>
      </c>
      <c r="N533" s="15" t="s">
        <v>1269</v>
      </c>
      <c r="O533" s="15"/>
      <c r="P533" s="15"/>
      <c r="Q533" s="15" t="b">
        <v>0</v>
      </c>
    </row>
    <row r="534" spans="1:17" ht="15" hidden="1" customHeight="1">
      <c r="A534" s="15">
        <v>3453</v>
      </c>
      <c r="B534" s="15">
        <v>533</v>
      </c>
      <c r="C534" s="15">
        <v>0</v>
      </c>
      <c r="D534" s="15">
        <v>196</v>
      </c>
      <c r="E534" s="15" t="b">
        <v>1</v>
      </c>
      <c r="F534" s="15" t="b">
        <v>0</v>
      </c>
      <c r="G534" s="33" t="s">
        <v>206</v>
      </c>
      <c r="H534" s="15" t="s">
        <v>1265</v>
      </c>
      <c r="I534" s="33" t="s">
        <v>216</v>
      </c>
      <c r="J534" s="15"/>
      <c r="K534" s="15"/>
      <c r="L534" s="120" t="s">
        <v>210</v>
      </c>
      <c r="M534" s="15" t="s">
        <v>1270</v>
      </c>
      <c r="N534" s="15" t="s">
        <v>1271</v>
      </c>
      <c r="O534" s="15"/>
      <c r="P534" s="15"/>
      <c r="Q534" s="15" t="b">
        <v>0</v>
      </c>
    </row>
    <row r="535" spans="1:17" ht="15" hidden="1" customHeight="1">
      <c r="A535" s="15">
        <v>3454</v>
      </c>
      <c r="B535" s="15">
        <v>534</v>
      </c>
      <c r="C535" s="15">
        <v>0</v>
      </c>
      <c r="D535" s="15">
        <v>196</v>
      </c>
      <c r="E535" s="15" t="b">
        <v>0</v>
      </c>
      <c r="F535" s="15" t="b">
        <v>0</v>
      </c>
      <c r="G535" s="33" t="s">
        <v>206</v>
      </c>
      <c r="H535" s="15" t="s">
        <v>1272</v>
      </c>
      <c r="I535" s="33" t="s">
        <v>208</v>
      </c>
      <c r="J535" s="15"/>
      <c r="K535" s="15"/>
      <c r="L535" s="120" t="s">
        <v>220</v>
      </c>
      <c r="M535" s="15" t="s">
        <v>1273</v>
      </c>
      <c r="N535" s="15" t="s">
        <v>1274</v>
      </c>
      <c r="O535" s="15"/>
      <c r="P535" s="15"/>
      <c r="Q535" s="15" t="b">
        <v>0</v>
      </c>
    </row>
    <row r="536" spans="1:17" ht="15" hidden="1" customHeight="1">
      <c r="A536" s="15">
        <v>3455</v>
      </c>
      <c r="B536" s="15">
        <v>535</v>
      </c>
      <c r="C536" s="15">
        <v>0</v>
      </c>
      <c r="D536" s="15">
        <v>196</v>
      </c>
      <c r="E536" s="15" t="b">
        <v>0</v>
      </c>
      <c r="F536" s="15" t="b">
        <v>0</v>
      </c>
      <c r="G536" s="33" t="s">
        <v>206</v>
      </c>
      <c r="H536" s="15" t="s">
        <v>1272</v>
      </c>
      <c r="I536" s="33" t="s">
        <v>213</v>
      </c>
      <c r="J536" s="15"/>
      <c r="K536" s="15"/>
      <c r="L536" s="120" t="s">
        <v>220</v>
      </c>
      <c r="M536" s="15" t="s">
        <v>1275</v>
      </c>
      <c r="N536" s="15" t="s">
        <v>1276</v>
      </c>
      <c r="O536" s="15"/>
      <c r="P536" s="15"/>
      <c r="Q536" s="15" t="b">
        <v>0</v>
      </c>
    </row>
    <row r="537" spans="1:17" ht="15" hidden="1" customHeight="1">
      <c r="A537" s="15">
        <v>3456</v>
      </c>
      <c r="B537" s="15">
        <v>536</v>
      </c>
      <c r="C537" s="15">
        <v>0</v>
      </c>
      <c r="D537" s="15">
        <v>196</v>
      </c>
      <c r="E537" s="15" t="b">
        <v>0</v>
      </c>
      <c r="F537" s="15" t="b">
        <v>0</v>
      </c>
      <c r="G537" s="33" t="s">
        <v>206</v>
      </c>
      <c r="H537" s="15" t="s">
        <v>1272</v>
      </c>
      <c r="I537" s="33" t="s">
        <v>216</v>
      </c>
      <c r="J537" s="15"/>
      <c r="K537" s="15"/>
      <c r="L537" s="120" t="s">
        <v>220</v>
      </c>
      <c r="M537" s="15" t="s">
        <v>1277</v>
      </c>
      <c r="N537" s="15" t="s">
        <v>1278</v>
      </c>
      <c r="O537" s="15"/>
      <c r="P537" s="15"/>
      <c r="Q537" s="15" t="b">
        <v>0</v>
      </c>
    </row>
    <row r="538" spans="1:17" ht="15" hidden="1" customHeight="1">
      <c r="A538" s="15">
        <v>3457</v>
      </c>
      <c r="B538" s="15">
        <v>537</v>
      </c>
      <c r="C538" s="15">
        <v>0</v>
      </c>
      <c r="D538" s="15">
        <v>196</v>
      </c>
      <c r="E538" s="15" t="b">
        <v>1</v>
      </c>
      <c r="F538" s="15" t="b">
        <v>0</v>
      </c>
      <c r="G538" s="33" t="s">
        <v>206</v>
      </c>
      <c r="H538" s="15" t="s">
        <v>1279</v>
      </c>
      <c r="I538" s="33" t="s">
        <v>208</v>
      </c>
      <c r="J538" s="15"/>
      <c r="K538" s="15"/>
      <c r="L538" s="120" t="s">
        <v>210</v>
      </c>
      <c r="M538" s="15" t="s">
        <v>1280</v>
      </c>
      <c r="N538" s="15" t="s">
        <v>1281</v>
      </c>
      <c r="O538" s="15"/>
      <c r="P538" s="15"/>
      <c r="Q538" s="15" t="b">
        <v>0</v>
      </c>
    </row>
    <row r="539" spans="1:17" ht="15" hidden="1" customHeight="1">
      <c r="A539" s="15">
        <v>3458</v>
      </c>
      <c r="B539" s="15">
        <v>538</v>
      </c>
      <c r="C539" s="15">
        <v>0</v>
      </c>
      <c r="D539" s="15">
        <v>196</v>
      </c>
      <c r="E539" s="15" t="b">
        <v>1</v>
      </c>
      <c r="F539" s="15" t="b">
        <v>0</v>
      </c>
      <c r="G539" s="33" t="s">
        <v>206</v>
      </c>
      <c r="H539" s="15" t="s">
        <v>1279</v>
      </c>
      <c r="I539" s="33" t="s">
        <v>213</v>
      </c>
      <c r="J539" s="15"/>
      <c r="K539" s="15"/>
      <c r="L539" s="120" t="s">
        <v>210</v>
      </c>
      <c r="M539" s="15" t="s">
        <v>1282</v>
      </c>
      <c r="N539" s="15" t="s">
        <v>1283</v>
      </c>
      <c r="O539" s="15"/>
      <c r="P539" s="15"/>
      <c r="Q539" s="15" t="b">
        <v>0</v>
      </c>
    </row>
    <row r="540" spans="1:17" ht="15" hidden="1" customHeight="1">
      <c r="A540" s="15">
        <v>3459</v>
      </c>
      <c r="B540" s="15">
        <v>539</v>
      </c>
      <c r="C540" s="15">
        <v>0</v>
      </c>
      <c r="D540" s="15">
        <v>196</v>
      </c>
      <c r="E540" s="15" t="b">
        <v>1</v>
      </c>
      <c r="F540" s="15" t="b">
        <v>0</v>
      </c>
      <c r="G540" s="33" t="s">
        <v>206</v>
      </c>
      <c r="H540" s="15" t="s">
        <v>1279</v>
      </c>
      <c r="I540" s="33" t="s">
        <v>216</v>
      </c>
      <c r="J540" s="15"/>
      <c r="K540" s="15"/>
      <c r="L540" s="120" t="s">
        <v>210</v>
      </c>
      <c r="M540" s="15" t="s">
        <v>1284</v>
      </c>
      <c r="N540" s="15" t="s">
        <v>1285</v>
      </c>
      <c r="O540" s="15"/>
      <c r="P540" s="15"/>
      <c r="Q540" s="15" t="b">
        <v>0</v>
      </c>
    </row>
    <row r="541" spans="1:17" ht="15" hidden="1" customHeight="1">
      <c r="A541" s="15">
        <v>3460</v>
      </c>
      <c r="B541" s="15">
        <v>540</v>
      </c>
      <c r="C541" s="15">
        <v>0</v>
      </c>
      <c r="D541" s="15">
        <v>196</v>
      </c>
      <c r="E541" s="15" t="b">
        <v>0</v>
      </c>
      <c r="F541" s="15" t="b">
        <v>0</v>
      </c>
      <c r="G541" s="33" t="s">
        <v>206</v>
      </c>
      <c r="H541" s="15" t="s">
        <v>1286</v>
      </c>
      <c r="I541" s="33" t="s">
        <v>208</v>
      </c>
      <c r="J541" s="15"/>
      <c r="K541" s="15"/>
      <c r="L541" s="120" t="s">
        <v>220</v>
      </c>
      <c r="M541" s="15" t="s">
        <v>1287</v>
      </c>
      <c r="N541" s="15" t="s">
        <v>1288</v>
      </c>
      <c r="O541" s="15"/>
      <c r="P541" s="15"/>
      <c r="Q541" s="15" t="b">
        <v>0</v>
      </c>
    </row>
    <row r="542" spans="1:17" ht="15" hidden="1" customHeight="1">
      <c r="A542" s="15">
        <v>3461</v>
      </c>
      <c r="B542" s="15">
        <v>541</v>
      </c>
      <c r="C542" s="15">
        <v>0</v>
      </c>
      <c r="D542" s="15">
        <v>196</v>
      </c>
      <c r="E542" s="15" t="b">
        <v>0</v>
      </c>
      <c r="F542" s="15" t="b">
        <v>0</v>
      </c>
      <c r="G542" s="33" t="s">
        <v>206</v>
      </c>
      <c r="H542" s="15" t="s">
        <v>1286</v>
      </c>
      <c r="I542" s="33" t="s">
        <v>213</v>
      </c>
      <c r="J542" s="15"/>
      <c r="K542" s="15"/>
      <c r="L542" s="120" t="s">
        <v>220</v>
      </c>
      <c r="M542" s="15" t="s">
        <v>1289</v>
      </c>
      <c r="N542" s="15" t="s">
        <v>1290</v>
      </c>
      <c r="O542" s="15"/>
      <c r="P542" s="15"/>
      <c r="Q542" s="15" t="b">
        <v>0</v>
      </c>
    </row>
    <row r="543" spans="1:17" ht="15" hidden="1" customHeight="1">
      <c r="A543" s="15">
        <v>3462</v>
      </c>
      <c r="B543" s="15">
        <v>542</v>
      </c>
      <c r="C543" s="15">
        <v>0</v>
      </c>
      <c r="D543" s="15">
        <v>196</v>
      </c>
      <c r="E543" s="15" t="b">
        <v>0</v>
      </c>
      <c r="F543" s="15" t="b">
        <v>0</v>
      </c>
      <c r="G543" s="33" t="s">
        <v>206</v>
      </c>
      <c r="H543" s="15" t="s">
        <v>1286</v>
      </c>
      <c r="I543" s="33" t="s">
        <v>216</v>
      </c>
      <c r="J543" s="15"/>
      <c r="K543" s="15"/>
      <c r="L543" s="120" t="s">
        <v>220</v>
      </c>
      <c r="M543" s="15" t="s">
        <v>1291</v>
      </c>
      <c r="N543" s="15" t="s">
        <v>1292</v>
      </c>
      <c r="O543" s="15"/>
      <c r="P543" s="15"/>
      <c r="Q543" s="15" t="b">
        <v>0</v>
      </c>
    </row>
    <row r="544" spans="1:17" ht="15" hidden="1" customHeight="1">
      <c r="A544" s="15">
        <v>3463</v>
      </c>
      <c r="B544" s="15">
        <v>543</v>
      </c>
      <c r="C544" s="15">
        <v>0</v>
      </c>
      <c r="D544" s="15">
        <v>196</v>
      </c>
      <c r="E544" s="15" t="b">
        <v>0</v>
      </c>
      <c r="F544" s="15" t="b">
        <v>0</v>
      </c>
      <c r="G544" s="33" t="s">
        <v>206</v>
      </c>
      <c r="H544" s="15" t="s">
        <v>1293</v>
      </c>
      <c r="I544" s="33" t="s">
        <v>208</v>
      </c>
      <c r="J544" s="15"/>
      <c r="K544" s="15"/>
      <c r="L544" s="120" t="s">
        <v>220</v>
      </c>
      <c r="M544" s="15" t="s">
        <v>1294</v>
      </c>
      <c r="N544" s="15" t="s">
        <v>1295</v>
      </c>
      <c r="O544" s="15"/>
      <c r="P544" s="15"/>
      <c r="Q544" s="15" t="b">
        <v>0</v>
      </c>
    </row>
    <row r="545" spans="1:17" ht="15" hidden="1" customHeight="1">
      <c r="A545" s="15">
        <v>3464</v>
      </c>
      <c r="B545" s="15">
        <v>544</v>
      </c>
      <c r="C545" s="15">
        <v>0</v>
      </c>
      <c r="D545" s="15">
        <v>196</v>
      </c>
      <c r="E545" s="15" t="b">
        <v>0</v>
      </c>
      <c r="F545" s="15" t="b">
        <v>0</v>
      </c>
      <c r="G545" s="33" t="s">
        <v>206</v>
      </c>
      <c r="H545" s="15" t="s">
        <v>1293</v>
      </c>
      <c r="I545" s="33" t="s">
        <v>213</v>
      </c>
      <c r="J545" s="15"/>
      <c r="K545" s="15"/>
      <c r="L545" s="120" t="s">
        <v>220</v>
      </c>
      <c r="M545" s="15" t="s">
        <v>1296</v>
      </c>
      <c r="N545" s="15" t="s">
        <v>1297</v>
      </c>
      <c r="O545" s="15"/>
      <c r="P545" s="15"/>
      <c r="Q545" s="15" t="b">
        <v>0</v>
      </c>
    </row>
    <row r="546" spans="1:17" ht="15" hidden="1" customHeight="1">
      <c r="A546" s="15">
        <v>3465</v>
      </c>
      <c r="B546" s="15">
        <v>545</v>
      </c>
      <c r="C546" s="15">
        <v>0</v>
      </c>
      <c r="D546" s="15">
        <v>196</v>
      </c>
      <c r="E546" s="15" t="b">
        <v>0</v>
      </c>
      <c r="F546" s="15" t="b">
        <v>0</v>
      </c>
      <c r="G546" s="33" t="s">
        <v>206</v>
      </c>
      <c r="H546" s="15" t="s">
        <v>1293</v>
      </c>
      <c r="I546" s="33" t="s">
        <v>216</v>
      </c>
      <c r="J546" s="15"/>
      <c r="K546" s="15"/>
      <c r="L546" s="120" t="s">
        <v>220</v>
      </c>
      <c r="M546" s="15" t="s">
        <v>1298</v>
      </c>
      <c r="N546" s="15" t="s">
        <v>1299</v>
      </c>
      <c r="O546" s="15"/>
      <c r="P546" s="15"/>
      <c r="Q546" s="15" t="b">
        <v>0</v>
      </c>
    </row>
    <row r="547" spans="1:17" ht="15" hidden="1" customHeight="1">
      <c r="A547" s="15">
        <v>3466</v>
      </c>
      <c r="B547" s="15">
        <v>546</v>
      </c>
      <c r="C547" s="15">
        <v>0</v>
      </c>
      <c r="D547" s="15">
        <v>196</v>
      </c>
      <c r="E547" s="15" t="b">
        <v>1</v>
      </c>
      <c r="F547" s="15" t="b">
        <v>0</v>
      </c>
      <c r="G547" s="33" t="s">
        <v>206</v>
      </c>
      <c r="H547" s="15" t="s">
        <v>1300</v>
      </c>
      <c r="I547" s="33" t="s">
        <v>208</v>
      </c>
      <c r="J547" s="15"/>
      <c r="K547" s="15"/>
      <c r="L547" s="120" t="s">
        <v>210</v>
      </c>
      <c r="M547" s="15" t="s">
        <v>1301</v>
      </c>
      <c r="N547" s="15" t="s">
        <v>1302</v>
      </c>
      <c r="O547" s="15"/>
      <c r="P547" s="15"/>
      <c r="Q547" s="15" t="b">
        <v>0</v>
      </c>
    </row>
    <row r="548" spans="1:17" ht="15" hidden="1" customHeight="1">
      <c r="A548" s="15">
        <v>3467</v>
      </c>
      <c r="B548" s="15">
        <v>547</v>
      </c>
      <c r="C548" s="15">
        <v>0</v>
      </c>
      <c r="D548" s="15">
        <v>196</v>
      </c>
      <c r="E548" s="15" t="b">
        <v>1</v>
      </c>
      <c r="F548" s="15" t="b">
        <v>0</v>
      </c>
      <c r="G548" s="33" t="s">
        <v>206</v>
      </c>
      <c r="H548" s="15" t="s">
        <v>1300</v>
      </c>
      <c r="I548" s="33" t="s">
        <v>213</v>
      </c>
      <c r="J548" s="15"/>
      <c r="K548" s="15"/>
      <c r="L548" s="120" t="s">
        <v>210</v>
      </c>
      <c r="M548" s="15" t="s">
        <v>1303</v>
      </c>
      <c r="N548" s="15" t="s">
        <v>1304</v>
      </c>
      <c r="O548" s="15"/>
      <c r="P548" s="15"/>
      <c r="Q548" s="15" t="b">
        <v>0</v>
      </c>
    </row>
    <row r="549" spans="1:17" ht="15" hidden="1" customHeight="1">
      <c r="A549" s="15">
        <v>3468</v>
      </c>
      <c r="B549" s="15">
        <v>548</v>
      </c>
      <c r="C549" s="15">
        <v>0</v>
      </c>
      <c r="D549" s="15">
        <v>196</v>
      </c>
      <c r="E549" s="15" t="b">
        <v>1</v>
      </c>
      <c r="F549" s="15" t="b">
        <v>0</v>
      </c>
      <c r="G549" s="33" t="s">
        <v>206</v>
      </c>
      <c r="H549" s="15" t="s">
        <v>1300</v>
      </c>
      <c r="I549" s="33" t="s">
        <v>216</v>
      </c>
      <c r="J549" s="15"/>
      <c r="K549" s="15"/>
      <c r="L549" s="120" t="s">
        <v>210</v>
      </c>
      <c r="M549" s="15" t="s">
        <v>1305</v>
      </c>
      <c r="N549" s="15" t="s">
        <v>1306</v>
      </c>
      <c r="O549" s="15"/>
      <c r="P549" s="15"/>
      <c r="Q549" s="15" t="b">
        <v>0</v>
      </c>
    </row>
    <row r="550" spans="1:17" ht="15" hidden="1" customHeight="1">
      <c r="A550" s="15">
        <v>3469</v>
      </c>
      <c r="B550" s="15">
        <v>549</v>
      </c>
      <c r="C550" s="15">
        <v>0</v>
      </c>
      <c r="D550" s="15">
        <v>196</v>
      </c>
      <c r="E550" s="15" t="b">
        <v>0</v>
      </c>
      <c r="F550" s="15" t="b">
        <v>0</v>
      </c>
      <c r="G550" s="33" t="s">
        <v>206</v>
      </c>
      <c r="H550" s="15" t="s">
        <v>1307</v>
      </c>
      <c r="I550" s="33" t="s">
        <v>208</v>
      </c>
      <c r="J550" s="15"/>
      <c r="K550" s="15"/>
      <c r="L550" s="120" t="s">
        <v>220</v>
      </c>
      <c r="M550" s="15" t="s">
        <v>1308</v>
      </c>
      <c r="N550" s="15" t="s">
        <v>1309</v>
      </c>
      <c r="O550" s="15"/>
      <c r="P550" s="15"/>
      <c r="Q550" s="15" t="b">
        <v>0</v>
      </c>
    </row>
    <row r="551" spans="1:17" ht="15" hidden="1" customHeight="1">
      <c r="A551" s="15">
        <v>3470</v>
      </c>
      <c r="B551" s="15">
        <v>550</v>
      </c>
      <c r="C551" s="15">
        <v>0</v>
      </c>
      <c r="D551" s="15">
        <v>196</v>
      </c>
      <c r="E551" s="15" t="b">
        <v>0</v>
      </c>
      <c r="F551" s="15" t="b">
        <v>0</v>
      </c>
      <c r="G551" s="33" t="s">
        <v>206</v>
      </c>
      <c r="H551" s="15" t="s">
        <v>1307</v>
      </c>
      <c r="I551" s="33" t="s">
        <v>213</v>
      </c>
      <c r="J551" s="15"/>
      <c r="K551" s="15"/>
      <c r="L551" s="120" t="s">
        <v>220</v>
      </c>
      <c r="M551" s="15" t="s">
        <v>1310</v>
      </c>
      <c r="N551" s="15" t="s">
        <v>1311</v>
      </c>
      <c r="O551" s="15"/>
      <c r="P551" s="15"/>
      <c r="Q551" s="15" t="b">
        <v>0</v>
      </c>
    </row>
    <row r="552" spans="1:17" ht="15" hidden="1" customHeight="1">
      <c r="A552" s="15">
        <v>3471</v>
      </c>
      <c r="B552" s="15">
        <v>551</v>
      </c>
      <c r="C552" s="15">
        <v>0</v>
      </c>
      <c r="D552" s="15">
        <v>196</v>
      </c>
      <c r="E552" s="15" t="b">
        <v>0</v>
      </c>
      <c r="F552" s="15" t="b">
        <v>0</v>
      </c>
      <c r="G552" s="33" t="s">
        <v>206</v>
      </c>
      <c r="H552" s="15" t="s">
        <v>1307</v>
      </c>
      <c r="I552" s="33" t="s">
        <v>216</v>
      </c>
      <c r="J552" s="15"/>
      <c r="K552" s="15"/>
      <c r="L552" s="120" t="s">
        <v>220</v>
      </c>
      <c r="M552" s="15" t="s">
        <v>1312</v>
      </c>
      <c r="N552" s="15" t="s">
        <v>1313</v>
      </c>
      <c r="O552" s="15"/>
      <c r="P552" s="15"/>
      <c r="Q552" s="15" t="b">
        <v>0</v>
      </c>
    </row>
    <row r="553" spans="1:17" ht="15" hidden="1" customHeight="1">
      <c r="A553" s="15">
        <v>3472</v>
      </c>
      <c r="B553" s="15">
        <v>552</v>
      </c>
      <c r="C553" s="15">
        <v>0</v>
      </c>
      <c r="D553" s="15">
        <v>196</v>
      </c>
      <c r="E553" s="15" t="b">
        <v>0</v>
      </c>
      <c r="F553" s="15" t="b">
        <v>0</v>
      </c>
      <c r="G553" s="33" t="s">
        <v>206</v>
      </c>
      <c r="H553" s="15" t="s">
        <v>1314</v>
      </c>
      <c r="I553" s="33" t="s">
        <v>208</v>
      </c>
      <c r="J553" s="15"/>
      <c r="K553" s="15"/>
      <c r="L553" s="120" t="s">
        <v>220</v>
      </c>
      <c r="M553" s="15" t="s">
        <v>1315</v>
      </c>
      <c r="N553" s="15" t="s">
        <v>1316</v>
      </c>
      <c r="O553" s="15"/>
      <c r="P553" s="15"/>
      <c r="Q553" s="15" t="b">
        <v>0</v>
      </c>
    </row>
    <row r="554" spans="1:17" ht="15" hidden="1" customHeight="1">
      <c r="A554" s="15">
        <v>3473</v>
      </c>
      <c r="B554" s="15">
        <v>553</v>
      </c>
      <c r="C554" s="15">
        <v>0</v>
      </c>
      <c r="D554" s="15">
        <v>196</v>
      </c>
      <c r="E554" s="15" t="b">
        <v>0</v>
      </c>
      <c r="F554" s="15" t="b">
        <v>0</v>
      </c>
      <c r="G554" s="33" t="s">
        <v>206</v>
      </c>
      <c r="H554" s="15" t="s">
        <v>1314</v>
      </c>
      <c r="I554" s="33" t="s">
        <v>213</v>
      </c>
      <c r="J554" s="15"/>
      <c r="K554" s="15"/>
      <c r="L554" s="120" t="s">
        <v>220</v>
      </c>
      <c r="M554" s="15" t="s">
        <v>1317</v>
      </c>
      <c r="N554" s="15" t="s">
        <v>1318</v>
      </c>
      <c r="O554" s="15"/>
      <c r="P554" s="15"/>
      <c r="Q554" s="15" t="b">
        <v>0</v>
      </c>
    </row>
    <row r="555" spans="1:17" ht="15" hidden="1" customHeight="1">
      <c r="A555" s="15">
        <v>3474</v>
      </c>
      <c r="B555" s="15">
        <v>554</v>
      </c>
      <c r="C555" s="15">
        <v>0</v>
      </c>
      <c r="D555" s="15">
        <v>196</v>
      </c>
      <c r="E555" s="15" t="b">
        <v>0</v>
      </c>
      <c r="F555" s="15" t="b">
        <v>0</v>
      </c>
      <c r="G555" s="33" t="s">
        <v>206</v>
      </c>
      <c r="H555" s="15" t="s">
        <v>1314</v>
      </c>
      <c r="I555" s="33" t="s">
        <v>216</v>
      </c>
      <c r="J555" s="15"/>
      <c r="K555" s="15"/>
      <c r="L555" s="120" t="s">
        <v>220</v>
      </c>
      <c r="M555" s="15" t="s">
        <v>1319</v>
      </c>
      <c r="N555" s="15" t="s">
        <v>1320</v>
      </c>
      <c r="O555" s="15"/>
      <c r="P555" s="15"/>
      <c r="Q555" s="15" t="b">
        <v>0</v>
      </c>
    </row>
    <row r="556" spans="1:17" ht="15" hidden="1" customHeight="1">
      <c r="A556" s="15">
        <v>3475</v>
      </c>
      <c r="B556" s="15">
        <v>555</v>
      </c>
      <c r="C556" s="15">
        <v>0</v>
      </c>
      <c r="D556" s="15">
        <v>196</v>
      </c>
      <c r="E556" s="15" t="b">
        <v>1</v>
      </c>
      <c r="F556" s="15" t="b">
        <v>0</v>
      </c>
      <c r="G556" s="33" t="s">
        <v>206</v>
      </c>
      <c r="H556" s="15" t="s">
        <v>1321</v>
      </c>
      <c r="I556" s="33" t="s">
        <v>208</v>
      </c>
      <c r="J556" s="15"/>
      <c r="K556" s="15"/>
      <c r="L556" s="120" t="s">
        <v>210</v>
      </c>
      <c r="M556" s="15" t="s">
        <v>1322</v>
      </c>
      <c r="N556" s="15" t="s">
        <v>1323</v>
      </c>
      <c r="O556" s="15"/>
      <c r="P556" s="15"/>
      <c r="Q556" s="15" t="b">
        <v>0</v>
      </c>
    </row>
    <row r="557" spans="1:17" ht="15" hidden="1" customHeight="1">
      <c r="A557" s="15">
        <v>3476</v>
      </c>
      <c r="B557" s="15">
        <v>556</v>
      </c>
      <c r="C557" s="15">
        <v>0</v>
      </c>
      <c r="D557" s="15">
        <v>196</v>
      </c>
      <c r="E557" s="15" t="b">
        <v>1</v>
      </c>
      <c r="F557" s="15" t="b">
        <v>0</v>
      </c>
      <c r="G557" s="33" t="s">
        <v>206</v>
      </c>
      <c r="H557" s="15" t="s">
        <v>1321</v>
      </c>
      <c r="I557" s="33" t="s">
        <v>213</v>
      </c>
      <c r="J557" s="15"/>
      <c r="K557" s="15"/>
      <c r="L557" s="120" t="s">
        <v>210</v>
      </c>
      <c r="M557" s="15" t="s">
        <v>1324</v>
      </c>
      <c r="N557" s="15" t="s">
        <v>1325</v>
      </c>
      <c r="O557" s="15"/>
      <c r="P557" s="15"/>
      <c r="Q557" s="15" t="b">
        <v>0</v>
      </c>
    </row>
    <row r="558" spans="1:17" ht="15" hidden="1" customHeight="1">
      <c r="A558" s="15">
        <v>3477</v>
      </c>
      <c r="B558" s="15">
        <v>557</v>
      </c>
      <c r="C558" s="15">
        <v>0</v>
      </c>
      <c r="D558" s="15">
        <v>196</v>
      </c>
      <c r="E558" s="15" t="b">
        <v>1</v>
      </c>
      <c r="F558" s="15" t="b">
        <v>0</v>
      </c>
      <c r="G558" s="33" t="s">
        <v>206</v>
      </c>
      <c r="H558" s="15" t="s">
        <v>1321</v>
      </c>
      <c r="I558" s="33" t="s">
        <v>216</v>
      </c>
      <c r="J558" s="15"/>
      <c r="K558" s="15"/>
      <c r="L558" s="120" t="s">
        <v>210</v>
      </c>
      <c r="M558" s="15" t="s">
        <v>1326</v>
      </c>
      <c r="N558" s="15" t="s">
        <v>1327</v>
      </c>
      <c r="O558" s="15"/>
      <c r="P558" s="15"/>
      <c r="Q558" s="15" t="b">
        <v>0</v>
      </c>
    </row>
    <row r="559" spans="1:17" ht="15" hidden="1" customHeight="1">
      <c r="A559" s="15">
        <v>3478</v>
      </c>
      <c r="B559" s="15">
        <v>558</v>
      </c>
      <c r="C559" s="15">
        <v>0</v>
      </c>
      <c r="D559" s="15">
        <v>196</v>
      </c>
      <c r="E559" s="15" t="b">
        <v>0</v>
      </c>
      <c r="F559" s="15" t="b">
        <v>0</v>
      </c>
      <c r="G559" s="33" t="s">
        <v>206</v>
      </c>
      <c r="H559" s="15" t="s">
        <v>1328</v>
      </c>
      <c r="I559" s="33" t="s">
        <v>208</v>
      </c>
      <c r="J559" s="15"/>
      <c r="K559" s="15"/>
      <c r="L559" s="120" t="s">
        <v>220</v>
      </c>
      <c r="M559" s="15" t="s">
        <v>1329</v>
      </c>
      <c r="N559" s="15" t="s">
        <v>1330</v>
      </c>
      <c r="O559" s="15"/>
      <c r="P559" s="15"/>
      <c r="Q559" s="15" t="b">
        <v>0</v>
      </c>
    </row>
    <row r="560" spans="1:17" ht="15" hidden="1" customHeight="1">
      <c r="A560" s="15">
        <v>3479</v>
      </c>
      <c r="B560" s="15">
        <v>559</v>
      </c>
      <c r="C560" s="15">
        <v>0</v>
      </c>
      <c r="D560" s="15">
        <v>196</v>
      </c>
      <c r="E560" s="15" t="b">
        <v>0</v>
      </c>
      <c r="F560" s="15" t="b">
        <v>0</v>
      </c>
      <c r="G560" s="33" t="s">
        <v>206</v>
      </c>
      <c r="H560" s="15" t="s">
        <v>1328</v>
      </c>
      <c r="I560" s="33" t="s">
        <v>213</v>
      </c>
      <c r="J560" s="15"/>
      <c r="K560" s="15"/>
      <c r="L560" s="120" t="s">
        <v>220</v>
      </c>
      <c r="M560" s="15" t="s">
        <v>1331</v>
      </c>
      <c r="N560" s="15" t="s">
        <v>1332</v>
      </c>
      <c r="O560" s="15"/>
      <c r="P560" s="15"/>
      <c r="Q560" s="15" t="b">
        <v>0</v>
      </c>
    </row>
    <row r="561" spans="1:17" ht="15" hidden="1" customHeight="1">
      <c r="A561" s="15">
        <v>3480</v>
      </c>
      <c r="B561" s="15">
        <v>560</v>
      </c>
      <c r="C561" s="15">
        <v>0</v>
      </c>
      <c r="D561" s="15">
        <v>196</v>
      </c>
      <c r="E561" s="15" t="b">
        <v>0</v>
      </c>
      <c r="F561" s="15" t="b">
        <v>0</v>
      </c>
      <c r="G561" s="33" t="s">
        <v>206</v>
      </c>
      <c r="H561" s="15" t="s">
        <v>1328</v>
      </c>
      <c r="I561" s="33" t="s">
        <v>216</v>
      </c>
      <c r="J561" s="15"/>
      <c r="K561" s="15"/>
      <c r="L561" s="120" t="s">
        <v>220</v>
      </c>
      <c r="M561" s="15" t="s">
        <v>1333</v>
      </c>
      <c r="N561" s="15" t="s">
        <v>1334</v>
      </c>
      <c r="O561" s="15"/>
      <c r="P561" s="15"/>
      <c r="Q561" s="15" t="b">
        <v>0</v>
      </c>
    </row>
    <row r="562" spans="1:17" ht="15" hidden="1" customHeight="1">
      <c r="A562" s="15">
        <v>3481</v>
      </c>
      <c r="B562" s="15">
        <v>561</v>
      </c>
      <c r="C562" s="15">
        <v>0</v>
      </c>
      <c r="D562" s="15">
        <v>196</v>
      </c>
      <c r="E562" s="15" t="b">
        <v>1</v>
      </c>
      <c r="F562" s="15" t="b">
        <v>0</v>
      </c>
      <c r="G562" s="33" t="s">
        <v>206</v>
      </c>
      <c r="H562" s="15" t="s">
        <v>1335</v>
      </c>
      <c r="I562" s="33" t="s">
        <v>208</v>
      </c>
      <c r="J562" s="15"/>
      <c r="K562" s="15"/>
      <c r="L562" s="120" t="s">
        <v>210</v>
      </c>
      <c r="M562" s="15" t="s">
        <v>1336</v>
      </c>
      <c r="N562" s="15" t="s">
        <v>1337</v>
      </c>
      <c r="O562" s="15"/>
      <c r="P562" s="15"/>
      <c r="Q562" s="15" t="b">
        <v>0</v>
      </c>
    </row>
    <row r="563" spans="1:17" ht="15" hidden="1" customHeight="1">
      <c r="A563" s="15">
        <v>3482</v>
      </c>
      <c r="B563" s="15">
        <v>562</v>
      </c>
      <c r="C563" s="15">
        <v>0</v>
      </c>
      <c r="D563" s="15">
        <v>196</v>
      </c>
      <c r="E563" s="15" t="b">
        <v>1</v>
      </c>
      <c r="F563" s="15" t="b">
        <v>0</v>
      </c>
      <c r="G563" s="33" t="s">
        <v>206</v>
      </c>
      <c r="H563" s="15" t="s">
        <v>1335</v>
      </c>
      <c r="I563" s="33" t="s">
        <v>272</v>
      </c>
      <c r="J563" s="15"/>
      <c r="K563" s="15"/>
      <c r="L563" s="120" t="s">
        <v>210</v>
      </c>
      <c r="M563" s="15" t="s">
        <v>1338</v>
      </c>
      <c r="N563" s="15" t="s">
        <v>1339</v>
      </c>
      <c r="O563" s="15"/>
      <c r="P563" s="15"/>
      <c r="Q563" s="15" t="b">
        <v>0</v>
      </c>
    </row>
    <row r="564" spans="1:17" ht="15" hidden="1" customHeight="1">
      <c r="A564" s="15">
        <v>3483</v>
      </c>
      <c r="B564" s="15">
        <v>563</v>
      </c>
      <c r="C564" s="15">
        <v>0</v>
      </c>
      <c r="D564" s="15">
        <v>196</v>
      </c>
      <c r="E564" s="15" t="b">
        <v>1</v>
      </c>
      <c r="F564" s="15" t="b">
        <v>0</v>
      </c>
      <c r="G564" s="33" t="s">
        <v>206</v>
      </c>
      <c r="H564" s="15" t="s">
        <v>1335</v>
      </c>
      <c r="I564" s="33" t="s">
        <v>216</v>
      </c>
      <c r="J564" s="15"/>
      <c r="K564" s="15"/>
      <c r="L564" s="120" t="s">
        <v>210</v>
      </c>
      <c r="M564" s="15" t="s">
        <v>1340</v>
      </c>
      <c r="N564" s="15" t="s">
        <v>1341</v>
      </c>
      <c r="O564" s="15"/>
      <c r="P564" s="15"/>
      <c r="Q564" s="15" t="b">
        <v>0</v>
      </c>
    </row>
    <row r="565" spans="1:17" ht="15" hidden="1" customHeight="1">
      <c r="A565" s="15">
        <v>3484</v>
      </c>
      <c r="B565" s="15">
        <v>564</v>
      </c>
      <c r="C565" s="15">
        <v>0</v>
      </c>
      <c r="D565" s="15">
        <v>196</v>
      </c>
      <c r="E565" s="15" t="b">
        <v>0</v>
      </c>
      <c r="F565" s="15" t="b">
        <v>0</v>
      </c>
      <c r="G565" s="33" t="s">
        <v>206</v>
      </c>
      <c r="H565" s="15" t="s">
        <v>1342</v>
      </c>
      <c r="I565" s="33" t="s">
        <v>208</v>
      </c>
      <c r="J565" s="15"/>
      <c r="K565" s="15"/>
      <c r="L565" s="120" t="s">
        <v>220</v>
      </c>
      <c r="M565" s="15" t="s">
        <v>1343</v>
      </c>
      <c r="N565" s="15" t="s">
        <v>1344</v>
      </c>
      <c r="O565" s="15"/>
      <c r="P565" s="15"/>
      <c r="Q565" s="15" t="b">
        <v>0</v>
      </c>
    </row>
    <row r="566" spans="1:17" ht="15" hidden="1" customHeight="1">
      <c r="A566" s="15">
        <v>3485</v>
      </c>
      <c r="B566" s="15">
        <v>565</v>
      </c>
      <c r="C566" s="15">
        <v>0</v>
      </c>
      <c r="D566" s="15">
        <v>196</v>
      </c>
      <c r="E566" s="15" t="b">
        <v>0</v>
      </c>
      <c r="F566" s="15" t="b">
        <v>0</v>
      </c>
      <c r="G566" s="33" t="s">
        <v>206</v>
      </c>
      <c r="H566" s="15" t="s">
        <v>1342</v>
      </c>
      <c r="I566" s="33" t="s">
        <v>504</v>
      </c>
      <c r="J566" s="15"/>
      <c r="K566" s="15"/>
      <c r="L566" s="120" t="s">
        <v>220</v>
      </c>
      <c r="M566" s="15" t="s">
        <v>1345</v>
      </c>
      <c r="N566" s="15" t="s">
        <v>1346</v>
      </c>
      <c r="O566" s="15"/>
      <c r="P566" s="15"/>
      <c r="Q566" s="15" t="b">
        <v>0</v>
      </c>
    </row>
    <row r="567" spans="1:17" ht="15" hidden="1" customHeight="1">
      <c r="A567" s="15">
        <v>3486</v>
      </c>
      <c r="B567" s="15">
        <v>566</v>
      </c>
      <c r="C567" s="15">
        <v>0</v>
      </c>
      <c r="D567" s="15">
        <v>196</v>
      </c>
      <c r="E567" s="15" t="b">
        <v>0</v>
      </c>
      <c r="F567" s="15" t="b">
        <v>0</v>
      </c>
      <c r="G567" s="33" t="s">
        <v>206</v>
      </c>
      <c r="H567" s="15" t="s">
        <v>1342</v>
      </c>
      <c r="I567" s="33" t="s">
        <v>216</v>
      </c>
      <c r="J567" s="15"/>
      <c r="K567" s="15"/>
      <c r="L567" s="120" t="s">
        <v>220</v>
      </c>
      <c r="M567" s="15" t="s">
        <v>1347</v>
      </c>
      <c r="N567" s="15" t="s">
        <v>1348</v>
      </c>
      <c r="O567" s="15"/>
      <c r="P567" s="15"/>
      <c r="Q567" s="15" t="b">
        <v>0</v>
      </c>
    </row>
    <row r="568" spans="1:17" ht="15" hidden="1" customHeight="1">
      <c r="A568" s="15">
        <v>3487</v>
      </c>
      <c r="B568" s="15">
        <v>567</v>
      </c>
      <c r="C568" s="15">
        <v>0</v>
      </c>
      <c r="D568" s="15">
        <v>196</v>
      </c>
      <c r="E568" s="15" t="b">
        <v>0</v>
      </c>
      <c r="F568" s="15" t="b">
        <v>0</v>
      </c>
      <c r="G568" s="33" t="s">
        <v>206</v>
      </c>
      <c r="H568" s="15" t="s">
        <v>1349</v>
      </c>
      <c r="I568" s="33" t="s">
        <v>208</v>
      </c>
      <c r="J568" s="15"/>
      <c r="K568" s="15"/>
      <c r="L568" s="120" t="s">
        <v>220</v>
      </c>
      <c r="M568" s="15" t="s">
        <v>1350</v>
      </c>
      <c r="N568" s="15" t="s">
        <v>1351</v>
      </c>
      <c r="O568" s="15"/>
      <c r="P568" s="15"/>
      <c r="Q568" s="15" t="b">
        <v>0</v>
      </c>
    </row>
    <row r="569" spans="1:17" ht="15" hidden="1" customHeight="1">
      <c r="A569" s="15">
        <v>3488</v>
      </c>
      <c r="B569" s="15">
        <v>568</v>
      </c>
      <c r="C569" s="15">
        <v>0</v>
      </c>
      <c r="D569" s="15">
        <v>196</v>
      </c>
      <c r="E569" s="15" t="b">
        <v>0</v>
      </c>
      <c r="F569" s="15" t="b">
        <v>0</v>
      </c>
      <c r="G569" s="33" t="s">
        <v>206</v>
      </c>
      <c r="H569" s="15" t="s">
        <v>1349</v>
      </c>
      <c r="I569" s="33" t="s">
        <v>504</v>
      </c>
      <c r="J569" s="15"/>
      <c r="K569" s="15"/>
      <c r="L569" s="120" t="s">
        <v>220</v>
      </c>
      <c r="M569" s="15" t="s">
        <v>1352</v>
      </c>
      <c r="N569" s="15" t="s">
        <v>1353</v>
      </c>
      <c r="O569" s="15"/>
      <c r="P569" s="15"/>
      <c r="Q569" s="15" t="b">
        <v>0</v>
      </c>
    </row>
    <row r="570" spans="1:17" ht="15" hidden="1" customHeight="1">
      <c r="A570" s="15">
        <v>3489</v>
      </c>
      <c r="B570" s="15">
        <v>569</v>
      </c>
      <c r="C570" s="15">
        <v>0</v>
      </c>
      <c r="D570" s="15">
        <v>196</v>
      </c>
      <c r="E570" s="15" t="b">
        <v>0</v>
      </c>
      <c r="F570" s="15" t="b">
        <v>0</v>
      </c>
      <c r="G570" s="33" t="s">
        <v>206</v>
      </c>
      <c r="H570" s="15" t="s">
        <v>1349</v>
      </c>
      <c r="I570" s="33" t="s">
        <v>216</v>
      </c>
      <c r="J570" s="15"/>
      <c r="K570" s="15"/>
      <c r="L570" s="120" t="s">
        <v>220</v>
      </c>
      <c r="M570" s="15" t="s">
        <v>1354</v>
      </c>
      <c r="N570" s="15" t="s">
        <v>1355</v>
      </c>
      <c r="O570" s="15"/>
      <c r="P570" s="15"/>
      <c r="Q570" s="15" t="b">
        <v>0</v>
      </c>
    </row>
    <row r="571" spans="1:17" ht="15" hidden="1" customHeight="1">
      <c r="A571" s="15">
        <v>3490</v>
      </c>
      <c r="B571" s="15">
        <v>570</v>
      </c>
      <c r="C571" s="15">
        <v>0</v>
      </c>
      <c r="D571" s="15">
        <v>196</v>
      </c>
      <c r="E571" s="15" t="b">
        <v>1</v>
      </c>
      <c r="F571" s="15" t="b">
        <v>0</v>
      </c>
      <c r="G571" s="33" t="s">
        <v>206</v>
      </c>
      <c r="H571" s="15" t="s">
        <v>1356</v>
      </c>
      <c r="I571" s="33" t="s">
        <v>208</v>
      </c>
      <c r="J571" s="15"/>
      <c r="K571" s="15"/>
      <c r="L571" s="120" t="s">
        <v>210</v>
      </c>
      <c r="M571" s="15" t="s">
        <v>1357</v>
      </c>
      <c r="N571" s="15" t="s">
        <v>1358</v>
      </c>
      <c r="O571" s="15"/>
      <c r="P571" s="15"/>
      <c r="Q571" s="15" t="b">
        <v>0</v>
      </c>
    </row>
    <row r="572" spans="1:17" ht="15" hidden="1" customHeight="1">
      <c r="A572" s="15">
        <v>3491</v>
      </c>
      <c r="B572" s="15">
        <v>571</v>
      </c>
      <c r="C572" s="15">
        <v>0</v>
      </c>
      <c r="D572" s="15">
        <v>196</v>
      </c>
      <c r="E572" s="15" t="b">
        <v>1</v>
      </c>
      <c r="F572" s="15" t="b">
        <v>0</v>
      </c>
      <c r="G572" s="33" t="s">
        <v>206</v>
      </c>
      <c r="H572" s="15" t="s">
        <v>1356</v>
      </c>
      <c r="I572" s="33" t="s">
        <v>272</v>
      </c>
      <c r="J572" s="15"/>
      <c r="K572" s="15"/>
      <c r="L572" s="120" t="s">
        <v>210</v>
      </c>
      <c r="M572" s="15" t="s">
        <v>1359</v>
      </c>
      <c r="N572" s="15" t="s">
        <v>1360</v>
      </c>
      <c r="O572" s="15"/>
      <c r="P572" s="15"/>
      <c r="Q572" s="15" t="b">
        <v>0</v>
      </c>
    </row>
    <row r="573" spans="1:17" ht="15" hidden="1" customHeight="1">
      <c r="A573" s="15">
        <v>3492</v>
      </c>
      <c r="B573" s="15">
        <v>572</v>
      </c>
      <c r="C573" s="15">
        <v>0</v>
      </c>
      <c r="D573" s="15">
        <v>196</v>
      </c>
      <c r="E573" s="15" t="b">
        <v>1</v>
      </c>
      <c r="F573" s="15" t="b">
        <v>0</v>
      </c>
      <c r="G573" s="33" t="s">
        <v>206</v>
      </c>
      <c r="H573" s="15" t="s">
        <v>1356</v>
      </c>
      <c r="I573" s="33" t="s">
        <v>216</v>
      </c>
      <c r="J573" s="15"/>
      <c r="K573" s="15"/>
      <c r="L573" s="120" t="s">
        <v>210</v>
      </c>
      <c r="M573" s="15" t="s">
        <v>1361</v>
      </c>
      <c r="N573" s="15" t="s">
        <v>1362</v>
      </c>
      <c r="O573" s="15"/>
      <c r="P573" s="15"/>
      <c r="Q573" s="15" t="b">
        <v>0</v>
      </c>
    </row>
    <row r="574" spans="1:17" ht="15" hidden="1" customHeight="1">
      <c r="A574" s="15">
        <v>3493</v>
      </c>
      <c r="B574" s="15">
        <v>573</v>
      </c>
      <c r="C574" s="15">
        <v>0</v>
      </c>
      <c r="D574" s="15">
        <v>196</v>
      </c>
      <c r="E574" s="15" t="b">
        <v>0</v>
      </c>
      <c r="F574" s="15" t="b">
        <v>0</v>
      </c>
      <c r="G574" s="33" t="s">
        <v>206</v>
      </c>
      <c r="H574" s="15" t="s">
        <v>1363</v>
      </c>
      <c r="I574" s="33" t="s">
        <v>208</v>
      </c>
      <c r="J574" s="15"/>
      <c r="K574" s="15"/>
      <c r="L574" s="120" t="s">
        <v>220</v>
      </c>
      <c r="M574" s="15" t="s">
        <v>1364</v>
      </c>
      <c r="N574" s="15" t="s">
        <v>1365</v>
      </c>
      <c r="O574" s="15"/>
      <c r="P574" s="15"/>
      <c r="Q574" s="15" t="b">
        <v>0</v>
      </c>
    </row>
    <row r="575" spans="1:17" ht="15" hidden="1" customHeight="1">
      <c r="A575" s="15">
        <v>3494</v>
      </c>
      <c r="B575" s="15">
        <v>574</v>
      </c>
      <c r="C575" s="15">
        <v>0</v>
      </c>
      <c r="D575" s="15">
        <v>196</v>
      </c>
      <c r="E575" s="15" t="b">
        <v>0</v>
      </c>
      <c r="F575" s="15" t="b">
        <v>0</v>
      </c>
      <c r="G575" s="33" t="s">
        <v>206</v>
      </c>
      <c r="H575" s="15" t="s">
        <v>1363</v>
      </c>
      <c r="I575" s="33" t="s">
        <v>504</v>
      </c>
      <c r="J575" s="15"/>
      <c r="K575" s="15"/>
      <c r="L575" s="120" t="s">
        <v>220</v>
      </c>
      <c r="M575" s="15" t="s">
        <v>1366</v>
      </c>
      <c r="N575" s="15" t="s">
        <v>1367</v>
      </c>
      <c r="O575" s="15"/>
      <c r="P575" s="15"/>
      <c r="Q575" s="15" t="b">
        <v>0</v>
      </c>
    </row>
    <row r="576" spans="1:17" ht="15" hidden="1" customHeight="1">
      <c r="A576" s="15">
        <v>3495</v>
      </c>
      <c r="B576" s="15">
        <v>575</v>
      </c>
      <c r="C576" s="15">
        <v>0</v>
      </c>
      <c r="D576" s="15">
        <v>196</v>
      </c>
      <c r="E576" s="15" t="b">
        <v>0</v>
      </c>
      <c r="F576" s="15" t="b">
        <v>0</v>
      </c>
      <c r="G576" s="33" t="s">
        <v>206</v>
      </c>
      <c r="H576" s="15" t="s">
        <v>1363</v>
      </c>
      <c r="I576" s="33" t="s">
        <v>216</v>
      </c>
      <c r="J576" s="15"/>
      <c r="K576" s="15"/>
      <c r="L576" s="120" t="s">
        <v>220</v>
      </c>
      <c r="M576" s="15" t="s">
        <v>1368</v>
      </c>
      <c r="N576" s="15" t="s">
        <v>1369</v>
      </c>
      <c r="O576" s="15"/>
      <c r="P576" s="15"/>
      <c r="Q576" s="15" t="b">
        <v>0</v>
      </c>
    </row>
    <row r="577" spans="1:17" ht="15" hidden="1" customHeight="1">
      <c r="A577" s="15">
        <v>3496</v>
      </c>
      <c r="B577" s="15">
        <v>576</v>
      </c>
      <c r="C577" s="15">
        <v>0</v>
      </c>
      <c r="D577" s="15">
        <v>196</v>
      </c>
      <c r="E577" s="15" t="b">
        <v>0</v>
      </c>
      <c r="F577" s="15" t="b">
        <v>0</v>
      </c>
      <c r="G577" s="33" t="s">
        <v>206</v>
      </c>
      <c r="H577" s="15" t="s">
        <v>1370</v>
      </c>
      <c r="I577" s="33" t="s">
        <v>208</v>
      </c>
      <c r="J577" s="15"/>
      <c r="K577" s="15"/>
      <c r="L577" s="120" t="s">
        <v>220</v>
      </c>
      <c r="M577" s="15" t="s">
        <v>1371</v>
      </c>
      <c r="N577" s="15" t="s">
        <v>1372</v>
      </c>
      <c r="O577" s="15"/>
      <c r="P577" s="15"/>
      <c r="Q577" s="15" t="b">
        <v>0</v>
      </c>
    </row>
    <row r="578" spans="1:17" ht="15" hidden="1" customHeight="1">
      <c r="A578" s="15">
        <v>3497</v>
      </c>
      <c r="B578" s="15">
        <v>577</v>
      </c>
      <c r="C578" s="15">
        <v>0</v>
      </c>
      <c r="D578" s="15">
        <v>196</v>
      </c>
      <c r="E578" s="15" t="b">
        <v>0</v>
      </c>
      <c r="F578" s="15" t="b">
        <v>0</v>
      </c>
      <c r="G578" s="33" t="s">
        <v>206</v>
      </c>
      <c r="H578" s="15" t="s">
        <v>1370</v>
      </c>
      <c r="I578" s="33" t="s">
        <v>504</v>
      </c>
      <c r="J578" s="15"/>
      <c r="K578" s="15"/>
      <c r="L578" s="120" t="s">
        <v>220</v>
      </c>
      <c r="M578" s="15" t="s">
        <v>1373</v>
      </c>
      <c r="N578" s="15" t="s">
        <v>1374</v>
      </c>
      <c r="O578" s="15"/>
      <c r="P578" s="15"/>
      <c r="Q578" s="15" t="b">
        <v>0</v>
      </c>
    </row>
    <row r="579" spans="1:17" ht="15" hidden="1" customHeight="1">
      <c r="A579" s="15">
        <v>3498</v>
      </c>
      <c r="B579" s="15">
        <v>578</v>
      </c>
      <c r="C579" s="15">
        <v>0</v>
      </c>
      <c r="D579" s="15">
        <v>196</v>
      </c>
      <c r="E579" s="15" t="b">
        <v>0</v>
      </c>
      <c r="F579" s="15" t="b">
        <v>0</v>
      </c>
      <c r="G579" s="33" t="s">
        <v>206</v>
      </c>
      <c r="H579" s="15" t="s">
        <v>1370</v>
      </c>
      <c r="I579" s="33" t="s">
        <v>216</v>
      </c>
      <c r="J579" s="15"/>
      <c r="K579" s="15"/>
      <c r="L579" s="120" t="s">
        <v>220</v>
      </c>
      <c r="M579" s="15" t="s">
        <v>1375</v>
      </c>
      <c r="N579" s="15" t="s">
        <v>1376</v>
      </c>
      <c r="O579" s="15"/>
      <c r="P579" s="15"/>
      <c r="Q579" s="15" t="b">
        <v>0</v>
      </c>
    </row>
    <row r="580" spans="1:17" ht="15" hidden="1" customHeight="1">
      <c r="A580" s="15">
        <v>3499</v>
      </c>
      <c r="B580" s="15">
        <v>579</v>
      </c>
      <c r="C580" s="15">
        <v>0</v>
      </c>
      <c r="D580" s="15">
        <v>196</v>
      </c>
      <c r="E580" s="15" t="b">
        <v>1</v>
      </c>
      <c r="F580" s="15" t="b">
        <v>0</v>
      </c>
      <c r="G580" s="33" t="s">
        <v>206</v>
      </c>
      <c r="H580" s="15" t="s">
        <v>1377</v>
      </c>
      <c r="I580" s="33" t="s">
        <v>208</v>
      </c>
      <c r="J580" s="15"/>
      <c r="K580" s="15"/>
      <c r="L580" s="120" t="s">
        <v>210</v>
      </c>
      <c r="M580" s="15" t="s">
        <v>1378</v>
      </c>
      <c r="N580" s="15" t="s">
        <v>1379</v>
      </c>
      <c r="O580" s="15"/>
      <c r="P580" s="15"/>
      <c r="Q580" s="15" t="b">
        <v>0</v>
      </c>
    </row>
    <row r="581" spans="1:17" ht="15" hidden="1" customHeight="1">
      <c r="A581" s="15">
        <v>3500</v>
      </c>
      <c r="B581" s="15">
        <v>580</v>
      </c>
      <c r="C581" s="15">
        <v>0</v>
      </c>
      <c r="D581" s="15">
        <v>196</v>
      </c>
      <c r="E581" s="15" t="b">
        <v>1</v>
      </c>
      <c r="F581" s="15" t="b">
        <v>0</v>
      </c>
      <c r="G581" s="33" t="s">
        <v>206</v>
      </c>
      <c r="H581" s="15" t="s">
        <v>1377</v>
      </c>
      <c r="I581" s="33" t="s">
        <v>272</v>
      </c>
      <c r="J581" s="15"/>
      <c r="K581" s="15"/>
      <c r="L581" s="120" t="s">
        <v>210</v>
      </c>
      <c r="M581" s="15" t="s">
        <v>1380</v>
      </c>
      <c r="N581" s="15" t="s">
        <v>1381</v>
      </c>
      <c r="O581" s="15"/>
      <c r="P581" s="15"/>
      <c r="Q581" s="15" t="b">
        <v>0</v>
      </c>
    </row>
    <row r="582" spans="1:17" ht="15" hidden="1" customHeight="1">
      <c r="A582" s="15">
        <v>3501</v>
      </c>
      <c r="B582" s="15">
        <v>581</v>
      </c>
      <c r="C582" s="15">
        <v>0</v>
      </c>
      <c r="D582" s="15">
        <v>196</v>
      </c>
      <c r="E582" s="15" t="b">
        <v>1</v>
      </c>
      <c r="F582" s="15" t="b">
        <v>0</v>
      </c>
      <c r="G582" s="33" t="s">
        <v>206</v>
      </c>
      <c r="H582" s="15" t="s">
        <v>1377</v>
      </c>
      <c r="I582" s="33" t="s">
        <v>216</v>
      </c>
      <c r="J582" s="15"/>
      <c r="K582" s="15"/>
      <c r="L582" s="120" t="s">
        <v>210</v>
      </c>
      <c r="M582" s="15" t="s">
        <v>1382</v>
      </c>
      <c r="N582" s="15" t="s">
        <v>1383</v>
      </c>
      <c r="O582" s="15"/>
      <c r="P582" s="15"/>
      <c r="Q582" s="15" t="b">
        <v>0</v>
      </c>
    </row>
    <row r="583" spans="1:17" ht="15" hidden="1" customHeight="1">
      <c r="A583" s="15">
        <v>3502</v>
      </c>
      <c r="B583" s="15">
        <v>582</v>
      </c>
      <c r="C583" s="15">
        <v>0</v>
      </c>
      <c r="D583" s="15">
        <v>196</v>
      </c>
      <c r="E583" s="15" t="b">
        <v>0</v>
      </c>
      <c r="F583" s="15" t="b">
        <v>0</v>
      </c>
      <c r="G583" s="33" t="s">
        <v>206</v>
      </c>
      <c r="H583" s="15" t="s">
        <v>1384</v>
      </c>
      <c r="I583" s="33" t="s">
        <v>208</v>
      </c>
      <c r="J583" s="15"/>
      <c r="K583" s="15"/>
      <c r="L583" s="120" t="s">
        <v>220</v>
      </c>
      <c r="M583" s="15" t="s">
        <v>1385</v>
      </c>
      <c r="N583" s="15" t="s">
        <v>1386</v>
      </c>
      <c r="O583" s="15"/>
      <c r="P583" s="15"/>
      <c r="Q583" s="15" t="b">
        <v>0</v>
      </c>
    </row>
    <row r="584" spans="1:17" ht="15" hidden="1" customHeight="1">
      <c r="A584" s="15">
        <v>3503</v>
      </c>
      <c r="B584" s="15">
        <v>583</v>
      </c>
      <c r="C584" s="15">
        <v>0</v>
      </c>
      <c r="D584" s="15">
        <v>196</v>
      </c>
      <c r="E584" s="15" t="b">
        <v>0</v>
      </c>
      <c r="F584" s="15" t="b">
        <v>0</v>
      </c>
      <c r="G584" s="33" t="s">
        <v>206</v>
      </c>
      <c r="H584" s="15" t="s">
        <v>1384</v>
      </c>
      <c r="I584" s="33" t="s">
        <v>504</v>
      </c>
      <c r="J584" s="15"/>
      <c r="K584" s="15"/>
      <c r="L584" s="120" t="s">
        <v>220</v>
      </c>
      <c r="M584" s="15" t="s">
        <v>1387</v>
      </c>
      <c r="N584" s="15" t="s">
        <v>1388</v>
      </c>
      <c r="O584" s="15"/>
      <c r="P584" s="15"/>
      <c r="Q584" s="15" t="b">
        <v>0</v>
      </c>
    </row>
    <row r="585" spans="1:17" ht="15" hidden="1" customHeight="1">
      <c r="A585" s="15">
        <v>3504</v>
      </c>
      <c r="B585" s="15">
        <v>584</v>
      </c>
      <c r="C585" s="15">
        <v>0</v>
      </c>
      <c r="D585" s="15">
        <v>196</v>
      </c>
      <c r="E585" s="15" t="b">
        <v>0</v>
      </c>
      <c r="F585" s="15" t="b">
        <v>0</v>
      </c>
      <c r="G585" s="33" t="s">
        <v>206</v>
      </c>
      <c r="H585" s="15" t="s">
        <v>1384</v>
      </c>
      <c r="I585" s="33" t="s">
        <v>216</v>
      </c>
      <c r="J585" s="15"/>
      <c r="K585" s="15"/>
      <c r="L585" s="120" t="s">
        <v>220</v>
      </c>
      <c r="M585" s="15" t="s">
        <v>1389</v>
      </c>
      <c r="N585" s="15" t="s">
        <v>1390</v>
      </c>
      <c r="O585" s="15"/>
      <c r="P585" s="15"/>
      <c r="Q585" s="15" t="b">
        <v>0</v>
      </c>
    </row>
    <row r="586" spans="1:17" ht="15" hidden="1" customHeight="1">
      <c r="A586" s="15">
        <v>3505</v>
      </c>
      <c r="B586" s="15">
        <v>585</v>
      </c>
      <c r="C586" s="15">
        <v>0</v>
      </c>
      <c r="D586" s="15">
        <v>196</v>
      </c>
      <c r="E586" s="15" t="b">
        <v>1</v>
      </c>
      <c r="F586" s="15" t="b">
        <v>0</v>
      </c>
      <c r="G586" s="33" t="s">
        <v>206</v>
      </c>
      <c r="H586" s="15" t="s">
        <v>1391</v>
      </c>
      <c r="I586" s="33" t="s">
        <v>208</v>
      </c>
      <c r="J586" s="15"/>
      <c r="K586" s="15"/>
      <c r="L586" s="120" t="s">
        <v>210</v>
      </c>
      <c r="M586" s="15" t="s">
        <v>1392</v>
      </c>
      <c r="N586" s="15" t="s">
        <v>1393</v>
      </c>
      <c r="O586" s="15"/>
      <c r="P586" s="15"/>
      <c r="Q586" s="15" t="b">
        <v>0</v>
      </c>
    </row>
    <row r="587" spans="1:17" ht="15" hidden="1" customHeight="1">
      <c r="A587" s="15">
        <v>3506</v>
      </c>
      <c r="B587" s="15">
        <v>586</v>
      </c>
      <c r="C587" s="15">
        <v>0</v>
      </c>
      <c r="D587" s="15">
        <v>196</v>
      </c>
      <c r="E587" s="15" t="b">
        <v>1</v>
      </c>
      <c r="F587" s="15" t="b">
        <v>0</v>
      </c>
      <c r="G587" s="33" t="s">
        <v>206</v>
      </c>
      <c r="H587" s="15" t="s">
        <v>1391</v>
      </c>
      <c r="I587" s="33" t="s">
        <v>213</v>
      </c>
      <c r="J587" s="15"/>
      <c r="K587" s="15"/>
      <c r="L587" s="120" t="s">
        <v>210</v>
      </c>
      <c r="M587" s="15" t="s">
        <v>1394</v>
      </c>
      <c r="N587" s="15" t="s">
        <v>1395</v>
      </c>
      <c r="O587" s="15"/>
      <c r="P587" s="15"/>
      <c r="Q587" s="15" t="b">
        <v>0</v>
      </c>
    </row>
    <row r="588" spans="1:17" ht="15" hidden="1" customHeight="1">
      <c r="A588" s="15">
        <v>3507</v>
      </c>
      <c r="B588" s="15">
        <v>587</v>
      </c>
      <c r="C588" s="15">
        <v>0</v>
      </c>
      <c r="D588" s="15">
        <v>196</v>
      </c>
      <c r="E588" s="15" t="b">
        <v>1</v>
      </c>
      <c r="F588" s="15" t="b">
        <v>0</v>
      </c>
      <c r="G588" s="33" t="s">
        <v>206</v>
      </c>
      <c r="H588" s="15" t="s">
        <v>1391</v>
      </c>
      <c r="I588" s="33" t="s">
        <v>216</v>
      </c>
      <c r="J588" s="15"/>
      <c r="K588" s="15"/>
      <c r="L588" s="120" t="s">
        <v>210</v>
      </c>
      <c r="M588" s="15" t="s">
        <v>1396</v>
      </c>
      <c r="N588" s="15" t="s">
        <v>1397</v>
      </c>
      <c r="O588" s="15"/>
      <c r="P588" s="15"/>
      <c r="Q588" s="15" t="b">
        <v>0</v>
      </c>
    </row>
    <row r="589" spans="1:17" ht="15" hidden="1" customHeight="1">
      <c r="A589" s="15">
        <v>3508</v>
      </c>
      <c r="B589" s="15">
        <v>588</v>
      </c>
      <c r="C589" s="15">
        <v>0</v>
      </c>
      <c r="D589" s="15">
        <v>196</v>
      </c>
      <c r="E589" s="15" t="b">
        <v>0</v>
      </c>
      <c r="F589" s="15" t="b">
        <v>0</v>
      </c>
      <c r="G589" s="33" t="s">
        <v>206</v>
      </c>
      <c r="H589" s="15" t="s">
        <v>1398</v>
      </c>
      <c r="I589" s="33" t="s">
        <v>208</v>
      </c>
      <c r="J589" s="15"/>
      <c r="K589" s="15"/>
      <c r="L589" s="120" t="s">
        <v>220</v>
      </c>
      <c r="M589" s="15" t="s">
        <v>1399</v>
      </c>
      <c r="N589" s="15" t="s">
        <v>1400</v>
      </c>
      <c r="O589" s="15"/>
      <c r="P589" s="15"/>
      <c r="Q589" s="15" t="b">
        <v>0</v>
      </c>
    </row>
    <row r="590" spans="1:17" ht="15" hidden="1" customHeight="1">
      <c r="A590" s="15">
        <v>3509</v>
      </c>
      <c r="B590" s="15">
        <v>589</v>
      </c>
      <c r="C590" s="15">
        <v>0</v>
      </c>
      <c r="D590" s="15">
        <v>196</v>
      </c>
      <c r="E590" s="15" t="b">
        <v>0</v>
      </c>
      <c r="F590" s="15" t="b">
        <v>0</v>
      </c>
      <c r="G590" s="33" t="s">
        <v>206</v>
      </c>
      <c r="H590" s="15" t="s">
        <v>1398</v>
      </c>
      <c r="I590" s="33" t="s">
        <v>213</v>
      </c>
      <c r="J590" s="15"/>
      <c r="K590" s="15"/>
      <c r="L590" s="120" t="s">
        <v>220</v>
      </c>
      <c r="M590" s="15" t="s">
        <v>1401</v>
      </c>
      <c r="N590" s="15" t="s">
        <v>1402</v>
      </c>
      <c r="O590" s="15"/>
      <c r="P590" s="15"/>
      <c r="Q590" s="15" t="b">
        <v>0</v>
      </c>
    </row>
    <row r="591" spans="1:17" ht="15" hidden="1" customHeight="1">
      <c r="A591" s="15">
        <v>3510</v>
      </c>
      <c r="B591" s="15">
        <v>590</v>
      </c>
      <c r="C591" s="15">
        <v>0</v>
      </c>
      <c r="D591" s="15">
        <v>196</v>
      </c>
      <c r="E591" s="15" t="b">
        <v>0</v>
      </c>
      <c r="F591" s="15" t="b">
        <v>0</v>
      </c>
      <c r="G591" s="33" t="s">
        <v>206</v>
      </c>
      <c r="H591" s="15" t="s">
        <v>1398</v>
      </c>
      <c r="I591" s="33" t="s">
        <v>216</v>
      </c>
      <c r="J591" s="15"/>
      <c r="K591" s="15"/>
      <c r="L591" s="120" t="s">
        <v>220</v>
      </c>
      <c r="M591" s="15" t="s">
        <v>1403</v>
      </c>
      <c r="N591" s="15" t="s">
        <v>1404</v>
      </c>
      <c r="O591" s="15"/>
      <c r="P591" s="15"/>
      <c r="Q591" s="15" t="b">
        <v>0</v>
      </c>
    </row>
    <row r="592" spans="1:17" ht="15" hidden="1" customHeight="1">
      <c r="A592" s="15">
        <v>3511</v>
      </c>
      <c r="B592" s="15">
        <v>591</v>
      </c>
      <c r="C592" s="15">
        <v>0</v>
      </c>
      <c r="D592" s="15">
        <v>196</v>
      </c>
      <c r="E592" s="15" t="b">
        <v>0</v>
      </c>
      <c r="F592" s="15" t="b">
        <v>0</v>
      </c>
      <c r="G592" s="33" t="s">
        <v>206</v>
      </c>
      <c r="H592" s="15" t="s">
        <v>1405</v>
      </c>
      <c r="I592" s="33" t="s">
        <v>208</v>
      </c>
      <c r="J592" s="15"/>
      <c r="K592" s="15"/>
      <c r="L592" s="120" t="s">
        <v>220</v>
      </c>
      <c r="M592" s="15" t="s">
        <v>1406</v>
      </c>
      <c r="N592" s="15" t="s">
        <v>1407</v>
      </c>
      <c r="O592" s="15"/>
      <c r="P592" s="15"/>
      <c r="Q592" s="15" t="b">
        <v>0</v>
      </c>
    </row>
    <row r="593" spans="1:17" ht="15" hidden="1" customHeight="1">
      <c r="A593" s="15">
        <v>3512</v>
      </c>
      <c r="B593" s="15">
        <v>592</v>
      </c>
      <c r="C593" s="15">
        <v>0</v>
      </c>
      <c r="D593" s="15">
        <v>196</v>
      </c>
      <c r="E593" s="15" t="b">
        <v>0</v>
      </c>
      <c r="F593" s="15" t="b">
        <v>0</v>
      </c>
      <c r="G593" s="33" t="s">
        <v>206</v>
      </c>
      <c r="H593" s="15" t="s">
        <v>1405</v>
      </c>
      <c r="I593" s="33" t="s">
        <v>213</v>
      </c>
      <c r="J593" s="15"/>
      <c r="K593" s="15"/>
      <c r="L593" s="120" t="s">
        <v>220</v>
      </c>
      <c r="M593" s="15" t="s">
        <v>1408</v>
      </c>
      <c r="N593" s="15" t="s">
        <v>1409</v>
      </c>
      <c r="O593" s="15"/>
      <c r="P593" s="15"/>
      <c r="Q593" s="15" t="b">
        <v>0</v>
      </c>
    </row>
    <row r="594" spans="1:17" ht="15" hidden="1" customHeight="1">
      <c r="A594" s="15">
        <v>3513</v>
      </c>
      <c r="B594" s="15">
        <v>593</v>
      </c>
      <c r="C594" s="15">
        <v>0</v>
      </c>
      <c r="D594" s="15">
        <v>196</v>
      </c>
      <c r="E594" s="15" t="b">
        <v>0</v>
      </c>
      <c r="F594" s="15" t="b">
        <v>0</v>
      </c>
      <c r="G594" s="33" t="s">
        <v>206</v>
      </c>
      <c r="H594" s="15" t="s">
        <v>1405</v>
      </c>
      <c r="I594" s="33" t="s">
        <v>216</v>
      </c>
      <c r="J594" s="15"/>
      <c r="K594" s="15"/>
      <c r="L594" s="120" t="s">
        <v>220</v>
      </c>
      <c r="M594" s="15" t="s">
        <v>1410</v>
      </c>
      <c r="N594" s="15" t="s">
        <v>1411</v>
      </c>
      <c r="O594" s="15"/>
      <c r="P594" s="15"/>
      <c r="Q594" s="15" t="b">
        <v>0</v>
      </c>
    </row>
    <row r="595" spans="1:17" ht="15" hidden="1" customHeight="1">
      <c r="A595" s="15">
        <v>3514</v>
      </c>
      <c r="B595" s="15">
        <v>594</v>
      </c>
      <c r="C595" s="15">
        <v>0</v>
      </c>
      <c r="D595" s="15">
        <v>196</v>
      </c>
      <c r="E595" s="15" t="b">
        <v>1</v>
      </c>
      <c r="F595" s="15" t="b">
        <v>0</v>
      </c>
      <c r="G595" s="33" t="s">
        <v>206</v>
      </c>
      <c r="H595" s="15" t="s">
        <v>1412</v>
      </c>
      <c r="I595" s="33" t="s">
        <v>208</v>
      </c>
      <c r="J595" s="15"/>
      <c r="K595" s="15"/>
      <c r="L595" s="120" t="s">
        <v>210</v>
      </c>
      <c r="M595" s="15" t="s">
        <v>1413</v>
      </c>
      <c r="N595" s="15" t="s">
        <v>1414</v>
      </c>
      <c r="O595" s="15"/>
      <c r="P595" s="15"/>
      <c r="Q595" s="15" t="b">
        <v>0</v>
      </c>
    </row>
    <row r="596" spans="1:17" ht="15" hidden="1" customHeight="1">
      <c r="A596" s="15">
        <v>3515</v>
      </c>
      <c r="B596" s="15">
        <v>595</v>
      </c>
      <c r="C596" s="15">
        <v>0</v>
      </c>
      <c r="D596" s="15">
        <v>196</v>
      </c>
      <c r="E596" s="15" t="b">
        <v>1</v>
      </c>
      <c r="F596" s="15" t="b">
        <v>0</v>
      </c>
      <c r="G596" s="33" t="s">
        <v>206</v>
      </c>
      <c r="H596" s="15" t="s">
        <v>1412</v>
      </c>
      <c r="I596" s="33" t="s">
        <v>213</v>
      </c>
      <c r="J596" s="15"/>
      <c r="K596" s="15"/>
      <c r="L596" s="120" t="s">
        <v>210</v>
      </c>
      <c r="M596" s="15" t="s">
        <v>1415</v>
      </c>
      <c r="N596" s="15" t="s">
        <v>1416</v>
      </c>
      <c r="O596" s="15"/>
      <c r="P596" s="15"/>
      <c r="Q596" s="15" t="b">
        <v>0</v>
      </c>
    </row>
    <row r="597" spans="1:17" ht="15" hidden="1" customHeight="1">
      <c r="A597" s="15">
        <v>3516</v>
      </c>
      <c r="B597" s="15">
        <v>596</v>
      </c>
      <c r="C597" s="15">
        <v>0</v>
      </c>
      <c r="D597" s="15">
        <v>196</v>
      </c>
      <c r="E597" s="15" t="b">
        <v>1</v>
      </c>
      <c r="F597" s="15" t="b">
        <v>0</v>
      </c>
      <c r="G597" s="33" t="s">
        <v>206</v>
      </c>
      <c r="H597" s="15" t="s">
        <v>1412</v>
      </c>
      <c r="I597" s="33" t="s">
        <v>216</v>
      </c>
      <c r="J597" s="15"/>
      <c r="K597" s="15"/>
      <c r="L597" s="120" t="s">
        <v>210</v>
      </c>
      <c r="M597" s="15" t="s">
        <v>1417</v>
      </c>
      <c r="N597" s="15" t="s">
        <v>1418</v>
      </c>
      <c r="O597" s="15"/>
      <c r="P597" s="15"/>
      <c r="Q597" s="15" t="b">
        <v>0</v>
      </c>
    </row>
    <row r="598" spans="1:17" ht="15" hidden="1" customHeight="1">
      <c r="A598" s="15">
        <v>3517</v>
      </c>
      <c r="B598" s="15">
        <v>597</v>
      </c>
      <c r="C598" s="15">
        <v>0</v>
      </c>
      <c r="D598" s="15">
        <v>196</v>
      </c>
      <c r="E598" s="15" t="b">
        <v>0</v>
      </c>
      <c r="F598" s="15" t="b">
        <v>0</v>
      </c>
      <c r="G598" s="33" t="s">
        <v>206</v>
      </c>
      <c r="H598" s="15" t="s">
        <v>1419</v>
      </c>
      <c r="I598" s="33" t="s">
        <v>208</v>
      </c>
      <c r="J598" s="15"/>
      <c r="K598" s="15"/>
      <c r="L598" s="120" t="s">
        <v>220</v>
      </c>
      <c r="M598" s="15" t="s">
        <v>1420</v>
      </c>
      <c r="N598" s="15" t="s">
        <v>1421</v>
      </c>
      <c r="O598" s="15"/>
      <c r="P598" s="15"/>
      <c r="Q598" s="15" t="b">
        <v>0</v>
      </c>
    </row>
    <row r="599" spans="1:17" ht="15" hidden="1" customHeight="1">
      <c r="A599" s="15">
        <v>3518</v>
      </c>
      <c r="B599" s="15">
        <v>598</v>
      </c>
      <c r="C599" s="15">
        <v>0</v>
      </c>
      <c r="D599" s="15">
        <v>196</v>
      </c>
      <c r="E599" s="15" t="b">
        <v>0</v>
      </c>
      <c r="F599" s="15" t="b">
        <v>0</v>
      </c>
      <c r="G599" s="33" t="s">
        <v>206</v>
      </c>
      <c r="H599" s="15" t="s">
        <v>1419</v>
      </c>
      <c r="I599" s="33" t="s">
        <v>213</v>
      </c>
      <c r="J599" s="15"/>
      <c r="K599" s="15"/>
      <c r="L599" s="120" t="s">
        <v>220</v>
      </c>
      <c r="M599" s="15" t="s">
        <v>1422</v>
      </c>
      <c r="N599" s="15" t="s">
        <v>1423</v>
      </c>
      <c r="O599" s="15"/>
      <c r="P599" s="15"/>
      <c r="Q599" s="15" t="b">
        <v>0</v>
      </c>
    </row>
    <row r="600" spans="1:17" ht="15" hidden="1" customHeight="1">
      <c r="A600" s="15">
        <v>3519</v>
      </c>
      <c r="B600" s="15">
        <v>599</v>
      </c>
      <c r="C600" s="15">
        <v>0</v>
      </c>
      <c r="D600" s="15">
        <v>196</v>
      </c>
      <c r="E600" s="15" t="b">
        <v>0</v>
      </c>
      <c r="F600" s="15" t="b">
        <v>0</v>
      </c>
      <c r="G600" s="33" t="s">
        <v>206</v>
      </c>
      <c r="H600" s="15" t="s">
        <v>1419</v>
      </c>
      <c r="I600" s="33" t="s">
        <v>216</v>
      </c>
      <c r="J600" s="15"/>
      <c r="K600" s="15"/>
      <c r="L600" s="120" t="s">
        <v>220</v>
      </c>
      <c r="M600" s="15" t="s">
        <v>1424</v>
      </c>
      <c r="N600" s="15" t="s">
        <v>1425</v>
      </c>
      <c r="O600" s="15"/>
      <c r="P600" s="15"/>
      <c r="Q600" s="15" t="b">
        <v>0</v>
      </c>
    </row>
    <row r="601" spans="1:17" ht="15" hidden="1" customHeight="1">
      <c r="A601" s="15">
        <v>3520</v>
      </c>
      <c r="B601" s="15">
        <v>600</v>
      </c>
      <c r="C601" s="15">
        <v>0</v>
      </c>
      <c r="D601" s="15">
        <v>196</v>
      </c>
      <c r="E601" s="15" t="b">
        <v>0</v>
      </c>
      <c r="F601" s="15" t="b">
        <v>0</v>
      </c>
      <c r="G601" s="33" t="s">
        <v>206</v>
      </c>
      <c r="H601" s="15" t="s">
        <v>1426</v>
      </c>
      <c r="I601" s="33" t="s">
        <v>208</v>
      </c>
      <c r="J601" s="15"/>
      <c r="K601" s="15"/>
      <c r="L601" s="120" t="s">
        <v>220</v>
      </c>
      <c r="M601" s="15" t="s">
        <v>1427</v>
      </c>
      <c r="N601" s="15" t="s">
        <v>1428</v>
      </c>
      <c r="O601" s="15"/>
      <c r="P601" s="15"/>
      <c r="Q601" s="15" t="b">
        <v>0</v>
      </c>
    </row>
    <row r="602" spans="1:17" ht="15" hidden="1" customHeight="1">
      <c r="A602" s="15">
        <v>3521</v>
      </c>
      <c r="B602" s="15">
        <v>601</v>
      </c>
      <c r="C602" s="15">
        <v>0</v>
      </c>
      <c r="D602" s="15">
        <v>196</v>
      </c>
      <c r="E602" s="15" t="b">
        <v>0</v>
      </c>
      <c r="F602" s="15" t="b">
        <v>0</v>
      </c>
      <c r="G602" s="33" t="s">
        <v>206</v>
      </c>
      <c r="H602" s="15" t="s">
        <v>1426</v>
      </c>
      <c r="I602" s="33" t="s">
        <v>213</v>
      </c>
      <c r="J602" s="15"/>
      <c r="K602" s="15"/>
      <c r="L602" s="120" t="s">
        <v>220</v>
      </c>
      <c r="M602" s="15" t="s">
        <v>1429</v>
      </c>
      <c r="N602" s="15" t="s">
        <v>1430</v>
      </c>
      <c r="O602" s="15"/>
      <c r="P602" s="15"/>
      <c r="Q602" s="15" t="b">
        <v>0</v>
      </c>
    </row>
    <row r="603" spans="1:17" ht="15" hidden="1" customHeight="1">
      <c r="A603" s="15">
        <v>3522</v>
      </c>
      <c r="B603" s="15">
        <v>602</v>
      </c>
      <c r="C603" s="15">
        <v>0</v>
      </c>
      <c r="D603" s="15">
        <v>196</v>
      </c>
      <c r="E603" s="15" t="b">
        <v>0</v>
      </c>
      <c r="F603" s="15" t="b">
        <v>0</v>
      </c>
      <c r="G603" s="33" t="s">
        <v>206</v>
      </c>
      <c r="H603" s="15" t="s">
        <v>1426</v>
      </c>
      <c r="I603" s="33" t="s">
        <v>216</v>
      </c>
      <c r="J603" s="15"/>
      <c r="K603" s="15"/>
      <c r="L603" s="120" t="s">
        <v>220</v>
      </c>
      <c r="M603" s="15" t="s">
        <v>1431</v>
      </c>
      <c r="N603" s="15" t="s">
        <v>1432</v>
      </c>
      <c r="O603" s="15"/>
      <c r="P603" s="15"/>
      <c r="Q603" s="15" t="b">
        <v>0</v>
      </c>
    </row>
    <row r="604" spans="1:17" ht="15" hidden="1" customHeight="1">
      <c r="A604" s="15">
        <v>3523</v>
      </c>
      <c r="B604" s="15">
        <v>603</v>
      </c>
      <c r="C604" s="15">
        <v>0</v>
      </c>
      <c r="D604" s="15">
        <v>196</v>
      </c>
      <c r="E604" s="15" t="b">
        <v>1</v>
      </c>
      <c r="F604" s="15" t="b">
        <v>0</v>
      </c>
      <c r="G604" s="33" t="s">
        <v>206</v>
      </c>
      <c r="H604" s="15" t="s">
        <v>1433</v>
      </c>
      <c r="I604" s="33" t="s">
        <v>208</v>
      </c>
      <c r="J604" s="15"/>
      <c r="K604" s="15"/>
      <c r="L604" s="120" t="s">
        <v>210</v>
      </c>
      <c r="M604" s="15" t="s">
        <v>1434</v>
      </c>
      <c r="N604" s="15" t="s">
        <v>1435</v>
      </c>
      <c r="O604" s="15"/>
      <c r="P604" s="15"/>
      <c r="Q604" s="15" t="b">
        <v>0</v>
      </c>
    </row>
    <row r="605" spans="1:17" ht="15" hidden="1" customHeight="1">
      <c r="A605" s="15">
        <v>3524</v>
      </c>
      <c r="B605" s="15">
        <v>604</v>
      </c>
      <c r="C605" s="15">
        <v>0</v>
      </c>
      <c r="D605" s="15">
        <v>196</v>
      </c>
      <c r="E605" s="15" t="b">
        <v>1</v>
      </c>
      <c r="F605" s="15" t="b">
        <v>0</v>
      </c>
      <c r="G605" s="33" t="s">
        <v>206</v>
      </c>
      <c r="H605" s="15" t="s">
        <v>1433</v>
      </c>
      <c r="I605" s="33" t="s">
        <v>213</v>
      </c>
      <c r="J605" s="15"/>
      <c r="K605" s="15"/>
      <c r="L605" s="120" t="s">
        <v>210</v>
      </c>
      <c r="M605" s="15" t="s">
        <v>1436</v>
      </c>
      <c r="N605" s="15" t="s">
        <v>1437</v>
      </c>
      <c r="O605" s="15"/>
      <c r="P605" s="15"/>
      <c r="Q605" s="15" t="b">
        <v>0</v>
      </c>
    </row>
    <row r="606" spans="1:17" ht="15" hidden="1" customHeight="1">
      <c r="A606" s="15">
        <v>3525</v>
      </c>
      <c r="B606" s="15">
        <v>605</v>
      </c>
      <c r="C606" s="15">
        <v>0</v>
      </c>
      <c r="D606" s="15">
        <v>196</v>
      </c>
      <c r="E606" s="15" t="b">
        <v>1</v>
      </c>
      <c r="F606" s="15" t="b">
        <v>0</v>
      </c>
      <c r="G606" s="33" t="s">
        <v>206</v>
      </c>
      <c r="H606" s="15" t="s">
        <v>1433</v>
      </c>
      <c r="I606" s="33" t="s">
        <v>216</v>
      </c>
      <c r="J606" s="15"/>
      <c r="K606" s="15"/>
      <c r="L606" s="120" t="s">
        <v>210</v>
      </c>
      <c r="M606" s="15" t="s">
        <v>1438</v>
      </c>
      <c r="N606" s="15" t="s">
        <v>1439</v>
      </c>
      <c r="O606" s="15"/>
      <c r="P606" s="15"/>
      <c r="Q606" s="15" t="b">
        <v>0</v>
      </c>
    </row>
    <row r="607" spans="1:17" ht="15" hidden="1" customHeight="1">
      <c r="A607" s="15">
        <v>3526</v>
      </c>
      <c r="B607" s="15">
        <v>606</v>
      </c>
      <c r="C607" s="15">
        <v>0</v>
      </c>
      <c r="D607" s="15">
        <v>196</v>
      </c>
      <c r="E607" s="15" t="b">
        <v>0</v>
      </c>
      <c r="F607" s="15" t="b">
        <v>0</v>
      </c>
      <c r="G607" s="33" t="s">
        <v>206</v>
      </c>
      <c r="H607" s="15" t="s">
        <v>1440</v>
      </c>
      <c r="I607" s="33" t="s">
        <v>208</v>
      </c>
      <c r="J607" s="15"/>
      <c r="K607" s="15"/>
      <c r="L607" s="120" t="s">
        <v>220</v>
      </c>
      <c r="M607" s="15" t="s">
        <v>1441</v>
      </c>
      <c r="N607" s="15" t="s">
        <v>1442</v>
      </c>
      <c r="O607" s="15"/>
      <c r="P607" s="15"/>
      <c r="Q607" s="15" t="b">
        <v>0</v>
      </c>
    </row>
    <row r="608" spans="1:17" ht="15" hidden="1" customHeight="1">
      <c r="A608" s="15">
        <v>3527</v>
      </c>
      <c r="B608" s="15">
        <v>607</v>
      </c>
      <c r="C608" s="15">
        <v>0</v>
      </c>
      <c r="D608" s="15">
        <v>196</v>
      </c>
      <c r="E608" s="15" t="b">
        <v>0</v>
      </c>
      <c r="F608" s="15" t="b">
        <v>0</v>
      </c>
      <c r="G608" s="33" t="s">
        <v>206</v>
      </c>
      <c r="H608" s="15" t="s">
        <v>1440</v>
      </c>
      <c r="I608" s="33" t="s">
        <v>213</v>
      </c>
      <c r="J608" s="15"/>
      <c r="K608" s="15"/>
      <c r="L608" s="120" t="s">
        <v>220</v>
      </c>
      <c r="M608" s="15" t="s">
        <v>1443</v>
      </c>
      <c r="N608" s="15" t="s">
        <v>1444</v>
      </c>
      <c r="O608" s="15"/>
      <c r="P608" s="15"/>
      <c r="Q608" s="15" t="b">
        <v>0</v>
      </c>
    </row>
    <row r="609" spans="1:17" ht="15" hidden="1" customHeight="1">
      <c r="A609" s="15">
        <v>3528</v>
      </c>
      <c r="B609" s="15">
        <v>608</v>
      </c>
      <c r="C609" s="15">
        <v>0</v>
      </c>
      <c r="D609" s="15">
        <v>196</v>
      </c>
      <c r="E609" s="15" t="b">
        <v>0</v>
      </c>
      <c r="F609" s="15" t="b">
        <v>0</v>
      </c>
      <c r="G609" s="33" t="s">
        <v>206</v>
      </c>
      <c r="H609" s="15" t="s">
        <v>1440</v>
      </c>
      <c r="I609" s="33" t="s">
        <v>216</v>
      </c>
      <c r="J609" s="15"/>
      <c r="K609" s="15"/>
      <c r="L609" s="120" t="s">
        <v>220</v>
      </c>
      <c r="M609" s="15" t="s">
        <v>1445</v>
      </c>
      <c r="N609" s="15" t="s">
        <v>1446</v>
      </c>
      <c r="O609" s="15"/>
      <c r="P609" s="15"/>
      <c r="Q609" s="15" t="b">
        <v>0</v>
      </c>
    </row>
    <row r="610" spans="1:17" ht="15" hidden="1" customHeight="1">
      <c r="A610" s="15">
        <v>3529</v>
      </c>
      <c r="B610" s="15">
        <v>609</v>
      </c>
      <c r="C610" s="15">
        <v>0</v>
      </c>
      <c r="D610" s="15">
        <v>196</v>
      </c>
      <c r="E610" s="15" t="b">
        <v>1</v>
      </c>
      <c r="F610" s="15" t="b">
        <v>0</v>
      </c>
      <c r="G610" s="33" t="s">
        <v>206</v>
      </c>
      <c r="H610" s="15" t="s">
        <v>1447</v>
      </c>
      <c r="I610" s="33" t="s">
        <v>208</v>
      </c>
      <c r="J610" s="15"/>
      <c r="K610" s="15"/>
      <c r="L610" s="120" t="s">
        <v>210</v>
      </c>
      <c r="M610" s="15" t="s">
        <v>1448</v>
      </c>
      <c r="N610" s="15" t="s">
        <v>1449</v>
      </c>
      <c r="O610" s="15"/>
      <c r="P610" s="15"/>
      <c r="Q610" s="15" t="b">
        <v>0</v>
      </c>
    </row>
    <row r="611" spans="1:17" ht="15" hidden="1" customHeight="1">
      <c r="A611" s="15">
        <v>3530</v>
      </c>
      <c r="B611" s="15">
        <v>610</v>
      </c>
      <c r="C611" s="15">
        <v>0</v>
      </c>
      <c r="D611" s="15">
        <v>196</v>
      </c>
      <c r="E611" s="15" t="b">
        <v>1</v>
      </c>
      <c r="F611" s="15" t="b">
        <v>0</v>
      </c>
      <c r="G611" s="33" t="s">
        <v>206</v>
      </c>
      <c r="H611" s="15" t="s">
        <v>1447</v>
      </c>
      <c r="I611" s="33" t="s">
        <v>213</v>
      </c>
      <c r="J611" s="15"/>
      <c r="K611" s="15"/>
      <c r="L611" s="120" t="s">
        <v>210</v>
      </c>
      <c r="M611" s="15" t="s">
        <v>1450</v>
      </c>
      <c r="N611" s="15" t="s">
        <v>1451</v>
      </c>
      <c r="O611" s="15"/>
      <c r="P611" s="15"/>
      <c r="Q611" s="15" t="b">
        <v>0</v>
      </c>
    </row>
    <row r="612" spans="1:17" ht="15" hidden="1" customHeight="1">
      <c r="A612" s="15">
        <v>3531</v>
      </c>
      <c r="B612" s="15">
        <v>611</v>
      </c>
      <c r="C612" s="15">
        <v>0</v>
      </c>
      <c r="D612" s="15">
        <v>196</v>
      </c>
      <c r="E612" s="15" t="b">
        <v>1</v>
      </c>
      <c r="F612" s="15" t="b">
        <v>0</v>
      </c>
      <c r="G612" s="33" t="s">
        <v>206</v>
      </c>
      <c r="H612" s="15" t="s">
        <v>1447</v>
      </c>
      <c r="I612" s="33" t="s">
        <v>216</v>
      </c>
      <c r="J612" s="15"/>
      <c r="K612" s="15"/>
      <c r="L612" s="120" t="s">
        <v>210</v>
      </c>
      <c r="M612" s="15" t="s">
        <v>1452</v>
      </c>
      <c r="N612" s="15" t="s">
        <v>1453</v>
      </c>
      <c r="O612" s="15"/>
      <c r="P612" s="15"/>
      <c r="Q612" s="15" t="b">
        <v>0</v>
      </c>
    </row>
    <row r="613" spans="1:17" ht="15" hidden="1" customHeight="1">
      <c r="A613" s="15">
        <v>3532</v>
      </c>
      <c r="B613" s="15">
        <v>612</v>
      </c>
      <c r="C613" s="15">
        <v>0</v>
      </c>
      <c r="D613" s="15">
        <v>196</v>
      </c>
      <c r="E613" s="15" t="b">
        <v>0</v>
      </c>
      <c r="F613" s="15" t="b">
        <v>0</v>
      </c>
      <c r="G613" s="33" t="s">
        <v>206</v>
      </c>
      <c r="H613" s="15" t="s">
        <v>1454</v>
      </c>
      <c r="I613" s="33" t="s">
        <v>208</v>
      </c>
      <c r="J613" s="15"/>
      <c r="K613" s="15"/>
      <c r="L613" s="120" t="s">
        <v>220</v>
      </c>
      <c r="M613" s="15" t="s">
        <v>1455</v>
      </c>
      <c r="N613" s="15" t="s">
        <v>1456</v>
      </c>
      <c r="O613" s="15"/>
      <c r="P613" s="15"/>
      <c r="Q613" s="15" t="b">
        <v>0</v>
      </c>
    </row>
    <row r="614" spans="1:17" ht="15" hidden="1" customHeight="1">
      <c r="A614" s="15">
        <v>3533</v>
      </c>
      <c r="B614" s="15">
        <v>613</v>
      </c>
      <c r="C614" s="15">
        <v>0</v>
      </c>
      <c r="D614" s="15">
        <v>196</v>
      </c>
      <c r="E614" s="15" t="b">
        <v>0</v>
      </c>
      <c r="F614" s="15" t="b">
        <v>0</v>
      </c>
      <c r="G614" s="33" t="s">
        <v>206</v>
      </c>
      <c r="H614" s="15" t="s">
        <v>1454</v>
      </c>
      <c r="I614" s="33" t="s">
        <v>213</v>
      </c>
      <c r="J614" s="15"/>
      <c r="K614" s="15"/>
      <c r="L614" s="120" t="s">
        <v>220</v>
      </c>
      <c r="M614" s="15" t="s">
        <v>1457</v>
      </c>
      <c r="N614" s="15" t="s">
        <v>1458</v>
      </c>
      <c r="O614" s="15"/>
      <c r="P614" s="15"/>
      <c r="Q614" s="15" t="b">
        <v>0</v>
      </c>
    </row>
    <row r="615" spans="1:17" ht="15" hidden="1" customHeight="1">
      <c r="A615" s="15">
        <v>3534</v>
      </c>
      <c r="B615" s="15">
        <v>614</v>
      </c>
      <c r="C615" s="15">
        <v>0</v>
      </c>
      <c r="D615" s="15">
        <v>196</v>
      </c>
      <c r="E615" s="15" t="b">
        <v>0</v>
      </c>
      <c r="F615" s="15" t="b">
        <v>0</v>
      </c>
      <c r="G615" s="33" t="s">
        <v>206</v>
      </c>
      <c r="H615" s="15" t="s">
        <v>1454</v>
      </c>
      <c r="I615" s="33" t="s">
        <v>216</v>
      </c>
      <c r="J615" s="15"/>
      <c r="K615" s="15"/>
      <c r="L615" s="120" t="s">
        <v>220</v>
      </c>
      <c r="M615" s="15" t="s">
        <v>1459</v>
      </c>
      <c r="N615" s="15" t="s">
        <v>1460</v>
      </c>
      <c r="O615" s="15"/>
      <c r="P615" s="15"/>
      <c r="Q615" s="15" t="b">
        <v>0</v>
      </c>
    </row>
    <row r="616" spans="1:17" ht="15" hidden="1" customHeight="1">
      <c r="A616" s="15">
        <v>3535</v>
      </c>
      <c r="B616" s="15">
        <v>615</v>
      </c>
      <c r="C616" s="15">
        <v>0</v>
      </c>
      <c r="D616" s="15">
        <v>196</v>
      </c>
      <c r="E616" s="15" t="b">
        <v>0</v>
      </c>
      <c r="F616" s="15" t="b">
        <v>0</v>
      </c>
      <c r="G616" s="33" t="s">
        <v>206</v>
      </c>
      <c r="H616" s="15" t="s">
        <v>1461</v>
      </c>
      <c r="I616" s="33" t="s">
        <v>208</v>
      </c>
      <c r="J616" s="15"/>
      <c r="K616" s="15"/>
      <c r="L616" s="120" t="s">
        <v>220</v>
      </c>
      <c r="M616" s="15" t="s">
        <v>1462</v>
      </c>
      <c r="N616" s="15" t="s">
        <v>1463</v>
      </c>
      <c r="O616" s="15"/>
      <c r="P616" s="15"/>
      <c r="Q616" s="15" t="b">
        <v>0</v>
      </c>
    </row>
    <row r="617" spans="1:17" ht="15" hidden="1" customHeight="1">
      <c r="A617" s="15">
        <v>3536</v>
      </c>
      <c r="B617" s="15">
        <v>616</v>
      </c>
      <c r="C617" s="15">
        <v>0</v>
      </c>
      <c r="D617" s="15">
        <v>196</v>
      </c>
      <c r="E617" s="15" t="b">
        <v>0</v>
      </c>
      <c r="F617" s="15" t="b">
        <v>0</v>
      </c>
      <c r="G617" s="33" t="s">
        <v>206</v>
      </c>
      <c r="H617" s="15" t="s">
        <v>1461</v>
      </c>
      <c r="I617" s="33" t="s">
        <v>213</v>
      </c>
      <c r="J617" s="15"/>
      <c r="K617" s="15"/>
      <c r="L617" s="120" t="s">
        <v>220</v>
      </c>
      <c r="M617" s="15" t="s">
        <v>1464</v>
      </c>
      <c r="N617" s="15" t="s">
        <v>1465</v>
      </c>
      <c r="O617" s="15"/>
      <c r="P617" s="15"/>
      <c r="Q617" s="15" t="b">
        <v>0</v>
      </c>
    </row>
    <row r="618" spans="1:17" ht="15" hidden="1" customHeight="1">
      <c r="A618" s="15">
        <v>3537</v>
      </c>
      <c r="B618" s="15">
        <v>617</v>
      </c>
      <c r="C618" s="15">
        <v>0</v>
      </c>
      <c r="D618" s="15">
        <v>196</v>
      </c>
      <c r="E618" s="15" t="b">
        <v>0</v>
      </c>
      <c r="F618" s="15" t="b">
        <v>0</v>
      </c>
      <c r="G618" s="33" t="s">
        <v>206</v>
      </c>
      <c r="H618" s="15" t="s">
        <v>1461</v>
      </c>
      <c r="I618" s="33" t="s">
        <v>216</v>
      </c>
      <c r="J618" s="15"/>
      <c r="K618" s="15"/>
      <c r="L618" s="120" t="s">
        <v>220</v>
      </c>
      <c r="M618" s="15" t="s">
        <v>1466</v>
      </c>
      <c r="N618" s="15" t="s">
        <v>1467</v>
      </c>
      <c r="O618" s="15"/>
      <c r="P618" s="15"/>
      <c r="Q618" s="15" t="b">
        <v>0</v>
      </c>
    </row>
    <row r="619" spans="1:17" ht="15" hidden="1" customHeight="1">
      <c r="A619" s="15">
        <v>3538</v>
      </c>
      <c r="B619" s="15">
        <v>618</v>
      </c>
      <c r="C619" s="15">
        <v>0</v>
      </c>
      <c r="D619" s="15">
        <v>196</v>
      </c>
      <c r="E619" s="15" t="b">
        <v>1</v>
      </c>
      <c r="F619" s="15" t="b">
        <v>0</v>
      </c>
      <c r="G619" s="33" t="s">
        <v>206</v>
      </c>
      <c r="H619" s="15" t="s">
        <v>1468</v>
      </c>
      <c r="I619" s="33" t="s">
        <v>208</v>
      </c>
      <c r="J619" s="15"/>
      <c r="K619" s="15"/>
      <c r="L619" s="120" t="s">
        <v>210</v>
      </c>
      <c r="M619" s="15" t="s">
        <v>1469</v>
      </c>
      <c r="N619" s="15" t="s">
        <v>1470</v>
      </c>
      <c r="O619" s="15"/>
      <c r="P619" s="15"/>
      <c r="Q619" s="15" t="b">
        <v>0</v>
      </c>
    </row>
    <row r="620" spans="1:17" ht="15" hidden="1" customHeight="1">
      <c r="A620" s="15">
        <v>3539</v>
      </c>
      <c r="B620" s="15">
        <v>619</v>
      </c>
      <c r="C620" s="15">
        <v>0</v>
      </c>
      <c r="D620" s="15">
        <v>196</v>
      </c>
      <c r="E620" s="15" t="b">
        <v>1</v>
      </c>
      <c r="F620" s="15" t="b">
        <v>0</v>
      </c>
      <c r="G620" s="33" t="s">
        <v>206</v>
      </c>
      <c r="H620" s="15" t="s">
        <v>1468</v>
      </c>
      <c r="I620" s="33" t="s">
        <v>213</v>
      </c>
      <c r="J620" s="15"/>
      <c r="K620" s="15"/>
      <c r="L620" s="120" t="s">
        <v>210</v>
      </c>
      <c r="M620" s="15" t="s">
        <v>1471</v>
      </c>
      <c r="N620" s="15" t="s">
        <v>1472</v>
      </c>
      <c r="O620" s="15"/>
      <c r="P620" s="15"/>
      <c r="Q620" s="15" t="b">
        <v>0</v>
      </c>
    </row>
    <row r="621" spans="1:17" ht="15" hidden="1" customHeight="1">
      <c r="A621" s="15">
        <v>3540</v>
      </c>
      <c r="B621" s="15">
        <v>620</v>
      </c>
      <c r="C621" s="15">
        <v>0</v>
      </c>
      <c r="D621" s="15">
        <v>196</v>
      </c>
      <c r="E621" s="15" t="b">
        <v>1</v>
      </c>
      <c r="F621" s="15" t="b">
        <v>0</v>
      </c>
      <c r="G621" s="33" t="s">
        <v>206</v>
      </c>
      <c r="H621" s="15" t="s">
        <v>1468</v>
      </c>
      <c r="I621" s="33" t="s">
        <v>216</v>
      </c>
      <c r="J621" s="15"/>
      <c r="K621" s="15"/>
      <c r="L621" s="120" t="s">
        <v>210</v>
      </c>
      <c r="M621" s="15" t="s">
        <v>1473</v>
      </c>
      <c r="N621" s="15" t="s">
        <v>1474</v>
      </c>
      <c r="O621" s="15"/>
      <c r="P621" s="15"/>
      <c r="Q621" s="15" t="b">
        <v>0</v>
      </c>
    </row>
    <row r="622" spans="1:17" ht="15" hidden="1" customHeight="1">
      <c r="A622" s="15">
        <v>3541</v>
      </c>
      <c r="B622" s="15">
        <v>621</v>
      </c>
      <c r="C622" s="15">
        <v>0</v>
      </c>
      <c r="D622" s="15">
        <v>196</v>
      </c>
      <c r="E622" s="15" t="b">
        <v>0</v>
      </c>
      <c r="F622" s="15" t="b">
        <v>0</v>
      </c>
      <c r="G622" s="33" t="s">
        <v>206</v>
      </c>
      <c r="H622" s="15" t="s">
        <v>1475</v>
      </c>
      <c r="I622" s="33" t="s">
        <v>208</v>
      </c>
      <c r="J622" s="15"/>
      <c r="K622" s="15"/>
      <c r="L622" s="120" t="s">
        <v>220</v>
      </c>
      <c r="M622" s="15" t="s">
        <v>1476</v>
      </c>
      <c r="N622" s="15" t="s">
        <v>1477</v>
      </c>
      <c r="O622" s="15"/>
      <c r="P622" s="15"/>
      <c r="Q622" s="15" t="b">
        <v>0</v>
      </c>
    </row>
    <row r="623" spans="1:17" ht="15" hidden="1" customHeight="1">
      <c r="A623" s="15">
        <v>3542</v>
      </c>
      <c r="B623" s="15">
        <v>622</v>
      </c>
      <c r="C623" s="15">
        <v>0</v>
      </c>
      <c r="D623" s="15">
        <v>196</v>
      </c>
      <c r="E623" s="15" t="b">
        <v>0</v>
      </c>
      <c r="F623" s="15" t="b">
        <v>0</v>
      </c>
      <c r="G623" s="33" t="s">
        <v>206</v>
      </c>
      <c r="H623" s="15" t="s">
        <v>1475</v>
      </c>
      <c r="I623" s="33" t="s">
        <v>213</v>
      </c>
      <c r="J623" s="15"/>
      <c r="K623" s="15"/>
      <c r="L623" s="120" t="s">
        <v>220</v>
      </c>
      <c r="M623" s="15" t="s">
        <v>1478</v>
      </c>
      <c r="N623" s="15" t="s">
        <v>1479</v>
      </c>
      <c r="O623" s="15"/>
      <c r="P623" s="15"/>
      <c r="Q623" s="15" t="b">
        <v>0</v>
      </c>
    </row>
    <row r="624" spans="1:17" ht="15" hidden="1" customHeight="1">
      <c r="A624" s="15">
        <v>3543</v>
      </c>
      <c r="B624" s="15">
        <v>623</v>
      </c>
      <c r="C624" s="15">
        <v>0</v>
      </c>
      <c r="D624" s="15">
        <v>196</v>
      </c>
      <c r="E624" s="15" t="b">
        <v>0</v>
      </c>
      <c r="F624" s="15" t="b">
        <v>0</v>
      </c>
      <c r="G624" s="33" t="s">
        <v>206</v>
      </c>
      <c r="H624" s="15" t="s">
        <v>1475</v>
      </c>
      <c r="I624" s="33" t="s">
        <v>216</v>
      </c>
      <c r="J624" s="15"/>
      <c r="K624" s="15"/>
      <c r="L624" s="120" t="s">
        <v>220</v>
      </c>
      <c r="M624" s="15" t="s">
        <v>1480</v>
      </c>
      <c r="N624" s="15" t="s">
        <v>1481</v>
      </c>
      <c r="O624" s="15"/>
      <c r="P624" s="15"/>
      <c r="Q624" s="15" t="b">
        <v>0</v>
      </c>
    </row>
    <row r="625" spans="1:17" ht="15" hidden="1" customHeight="1">
      <c r="A625" s="15">
        <v>3544</v>
      </c>
      <c r="B625" s="15">
        <v>624</v>
      </c>
      <c r="C625" s="15">
        <v>0</v>
      </c>
      <c r="D625" s="15">
        <v>196</v>
      </c>
      <c r="E625" s="15" t="b">
        <v>0</v>
      </c>
      <c r="F625" s="15" t="b">
        <v>0</v>
      </c>
      <c r="G625" s="33" t="s">
        <v>206</v>
      </c>
      <c r="H625" s="15" t="s">
        <v>1482</v>
      </c>
      <c r="I625" s="33" t="s">
        <v>208</v>
      </c>
      <c r="J625" s="15"/>
      <c r="K625" s="15"/>
      <c r="L625" s="120" t="s">
        <v>220</v>
      </c>
      <c r="M625" s="15" t="s">
        <v>1483</v>
      </c>
      <c r="N625" s="15" t="s">
        <v>1484</v>
      </c>
      <c r="O625" s="15"/>
      <c r="P625" s="15"/>
      <c r="Q625" s="15" t="b">
        <v>0</v>
      </c>
    </row>
    <row r="626" spans="1:17" ht="15" hidden="1" customHeight="1">
      <c r="A626" s="15">
        <v>3545</v>
      </c>
      <c r="B626" s="15">
        <v>625</v>
      </c>
      <c r="C626" s="15">
        <v>0</v>
      </c>
      <c r="D626" s="15">
        <v>196</v>
      </c>
      <c r="E626" s="15" t="b">
        <v>0</v>
      </c>
      <c r="F626" s="15" t="b">
        <v>0</v>
      </c>
      <c r="G626" s="33" t="s">
        <v>206</v>
      </c>
      <c r="H626" s="15" t="s">
        <v>1482</v>
      </c>
      <c r="I626" s="33" t="s">
        <v>213</v>
      </c>
      <c r="J626" s="15"/>
      <c r="K626" s="15"/>
      <c r="L626" s="120" t="s">
        <v>220</v>
      </c>
      <c r="M626" s="15" t="s">
        <v>1485</v>
      </c>
      <c r="N626" s="15" t="s">
        <v>1486</v>
      </c>
      <c r="O626" s="15"/>
      <c r="P626" s="15"/>
      <c r="Q626" s="15" t="b">
        <v>0</v>
      </c>
    </row>
    <row r="627" spans="1:17" ht="15" hidden="1" customHeight="1">
      <c r="A627" s="15">
        <v>3546</v>
      </c>
      <c r="B627" s="15">
        <v>626</v>
      </c>
      <c r="C627" s="15">
        <v>0</v>
      </c>
      <c r="D627" s="15">
        <v>196</v>
      </c>
      <c r="E627" s="15" t="b">
        <v>0</v>
      </c>
      <c r="F627" s="15" t="b">
        <v>0</v>
      </c>
      <c r="G627" s="33" t="s">
        <v>206</v>
      </c>
      <c r="H627" s="15" t="s">
        <v>1482</v>
      </c>
      <c r="I627" s="33" t="s">
        <v>216</v>
      </c>
      <c r="J627" s="15"/>
      <c r="K627" s="15"/>
      <c r="L627" s="120" t="s">
        <v>220</v>
      </c>
      <c r="M627" s="15" t="s">
        <v>1487</v>
      </c>
      <c r="N627" s="15" t="s">
        <v>1488</v>
      </c>
      <c r="O627" s="15"/>
      <c r="P627" s="15"/>
      <c r="Q627" s="15" t="b">
        <v>0</v>
      </c>
    </row>
    <row r="628" spans="1:17" ht="15" hidden="1" customHeight="1">
      <c r="A628" s="15">
        <v>3547</v>
      </c>
      <c r="B628" s="15">
        <v>627</v>
      </c>
      <c r="C628" s="15">
        <v>0</v>
      </c>
      <c r="D628" s="15">
        <v>196</v>
      </c>
      <c r="E628" s="15" t="b">
        <v>1</v>
      </c>
      <c r="F628" s="15" t="b">
        <v>0</v>
      </c>
      <c r="G628" s="33" t="s">
        <v>206</v>
      </c>
      <c r="H628" s="15" t="s">
        <v>1489</v>
      </c>
      <c r="I628" s="33" t="s">
        <v>208</v>
      </c>
      <c r="J628" s="15"/>
      <c r="K628" s="15"/>
      <c r="L628" s="120" t="s">
        <v>210</v>
      </c>
      <c r="M628" s="15" t="s">
        <v>1490</v>
      </c>
      <c r="N628" s="15" t="s">
        <v>1491</v>
      </c>
      <c r="O628" s="15"/>
      <c r="P628" s="15"/>
      <c r="Q628" s="15" t="b">
        <v>0</v>
      </c>
    </row>
    <row r="629" spans="1:17" ht="15" hidden="1" customHeight="1">
      <c r="A629" s="15">
        <v>3548</v>
      </c>
      <c r="B629" s="15">
        <v>628</v>
      </c>
      <c r="C629" s="15">
        <v>0</v>
      </c>
      <c r="D629" s="15">
        <v>196</v>
      </c>
      <c r="E629" s="15" t="b">
        <v>1</v>
      </c>
      <c r="F629" s="15" t="b">
        <v>0</v>
      </c>
      <c r="G629" s="33" t="s">
        <v>206</v>
      </c>
      <c r="H629" s="15" t="s">
        <v>1489</v>
      </c>
      <c r="I629" s="33" t="s">
        <v>213</v>
      </c>
      <c r="J629" s="15"/>
      <c r="K629" s="15"/>
      <c r="L629" s="120" t="s">
        <v>210</v>
      </c>
      <c r="M629" s="15" t="s">
        <v>1492</v>
      </c>
      <c r="N629" s="15" t="s">
        <v>1493</v>
      </c>
      <c r="O629" s="15"/>
      <c r="P629" s="15"/>
      <c r="Q629" s="15" t="b">
        <v>0</v>
      </c>
    </row>
    <row r="630" spans="1:17" ht="15" hidden="1" customHeight="1">
      <c r="A630" s="15">
        <v>3549</v>
      </c>
      <c r="B630" s="15">
        <v>629</v>
      </c>
      <c r="C630" s="15">
        <v>0</v>
      </c>
      <c r="D630" s="15">
        <v>196</v>
      </c>
      <c r="E630" s="15" t="b">
        <v>1</v>
      </c>
      <c r="F630" s="15" t="b">
        <v>0</v>
      </c>
      <c r="G630" s="33" t="s">
        <v>206</v>
      </c>
      <c r="H630" s="15" t="s">
        <v>1489</v>
      </c>
      <c r="I630" s="33" t="s">
        <v>216</v>
      </c>
      <c r="J630" s="15"/>
      <c r="K630" s="15"/>
      <c r="L630" s="120" t="s">
        <v>210</v>
      </c>
      <c r="M630" s="15" t="s">
        <v>1494</v>
      </c>
      <c r="N630" s="15" t="s">
        <v>1495</v>
      </c>
      <c r="O630" s="15"/>
      <c r="P630" s="15"/>
      <c r="Q630" s="15" t="b">
        <v>0</v>
      </c>
    </row>
    <row r="631" spans="1:17" ht="15" hidden="1" customHeight="1">
      <c r="A631" s="15">
        <v>3550</v>
      </c>
      <c r="B631" s="15">
        <v>630</v>
      </c>
      <c r="C631" s="15">
        <v>0</v>
      </c>
      <c r="D631" s="15">
        <v>196</v>
      </c>
      <c r="E631" s="15" t="b">
        <v>0</v>
      </c>
      <c r="F631" s="15" t="b">
        <v>0</v>
      </c>
      <c r="G631" s="33" t="s">
        <v>206</v>
      </c>
      <c r="H631" s="15" t="s">
        <v>1496</v>
      </c>
      <c r="I631" s="33" t="s">
        <v>208</v>
      </c>
      <c r="J631" s="15"/>
      <c r="K631" s="15"/>
      <c r="L631" s="120" t="s">
        <v>220</v>
      </c>
      <c r="M631" s="15" t="s">
        <v>1497</v>
      </c>
      <c r="N631" s="15" t="s">
        <v>1498</v>
      </c>
      <c r="O631" s="15"/>
      <c r="P631" s="15"/>
      <c r="Q631" s="15" t="b">
        <v>0</v>
      </c>
    </row>
    <row r="632" spans="1:17" ht="15" hidden="1" customHeight="1">
      <c r="A632" s="15">
        <v>3551</v>
      </c>
      <c r="B632" s="15">
        <v>631</v>
      </c>
      <c r="C632" s="15">
        <v>0</v>
      </c>
      <c r="D632" s="15">
        <v>196</v>
      </c>
      <c r="E632" s="15" t="b">
        <v>0</v>
      </c>
      <c r="F632" s="15" t="b">
        <v>0</v>
      </c>
      <c r="G632" s="33" t="s">
        <v>206</v>
      </c>
      <c r="H632" s="15" t="s">
        <v>1496</v>
      </c>
      <c r="I632" s="33" t="s">
        <v>213</v>
      </c>
      <c r="J632" s="15"/>
      <c r="K632" s="15"/>
      <c r="L632" s="120" t="s">
        <v>220</v>
      </c>
      <c r="M632" s="15" t="s">
        <v>1499</v>
      </c>
      <c r="N632" s="15" t="s">
        <v>1500</v>
      </c>
      <c r="O632" s="15"/>
      <c r="P632" s="15"/>
      <c r="Q632" s="15" t="b">
        <v>0</v>
      </c>
    </row>
    <row r="633" spans="1:17" ht="15" hidden="1" customHeight="1">
      <c r="A633" s="15">
        <v>3552</v>
      </c>
      <c r="B633" s="15">
        <v>632</v>
      </c>
      <c r="C633" s="15">
        <v>0</v>
      </c>
      <c r="D633" s="15">
        <v>196</v>
      </c>
      <c r="E633" s="15" t="b">
        <v>0</v>
      </c>
      <c r="F633" s="15" t="b">
        <v>0</v>
      </c>
      <c r="G633" s="33" t="s">
        <v>206</v>
      </c>
      <c r="H633" s="15" t="s">
        <v>1496</v>
      </c>
      <c r="I633" s="33" t="s">
        <v>216</v>
      </c>
      <c r="J633" s="15"/>
      <c r="K633" s="15"/>
      <c r="L633" s="120" t="s">
        <v>220</v>
      </c>
      <c r="M633" s="15" t="s">
        <v>1501</v>
      </c>
      <c r="N633" s="15" t="s">
        <v>1502</v>
      </c>
      <c r="O633" s="15"/>
      <c r="P633" s="15"/>
      <c r="Q633" s="15" t="b">
        <v>0</v>
      </c>
    </row>
    <row r="634" spans="1:17" ht="15" hidden="1" customHeight="1">
      <c r="A634" s="15">
        <v>3553</v>
      </c>
      <c r="B634" s="15">
        <v>633</v>
      </c>
      <c r="C634" s="15">
        <v>0</v>
      </c>
      <c r="D634" s="15">
        <v>196</v>
      </c>
      <c r="E634" s="15" t="b">
        <v>1</v>
      </c>
      <c r="F634" s="15" t="b">
        <v>0</v>
      </c>
      <c r="G634" s="33" t="s">
        <v>206</v>
      </c>
      <c r="H634" s="15" t="s">
        <v>1503</v>
      </c>
      <c r="I634" s="33" t="s">
        <v>208</v>
      </c>
      <c r="J634" s="15"/>
      <c r="K634" s="15"/>
      <c r="L634" s="120" t="s">
        <v>210</v>
      </c>
      <c r="M634" s="15" t="s">
        <v>1504</v>
      </c>
      <c r="N634" s="15" t="s">
        <v>1505</v>
      </c>
      <c r="O634" s="15"/>
      <c r="P634" s="15"/>
      <c r="Q634" s="15" t="b">
        <v>0</v>
      </c>
    </row>
    <row r="635" spans="1:17" ht="15" hidden="1" customHeight="1">
      <c r="A635" s="15">
        <v>3554</v>
      </c>
      <c r="B635" s="15">
        <v>634</v>
      </c>
      <c r="C635" s="15">
        <v>0</v>
      </c>
      <c r="D635" s="15">
        <v>196</v>
      </c>
      <c r="E635" s="15" t="b">
        <v>1</v>
      </c>
      <c r="F635" s="15" t="b">
        <v>0</v>
      </c>
      <c r="G635" s="33" t="s">
        <v>206</v>
      </c>
      <c r="H635" s="15" t="s">
        <v>1503</v>
      </c>
      <c r="I635" s="33" t="s">
        <v>213</v>
      </c>
      <c r="J635" s="15"/>
      <c r="K635" s="15"/>
      <c r="L635" s="120" t="s">
        <v>210</v>
      </c>
      <c r="M635" s="15" t="s">
        <v>1506</v>
      </c>
      <c r="N635" s="15" t="s">
        <v>1507</v>
      </c>
      <c r="O635" s="15"/>
      <c r="P635" s="15"/>
      <c r="Q635" s="15" t="b">
        <v>0</v>
      </c>
    </row>
    <row r="636" spans="1:17" ht="15" hidden="1" customHeight="1">
      <c r="A636" s="15">
        <v>3555</v>
      </c>
      <c r="B636" s="15">
        <v>635</v>
      </c>
      <c r="C636" s="15">
        <v>0</v>
      </c>
      <c r="D636" s="15">
        <v>196</v>
      </c>
      <c r="E636" s="15" t="b">
        <v>1</v>
      </c>
      <c r="F636" s="15" t="b">
        <v>0</v>
      </c>
      <c r="G636" s="33" t="s">
        <v>206</v>
      </c>
      <c r="H636" s="15" t="s">
        <v>1503</v>
      </c>
      <c r="I636" s="33" t="s">
        <v>216</v>
      </c>
      <c r="J636" s="15"/>
      <c r="K636" s="15"/>
      <c r="L636" s="120" t="s">
        <v>210</v>
      </c>
      <c r="M636" s="15" t="s">
        <v>1508</v>
      </c>
      <c r="N636" s="15" t="s">
        <v>1509</v>
      </c>
      <c r="O636" s="15"/>
      <c r="P636" s="15"/>
      <c r="Q636" s="15" t="b">
        <v>0</v>
      </c>
    </row>
    <row r="637" spans="1:17" ht="15" hidden="1" customHeight="1">
      <c r="A637" s="15">
        <v>3556</v>
      </c>
      <c r="B637" s="15">
        <v>636</v>
      </c>
      <c r="C637" s="15">
        <v>0</v>
      </c>
      <c r="D637" s="15">
        <v>196</v>
      </c>
      <c r="E637" s="15" t="b">
        <v>0</v>
      </c>
      <c r="F637" s="15" t="b">
        <v>0</v>
      </c>
      <c r="G637" s="33" t="s">
        <v>206</v>
      </c>
      <c r="H637" s="15" t="s">
        <v>1510</v>
      </c>
      <c r="I637" s="33" t="s">
        <v>208</v>
      </c>
      <c r="J637" s="15"/>
      <c r="K637" s="15"/>
      <c r="L637" s="120" t="s">
        <v>220</v>
      </c>
      <c r="M637" s="15" t="s">
        <v>1511</v>
      </c>
      <c r="N637" s="15" t="s">
        <v>1512</v>
      </c>
      <c r="O637" s="15"/>
      <c r="P637" s="15"/>
      <c r="Q637" s="15" t="b">
        <v>0</v>
      </c>
    </row>
    <row r="638" spans="1:17" ht="15" hidden="1" customHeight="1">
      <c r="A638" s="15">
        <v>3557</v>
      </c>
      <c r="B638" s="15">
        <v>637</v>
      </c>
      <c r="C638" s="15">
        <v>0</v>
      </c>
      <c r="D638" s="15">
        <v>196</v>
      </c>
      <c r="E638" s="15" t="b">
        <v>0</v>
      </c>
      <c r="F638" s="15" t="b">
        <v>0</v>
      </c>
      <c r="G638" s="33" t="s">
        <v>206</v>
      </c>
      <c r="H638" s="15" t="s">
        <v>1510</v>
      </c>
      <c r="I638" s="33" t="s">
        <v>213</v>
      </c>
      <c r="J638" s="15"/>
      <c r="K638" s="15"/>
      <c r="L638" s="120" t="s">
        <v>220</v>
      </c>
      <c r="M638" s="15" t="s">
        <v>1513</v>
      </c>
      <c r="N638" s="15" t="s">
        <v>1514</v>
      </c>
      <c r="O638" s="15"/>
      <c r="P638" s="15"/>
      <c r="Q638" s="15" t="b">
        <v>0</v>
      </c>
    </row>
    <row r="639" spans="1:17" ht="15" hidden="1" customHeight="1">
      <c r="A639" s="15">
        <v>3558</v>
      </c>
      <c r="B639" s="15">
        <v>638</v>
      </c>
      <c r="C639" s="15">
        <v>0</v>
      </c>
      <c r="D639" s="15">
        <v>196</v>
      </c>
      <c r="E639" s="15" t="b">
        <v>0</v>
      </c>
      <c r="F639" s="15" t="b">
        <v>0</v>
      </c>
      <c r="G639" s="33" t="s">
        <v>206</v>
      </c>
      <c r="H639" s="15" t="s">
        <v>1510</v>
      </c>
      <c r="I639" s="33" t="s">
        <v>216</v>
      </c>
      <c r="J639" s="15"/>
      <c r="K639" s="15"/>
      <c r="L639" s="120" t="s">
        <v>220</v>
      </c>
      <c r="M639" s="15" t="s">
        <v>1515</v>
      </c>
      <c r="N639" s="15" t="s">
        <v>1516</v>
      </c>
      <c r="O639" s="15"/>
      <c r="P639" s="15"/>
      <c r="Q639" s="15" t="b">
        <v>0</v>
      </c>
    </row>
    <row r="640" spans="1:17" ht="15" hidden="1" customHeight="1">
      <c r="A640" s="15">
        <v>3559</v>
      </c>
      <c r="B640" s="15">
        <v>639</v>
      </c>
      <c r="C640" s="15">
        <v>0</v>
      </c>
      <c r="D640" s="15">
        <v>196</v>
      </c>
      <c r="E640" s="15" t="b">
        <v>0</v>
      </c>
      <c r="F640" s="15" t="b">
        <v>0</v>
      </c>
      <c r="G640" s="33" t="s">
        <v>206</v>
      </c>
      <c r="H640" s="15" t="s">
        <v>1517</v>
      </c>
      <c r="I640" s="33" t="s">
        <v>208</v>
      </c>
      <c r="J640" s="15"/>
      <c r="K640" s="15"/>
      <c r="L640" s="120" t="s">
        <v>220</v>
      </c>
      <c r="M640" s="15" t="s">
        <v>1518</v>
      </c>
      <c r="N640" s="15" t="s">
        <v>1519</v>
      </c>
      <c r="O640" s="15"/>
      <c r="P640" s="15"/>
      <c r="Q640" s="15" t="b">
        <v>0</v>
      </c>
    </row>
    <row r="641" spans="1:17" ht="15" hidden="1" customHeight="1">
      <c r="A641" s="15">
        <v>3560</v>
      </c>
      <c r="B641" s="15">
        <v>640</v>
      </c>
      <c r="C641" s="15">
        <v>0</v>
      </c>
      <c r="D641" s="15">
        <v>196</v>
      </c>
      <c r="E641" s="15" t="b">
        <v>0</v>
      </c>
      <c r="F641" s="15" t="b">
        <v>0</v>
      </c>
      <c r="G641" s="33" t="s">
        <v>206</v>
      </c>
      <c r="H641" s="15" t="s">
        <v>1517</v>
      </c>
      <c r="I641" s="33" t="s">
        <v>213</v>
      </c>
      <c r="J641" s="15"/>
      <c r="K641" s="15"/>
      <c r="L641" s="120" t="s">
        <v>220</v>
      </c>
      <c r="M641" s="15" t="s">
        <v>1520</v>
      </c>
      <c r="N641" s="15" t="s">
        <v>1521</v>
      </c>
      <c r="O641" s="15"/>
      <c r="P641" s="15"/>
      <c r="Q641" s="15" t="b">
        <v>0</v>
      </c>
    </row>
    <row r="642" spans="1:17" ht="15" hidden="1" customHeight="1">
      <c r="A642" s="15">
        <v>3561</v>
      </c>
      <c r="B642" s="15">
        <v>641</v>
      </c>
      <c r="C642" s="15">
        <v>0</v>
      </c>
      <c r="D642" s="15">
        <v>196</v>
      </c>
      <c r="E642" s="15" t="b">
        <v>0</v>
      </c>
      <c r="F642" s="15" t="b">
        <v>0</v>
      </c>
      <c r="G642" s="33" t="s">
        <v>206</v>
      </c>
      <c r="H642" s="15" t="s">
        <v>1517</v>
      </c>
      <c r="I642" s="33" t="s">
        <v>216</v>
      </c>
      <c r="J642" s="15"/>
      <c r="K642" s="15"/>
      <c r="L642" s="120" t="s">
        <v>220</v>
      </c>
      <c r="M642" s="15" t="s">
        <v>1522</v>
      </c>
      <c r="N642" s="15" t="s">
        <v>1523</v>
      </c>
      <c r="O642" s="15"/>
      <c r="P642" s="15"/>
      <c r="Q642" s="15" t="b">
        <v>0</v>
      </c>
    </row>
    <row r="643" spans="1:17" ht="15" hidden="1" customHeight="1">
      <c r="A643" s="15">
        <v>3562</v>
      </c>
      <c r="B643" s="15">
        <v>642</v>
      </c>
      <c r="C643" s="15">
        <v>0</v>
      </c>
      <c r="D643" s="15">
        <v>196</v>
      </c>
      <c r="E643" s="15" t="b">
        <v>1</v>
      </c>
      <c r="F643" s="15" t="b">
        <v>0</v>
      </c>
      <c r="G643" s="33" t="s">
        <v>206</v>
      </c>
      <c r="H643" s="15" t="s">
        <v>1524</v>
      </c>
      <c r="I643" s="33" t="s">
        <v>208</v>
      </c>
      <c r="J643" s="15"/>
      <c r="K643" s="15"/>
      <c r="L643" s="120" t="s">
        <v>210</v>
      </c>
      <c r="M643" s="15" t="s">
        <v>1525</v>
      </c>
      <c r="N643" s="15" t="s">
        <v>1526</v>
      </c>
      <c r="O643" s="15"/>
      <c r="P643" s="15"/>
      <c r="Q643" s="15" t="b">
        <v>0</v>
      </c>
    </row>
    <row r="644" spans="1:17" ht="15" hidden="1" customHeight="1">
      <c r="A644" s="15">
        <v>3563</v>
      </c>
      <c r="B644" s="15">
        <v>643</v>
      </c>
      <c r="C644" s="15">
        <v>0</v>
      </c>
      <c r="D644" s="15">
        <v>196</v>
      </c>
      <c r="E644" s="15" t="b">
        <v>1</v>
      </c>
      <c r="F644" s="15" t="b">
        <v>0</v>
      </c>
      <c r="G644" s="33" t="s">
        <v>206</v>
      </c>
      <c r="H644" s="15" t="s">
        <v>1524</v>
      </c>
      <c r="I644" s="33" t="s">
        <v>213</v>
      </c>
      <c r="J644" s="15"/>
      <c r="K644" s="15"/>
      <c r="L644" s="120" t="s">
        <v>210</v>
      </c>
      <c r="M644" s="15" t="s">
        <v>1527</v>
      </c>
      <c r="N644" s="15" t="s">
        <v>1528</v>
      </c>
      <c r="O644" s="15"/>
      <c r="P644" s="15"/>
      <c r="Q644" s="15" t="b">
        <v>0</v>
      </c>
    </row>
    <row r="645" spans="1:17" ht="15" hidden="1" customHeight="1">
      <c r="A645" s="15">
        <v>3564</v>
      </c>
      <c r="B645" s="15">
        <v>644</v>
      </c>
      <c r="C645" s="15">
        <v>0</v>
      </c>
      <c r="D645" s="15">
        <v>196</v>
      </c>
      <c r="E645" s="15" t="b">
        <v>1</v>
      </c>
      <c r="F645" s="15" t="b">
        <v>0</v>
      </c>
      <c r="G645" s="33" t="s">
        <v>206</v>
      </c>
      <c r="H645" s="15" t="s">
        <v>1524</v>
      </c>
      <c r="I645" s="33" t="s">
        <v>216</v>
      </c>
      <c r="J645" s="15"/>
      <c r="K645" s="15"/>
      <c r="L645" s="120" t="s">
        <v>210</v>
      </c>
      <c r="M645" s="15" t="s">
        <v>1529</v>
      </c>
      <c r="N645" s="15" t="s">
        <v>1530</v>
      </c>
      <c r="O645" s="15"/>
      <c r="P645" s="15"/>
      <c r="Q645" s="15" t="b">
        <v>0</v>
      </c>
    </row>
    <row r="646" spans="1:17" ht="15" hidden="1" customHeight="1">
      <c r="A646" s="15">
        <v>3565</v>
      </c>
      <c r="B646" s="15">
        <v>645</v>
      </c>
      <c r="C646" s="15">
        <v>0</v>
      </c>
      <c r="D646" s="15">
        <v>196</v>
      </c>
      <c r="E646" s="15" t="b">
        <v>0</v>
      </c>
      <c r="F646" s="15" t="b">
        <v>0</v>
      </c>
      <c r="G646" s="33" t="s">
        <v>206</v>
      </c>
      <c r="H646" s="15" t="s">
        <v>1531</v>
      </c>
      <c r="I646" s="33" t="s">
        <v>208</v>
      </c>
      <c r="J646" s="15"/>
      <c r="K646" s="15"/>
      <c r="L646" s="120" t="s">
        <v>220</v>
      </c>
      <c r="M646" s="15" t="s">
        <v>1532</v>
      </c>
      <c r="N646" s="15" t="s">
        <v>1533</v>
      </c>
      <c r="O646" s="15"/>
      <c r="P646" s="15"/>
      <c r="Q646" s="15" t="b">
        <v>0</v>
      </c>
    </row>
    <row r="647" spans="1:17" ht="15" hidden="1" customHeight="1">
      <c r="A647" s="15">
        <v>3566</v>
      </c>
      <c r="B647" s="15">
        <v>646</v>
      </c>
      <c r="C647" s="15">
        <v>0</v>
      </c>
      <c r="D647" s="15">
        <v>196</v>
      </c>
      <c r="E647" s="15" t="b">
        <v>0</v>
      </c>
      <c r="F647" s="15" t="b">
        <v>0</v>
      </c>
      <c r="G647" s="33" t="s">
        <v>206</v>
      </c>
      <c r="H647" s="15" t="s">
        <v>1531</v>
      </c>
      <c r="I647" s="33" t="s">
        <v>213</v>
      </c>
      <c r="J647" s="15"/>
      <c r="K647" s="15"/>
      <c r="L647" s="120" t="s">
        <v>220</v>
      </c>
      <c r="M647" s="15" t="s">
        <v>1534</v>
      </c>
      <c r="N647" s="15" t="s">
        <v>1535</v>
      </c>
      <c r="O647" s="15"/>
      <c r="P647" s="15"/>
      <c r="Q647" s="15" t="b">
        <v>0</v>
      </c>
    </row>
    <row r="648" spans="1:17" ht="15" hidden="1" customHeight="1">
      <c r="A648" s="15">
        <v>3567</v>
      </c>
      <c r="B648" s="15">
        <v>647</v>
      </c>
      <c r="C648" s="15">
        <v>0</v>
      </c>
      <c r="D648" s="15">
        <v>196</v>
      </c>
      <c r="E648" s="15" t="b">
        <v>0</v>
      </c>
      <c r="F648" s="15" t="b">
        <v>0</v>
      </c>
      <c r="G648" s="33" t="s">
        <v>206</v>
      </c>
      <c r="H648" s="15" t="s">
        <v>1531</v>
      </c>
      <c r="I648" s="33" t="s">
        <v>216</v>
      </c>
      <c r="J648" s="15"/>
      <c r="K648" s="15"/>
      <c r="L648" s="120" t="s">
        <v>220</v>
      </c>
      <c r="M648" s="15" t="s">
        <v>1536</v>
      </c>
      <c r="N648" s="15" t="s">
        <v>1537</v>
      </c>
      <c r="O648" s="15"/>
      <c r="P648" s="15"/>
      <c r="Q648" s="15" t="b">
        <v>0</v>
      </c>
    </row>
    <row r="649" spans="1:17" ht="15" hidden="1" customHeight="1">
      <c r="A649" s="15">
        <v>3568</v>
      </c>
      <c r="B649" s="15">
        <v>648</v>
      </c>
      <c r="C649" s="15">
        <v>0</v>
      </c>
      <c r="D649" s="15">
        <v>196</v>
      </c>
      <c r="E649" s="15" t="b">
        <v>0</v>
      </c>
      <c r="F649" s="15" t="b">
        <v>0</v>
      </c>
      <c r="G649" s="33" t="s">
        <v>206</v>
      </c>
      <c r="H649" s="15" t="s">
        <v>1538</v>
      </c>
      <c r="I649" s="33" t="s">
        <v>208</v>
      </c>
      <c r="J649" s="15"/>
      <c r="K649" s="15"/>
      <c r="L649" s="120" t="s">
        <v>220</v>
      </c>
      <c r="M649" s="15" t="s">
        <v>1539</v>
      </c>
      <c r="N649" s="15" t="s">
        <v>1540</v>
      </c>
      <c r="O649" s="15"/>
      <c r="P649" s="15"/>
      <c r="Q649" s="15" t="b">
        <v>0</v>
      </c>
    </row>
    <row r="650" spans="1:17" ht="15" hidden="1" customHeight="1">
      <c r="A650" s="15">
        <v>3569</v>
      </c>
      <c r="B650" s="15">
        <v>649</v>
      </c>
      <c r="C650" s="15">
        <v>0</v>
      </c>
      <c r="D650" s="15">
        <v>196</v>
      </c>
      <c r="E650" s="15" t="b">
        <v>0</v>
      </c>
      <c r="F650" s="15" t="b">
        <v>0</v>
      </c>
      <c r="G650" s="33" t="s">
        <v>206</v>
      </c>
      <c r="H650" s="15" t="s">
        <v>1538</v>
      </c>
      <c r="I650" s="33" t="s">
        <v>213</v>
      </c>
      <c r="J650" s="15"/>
      <c r="K650" s="15"/>
      <c r="L650" s="120" t="s">
        <v>220</v>
      </c>
      <c r="M650" s="15" t="s">
        <v>1541</v>
      </c>
      <c r="N650" s="15" t="s">
        <v>1542</v>
      </c>
      <c r="O650" s="15"/>
      <c r="P650" s="15"/>
      <c r="Q650" s="15" t="b">
        <v>0</v>
      </c>
    </row>
    <row r="651" spans="1:17" ht="15" hidden="1" customHeight="1">
      <c r="A651" s="15">
        <v>3570</v>
      </c>
      <c r="B651" s="15">
        <v>650</v>
      </c>
      <c r="C651" s="15">
        <v>0</v>
      </c>
      <c r="D651" s="15">
        <v>196</v>
      </c>
      <c r="E651" s="15" t="b">
        <v>0</v>
      </c>
      <c r="F651" s="15" t="b">
        <v>0</v>
      </c>
      <c r="G651" s="33" t="s">
        <v>206</v>
      </c>
      <c r="H651" s="15" t="s">
        <v>1538</v>
      </c>
      <c r="I651" s="33" t="s">
        <v>216</v>
      </c>
      <c r="J651" s="15"/>
      <c r="K651" s="15"/>
      <c r="L651" s="120" t="s">
        <v>220</v>
      </c>
      <c r="M651" s="15" t="s">
        <v>1543</v>
      </c>
      <c r="N651" s="15" t="s">
        <v>1544</v>
      </c>
      <c r="O651" s="15"/>
      <c r="P651" s="15"/>
      <c r="Q651" s="15" t="b">
        <v>0</v>
      </c>
    </row>
    <row r="652" spans="1:17" ht="15" hidden="1" customHeight="1">
      <c r="A652" s="15">
        <v>3571</v>
      </c>
      <c r="B652" s="15">
        <v>651</v>
      </c>
      <c r="C652" s="15">
        <v>0</v>
      </c>
      <c r="D652" s="15">
        <v>196</v>
      </c>
      <c r="E652" s="15" t="b">
        <v>1</v>
      </c>
      <c r="F652" s="15" t="b">
        <v>0</v>
      </c>
      <c r="G652" s="33" t="s">
        <v>206</v>
      </c>
      <c r="H652" s="15" t="s">
        <v>1545</v>
      </c>
      <c r="I652" s="33" t="s">
        <v>208</v>
      </c>
      <c r="J652" s="15"/>
      <c r="K652" s="15"/>
      <c r="L652" s="120" t="s">
        <v>210</v>
      </c>
      <c r="M652" s="15" t="s">
        <v>1546</v>
      </c>
      <c r="N652" s="15" t="s">
        <v>1547</v>
      </c>
      <c r="O652" s="15"/>
      <c r="P652" s="15"/>
      <c r="Q652" s="15" t="b">
        <v>0</v>
      </c>
    </row>
    <row r="653" spans="1:17" ht="15" hidden="1" customHeight="1">
      <c r="A653" s="15">
        <v>3572</v>
      </c>
      <c r="B653" s="15">
        <v>652</v>
      </c>
      <c r="C653" s="15">
        <v>0</v>
      </c>
      <c r="D653" s="15">
        <v>196</v>
      </c>
      <c r="E653" s="15" t="b">
        <v>1</v>
      </c>
      <c r="F653" s="15" t="b">
        <v>0</v>
      </c>
      <c r="G653" s="33" t="s">
        <v>206</v>
      </c>
      <c r="H653" s="15" t="s">
        <v>1545</v>
      </c>
      <c r="I653" s="33" t="s">
        <v>213</v>
      </c>
      <c r="J653" s="15"/>
      <c r="K653" s="15"/>
      <c r="L653" s="120" t="s">
        <v>210</v>
      </c>
      <c r="M653" s="15" t="s">
        <v>1548</v>
      </c>
      <c r="N653" s="15" t="s">
        <v>1549</v>
      </c>
      <c r="O653" s="15"/>
      <c r="P653" s="15"/>
      <c r="Q653" s="15" t="b">
        <v>0</v>
      </c>
    </row>
    <row r="654" spans="1:17" ht="15" hidden="1" customHeight="1">
      <c r="A654" s="15">
        <v>3573</v>
      </c>
      <c r="B654" s="15">
        <v>653</v>
      </c>
      <c r="C654" s="15">
        <v>0</v>
      </c>
      <c r="D654" s="15">
        <v>196</v>
      </c>
      <c r="E654" s="15" t="b">
        <v>1</v>
      </c>
      <c r="F654" s="15" t="b">
        <v>0</v>
      </c>
      <c r="G654" s="33" t="s">
        <v>206</v>
      </c>
      <c r="H654" s="15" t="s">
        <v>1545</v>
      </c>
      <c r="I654" s="33" t="s">
        <v>216</v>
      </c>
      <c r="J654" s="15"/>
      <c r="K654" s="15"/>
      <c r="L654" s="120" t="s">
        <v>210</v>
      </c>
      <c r="M654" s="15" t="s">
        <v>1550</v>
      </c>
      <c r="N654" s="15" t="s">
        <v>1551</v>
      </c>
      <c r="O654" s="15"/>
      <c r="P654" s="15"/>
      <c r="Q654" s="15" t="b">
        <v>0</v>
      </c>
    </row>
    <row r="655" spans="1:17" ht="15" hidden="1" customHeight="1">
      <c r="A655" s="15">
        <v>3574</v>
      </c>
      <c r="B655" s="15">
        <v>654</v>
      </c>
      <c r="C655" s="15">
        <v>0</v>
      </c>
      <c r="D655" s="15">
        <v>196</v>
      </c>
      <c r="E655" s="15" t="b">
        <v>0</v>
      </c>
      <c r="F655" s="15" t="b">
        <v>0</v>
      </c>
      <c r="G655" s="33" t="s">
        <v>206</v>
      </c>
      <c r="H655" s="15" t="s">
        <v>1552</v>
      </c>
      <c r="I655" s="33" t="s">
        <v>208</v>
      </c>
      <c r="J655" s="15"/>
      <c r="K655" s="15"/>
      <c r="L655" s="120" t="s">
        <v>220</v>
      </c>
      <c r="M655" s="15" t="s">
        <v>1553</v>
      </c>
      <c r="N655" s="15" t="s">
        <v>1554</v>
      </c>
      <c r="O655" s="15"/>
      <c r="P655" s="15"/>
      <c r="Q655" s="15" t="b">
        <v>0</v>
      </c>
    </row>
    <row r="656" spans="1:17" ht="15" hidden="1" customHeight="1">
      <c r="A656" s="15">
        <v>3575</v>
      </c>
      <c r="B656" s="15">
        <v>655</v>
      </c>
      <c r="C656" s="15">
        <v>0</v>
      </c>
      <c r="D656" s="15">
        <v>196</v>
      </c>
      <c r="E656" s="15" t="b">
        <v>0</v>
      </c>
      <c r="F656" s="15" t="b">
        <v>0</v>
      </c>
      <c r="G656" s="33" t="s">
        <v>206</v>
      </c>
      <c r="H656" s="15" t="s">
        <v>1552</v>
      </c>
      <c r="I656" s="33" t="s">
        <v>213</v>
      </c>
      <c r="J656" s="15"/>
      <c r="K656" s="15"/>
      <c r="L656" s="120" t="s">
        <v>220</v>
      </c>
      <c r="M656" s="15" t="s">
        <v>1555</v>
      </c>
      <c r="N656" s="15" t="s">
        <v>1556</v>
      </c>
      <c r="O656" s="15"/>
      <c r="P656" s="15"/>
      <c r="Q656" s="15" t="b">
        <v>0</v>
      </c>
    </row>
    <row r="657" spans="1:17" ht="15" hidden="1" customHeight="1">
      <c r="A657" s="15">
        <v>3576</v>
      </c>
      <c r="B657" s="15">
        <v>656</v>
      </c>
      <c r="C657" s="15">
        <v>0</v>
      </c>
      <c r="D657" s="15">
        <v>196</v>
      </c>
      <c r="E657" s="15" t="b">
        <v>0</v>
      </c>
      <c r="F657" s="15" t="b">
        <v>0</v>
      </c>
      <c r="G657" s="33" t="s">
        <v>206</v>
      </c>
      <c r="H657" s="15" t="s">
        <v>1552</v>
      </c>
      <c r="I657" s="33" t="s">
        <v>216</v>
      </c>
      <c r="J657" s="15"/>
      <c r="K657" s="15"/>
      <c r="L657" s="120" t="s">
        <v>220</v>
      </c>
      <c r="M657" s="15" t="s">
        <v>1557</v>
      </c>
      <c r="N657" s="15" t="s">
        <v>1558</v>
      </c>
      <c r="O657" s="15"/>
      <c r="P657" s="15"/>
      <c r="Q657" s="15" t="b">
        <v>0</v>
      </c>
    </row>
    <row r="658" spans="1:17" ht="15" hidden="1" customHeight="1">
      <c r="A658" s="15">
        <v>3577</v>
      </c>
      <c r="B658" s="15">
        <v>657</v>
      </c>
      <c r="C658" s="15">
        <v>0</v>
      </c>
      <c r="D658" s="15">
        <v>196</v>
      </c>
      <c r="E658" s="15" t="b">
        <v>1</v>
      </c>
      <c r="F658" s="15" t="b">
        <v>0</v>
      </c>
      <c r="G658" s="33" t="s">
        <v>206</v>
      </c>
      <c r="H658" s="15" t="s">
        <v>1559</v>
      </c>
      <c r="I658" s="33" t="s">
        <v>208</v>
      </c>
      <c r="J658" s="15"/>
      <c r="K658" s="15"/>
      <c r="L658" s="120" t="s">
        <v>210</v>
      </c>
      <c r="M658" s="15" t="s">
        <v>1560</v>
      </c>
      <c r="N658" s="15" t="s">
        <v>1561</v>
      </c>
      <c r="O658" s="15"/>
      <c r="P658" s="15"/>
      <c r="Q658" s="15" t="b">
        <v>0</v>
      </c>
    </row>
    <row r="659" spans="1:17" ht="15" hidden="1" customHeight="1">
      <c r="A659" s="15">
        <v>3578</v>
      </c>
      <c r="B659" s="15">
        <v>658</v>
      </c>
      <c r="C659" s="15">
        <v>0</v>
      </c>
      <c r="D659" s="15">
        <v>196</v>
      </c>
      <c r="E659" s="15" t="b">
        <v>1</v>
      </c>
      <c r="F659" s="15" t="b">
        <v>0</v>
      </c>
      <c r="G659" s="33" t="s">
        <v>206</v>
      </c>
      <c r="H659" s="15" t="s">
        <v>1559</v>
      </c>
      <c r="I659" s="33" t="s">
        <v>213</v>
      </c>
      <c r="J659" s="15"/>
      <c r="K659" s="15"/>
      <c r="L659" s="120" t="s">
        <v>210</v>
      </c>
      <c r="M659" s="15" t="s">
        <v>1562</v>
      </c>
      <c r="N659" s="15" t="s">
        <v>1563</v>
      </c>
      <c r="O659" s="15"/>
      <c r="P659" s="15"/>
      <c r="Q659" s="15" t="b">
        <v>0</v>
      </c>
    </row>
    <row r="660" spans="1:17" ht="15" hidden="1" customHeight="1">
      <c r="A660" s="15">
        <v>3579</v>
      </c>
      <c r="B660" s="15">
        <v>659</v>
      </c>
      <c r="C660" s="15">
        <v>0</v>
      </c>
      <c r="D660" s="15">
        <v>196</v>
      </c>
      <c r="E660" s="15" t="b">
        <v>1</v>
      </c>
      <c r="F660" s="15" t="b">
        <v>0</v>
      </c>
      <c r="G660" s="33" t="s">
        <v>206</v>
      </c>
      <c r="H660" s="15" t="s">
        <v>1559</v>
      </c>
      <c r="I660" s="33" t="s">
        <v>216</v>
      </c>
      <c r="J660" s="15"/>
      <c r="K660" s="15"/>
      <c r="L660" s="120" t="s">
        <v>210</v>
      </c>
      <c r="M660" s="15" t="s">
        <v>1564</v>
      </c>
      <c r="N660" s="15" t="s">
        <v>1565</v>
      </c>
      <c r="O660" s="15"/>
      <c r="P660" s="15"/>
      <c r="Q660" s="15" t="b">
        <v>0</v>
      </c>
    </row>
    <row r="661" spans="1:17" ht="15" hidden="1" customHeight="1">
      <c r="A661" s="15">
        <v>3580</v>
      </c>
      <c r="B661" s="15">
        <v>660</v>
      </c>
      <c r="C661" s="15">
        <v>0</v>
      </c>
      <c r="D661" s="15">
        <v>196</v>
      </c>
      <c r="E661" s="15" t="b">
        <v>0</v>
      </c>
      <c r="F661" s="15" t="b">
        <v>0</v>
      </c>
      <c r="G661" s="33" t="s">
        <v>206</v>
      </c>
      <c r="H661" s="15" t="s">
        <v>1566</v>
      </c>
      <c r="I661" s="33" t="s">
        <v>208</v>
      </c>
      <c r="J661" s="15"/>
      <c r="K661" s="15"/>
      <c r="L661" s="120" t="s">
        <v>220</v>
      </c>
      <c r="M661" s="15" t="s">
        <v>1567</v>
      </c>
      <c r="N661" s="15" t="s">
        <v>1568</v>
      </c>
      <c r="O661" s="15"/>
      <c r="P661" s="15"/>
      <c r="Q661" s="15" t="b">
        <v>0</v>
      </c>
    </row>
    <row r="662" spans="1:17" ht="15" hidden="1" customHeight="1">
      <c r="A662" s="15">
        <v>3581</v>
      </c>
      <c r="B662" s="15">
        <v>661</v>
      </c>
      <c r="C662" s="15">
        <v>0</v>
      </c>
      <c r="D662" s="15">
        <v>196</v>
      </c>
      <c r="E662" s="15" t="b">
        <v>0</v>
      </c>
      <c r="F662" s="15" t="b">
        <v>0</v>
      </c>
      <c r="G662" s="33" t="s">
        <v>206</v>
      </c>
      <c r="H662" s="15" t="s">
        <v>1566</v>
      </c>
      <c r="I662" s="33" t="s">
        <v>213</v>
      </c>
      <c r="J662" s="15"/>
      <c r="K662" s="15"/>
      <c r="L662" s="120" t="s">
        <v>220</v>
      </c>
      <c r="M662" s="15" t="s">
        <v>1569</v>
      </c>
      <c r="N662" s="15" t="s">
        <v>1570</v>
      </c>
      <c r="O662" s="15"/>
      <c r="P662" s="15"/>
      <c r="Q662" s="15" t="b">
        <v>0</v>
      </c>
    </row>
    <row r="663" spans="1:17" ht="15" hidden="1" customHeight="1">
      <c r="A663" s="15">
        <v>3582</v>
      </c>
      <c r="B663" s="15">
        <v>662</v>
      </c>
      <c r="C663" s="15">
        <v>0</v>
      </c>
      <c r="D663" s="15">
        <v>196</v>
      </c>
      <c r="E663" s="15" t="b">
        <v>0</v>
      </c>
      <c r="F663" s="15" t="b">
        <v>0</v>
      </c>
      <c r="G663" s="33" t="s">
        <v>206</v>
      </c>
      <c r="H663" s="15" t="s">
        <v>1566</v>
      </c>
      <c r="I663" s="33" t="s">
        <v>216</v>
      </c>
      <c r="J663" s="15"/>
      <c r="K663" s="15"/>
      <c r="L663" s="120" t="s">
        <v>220</v>
      </c>
      <c r="M663" s="15" t="s">
        <v>1571</v>
      </c>
      <c r="N663" s="15" t="s">
        <v>1572</v>
      </c>
      <c r="O663" s="15"/>
      <c r="P663" s="15"/>
      <c r="Q663" s="15" t="b">
        <v>0</v>
      </c>
    </row>
    <row r="664" spans="1:17" ht="15" hidden="1" customHeight="1">
      <c r="A664" s="15">
        <v>3583</v>
      </c>
      <c r="B664" s="15">
        <v>663</v>
      </c>
      <c r="C664" s="15">
        <v>0</v>
      </c>
      <c r="D664" s="15">
        <v>196</v>
      </c>
      <c r="E664" s="15" t="b">
        <v>0</v>
      </c>
      <c r="F664" s="15" t="b">
        <v>0</v>
      </c>
      <c r="G664" s="33" t="s">
        <v>206</v>
      </c>
      <c r="H664" s="15" t="s">
        <v>1573</v>
      </c>
      <c r="I664" s="33" t="s">
        <v>208</v>
      </c>
      <c r="J664" s="15"/>
      <c r="K664" s="15"/>
      <c r="L664" s="120" t="s">
        <v>220</v>
      </c>
      <c r="M664" s="15" t="s">
        <v>1574</v>
      </c>
      <c r="N664" s="15" t="s">
        <v>1575</v>
      </c>
      <c r="O664" s="15"/>
      <c r="P664" s="15"/>
      <c r="Q664" s="15" t="b">
        <v>0</v>
      </c>
    </row>
    <row r="665" spans="1:17" ht="15" hidden="1" customHeight="1">
      <c r="A665" s="15">
        <v>3584</v>
      </c>
      <c r="B665" s="15">
        <v>664</v>
      </c>
      <c r="C665" s="15">
        <v>0</v>
      </c>
      <c r="D665" s="15">
        <v>196</v>
      </c>
      <c r="E665" s="15" t="b">
        <v>0</v>
      </c>
      <c r="F665" s="15" t="b">
        <v>0</v>
      </c>
      <c r="G665" s="33" t="s">
        <v>206</v>
      </c>
      <c r="H665" s="15" t="s">
        <v>1573</v>
      </c>
      <c r="I665" s="33" t="s">
        <v>213</v>
      </c>
      <c r="J665" s="15"/>
      <c r="K665" s="15"/>
      <c r="L665" s="120" t="s">
        <v>220</v>
      </c>
      <c r="M665" s="15" t="s">
        <v>1576</v>
      </c>
      <c r="N665" s="15" t="s">
        <v>1577</v>
      </c>
      <c r="O665" s="15"/>
      <c r="P665" s="15"/>
      <c r="Q665" s="15" t="b">
        <v>0</v>
      </c>
    </row>
    <row r="666" spans="1:17" ht="15" hidden="1" customHeight="1">
      <c r="A666" s="15">
        <v>3585</v>
      </c>
      <c r="B666" s="15">
        <v>665</v>
      </c>
      <c r="C666" s="15">
        <v>0</v>
      </c>
      <c r="D666" s="15">
        <v>196</v>
      </c>
      <c r="E666" s="15" t="b">
        <v>0</v>
      </c>
      <c r="F666" s="15" t="b">
        <v>0</v>
      </c>
      <c r="G666" s="33" t="s">
        <v>206</v>
      </c>
      <c r="H666" s="15" t="s">
        <v>1573</v>
      </c>
      <c r="I666" s="33" t="s">
        <v>216</v>
      </c>
      <c r="J666" s="15"/>
      <c r="K666" s="15"/>
      <c r="L666" s="120" t="s">
        <v>220</v>
      </c>
      <c r="M666" s="15" t="s">
        <v>1578</v>
      </c>
      <c r="N666" s="15" t="s">
        <v>1579</v>
      </c>
      <c r="O666" s="15"/>
      <c r="P666" s="15"/>
      <c r="Q666" s="15" t="b">
        <v>0</v>
      </c>
    </row>
    <row r="667" spans="1:17" ht="15" hidden="1" customHeight="1">
      <c r="A667" s="15">
        <v>3586</v>
      </c>
      <c r="B667" s="15">
        <v>666</v>
      </c>
      <c r="C667" s="15">
        <v>0</v>
      </c>
      <c r="D667" s="15">
        <v>196</v>
      </c>
      <c r="E667" s="15" t="b">
        <v>1</v>
      </c>
      <c r="F667" s="15" t="b">
        <v>0</v>
      </c>
      <c r="G667" s="33" t="s">
        <v>206</v>
      </c>
      <c r="H667" s="15" t="s">
        <v>1580</v>
      </c>
      <c r="I667" s="33" t="s">
        <v>208</v>
      </c>
      <c r="J667" s="15"/>
      <c r="K667" s="15"/>
      <c r="L667" s="120" t="s">
        <v>210</v>
      </c>
      <c r="M667" s="15" t="s">
        <v>1581</v>
      </c>
      <c r="N667" s="15" t="s">
        <v>1582</v>
      </c>
      <c r="O667" s="15"/>
      <c r="P667" s="15"/>
      <c r="Q667" s="15" t="b">
        <v>0</v>
      </c>
    </row>
    <row r="668" spans="1:17" ht="15" hidden="1" customHeight="1">
      <c r="A668" s="15">
        <v>3587</v>
      </c>
      <c r="B668" s="15">
        <v>667</v>
      </c>
      <c r="C668" s="15">
        <v>0</v>
      </c>
      <c r="D668" s="15">
        <v>196</v>
      </c>
      <c r="E668" s="15" t="b">
        <v>1</v>
      </c>
      <c r="F668" s="15" t="b">
        <v>0</v>
      </c>
      <c r="G668" s="33" t="s">
        <v>206</v>
      </c>
      <c r="H668" s="15" t="s">
        <v>1580</v>
      </c>
      <c r="I668" s="33" t="s">
        <v>213</v>
      </c>
      <c r="J668" s="15"/>
      <c r="K668" s="15"/>
      <c r="L668" s="120" t="s">
        <v>210</v>
      </c>
      <c r="M668" s="15" t="s">
        <v>1583</v>
      </c>
      <c r="N668" s="15" t="s">
        <v>1584</v>
      </c>
      <c r="O668" s="15"/>
      <c r="P668" s="15"/>
      <c r="Q668" s="15" t="b">
        <v>0</v>
      </c>
    </row>
    <row r="669" spans="1:17" ht="15" hidden="1" customHeight="1">
      <c r="A669" s="15">
        <v>3588</v>
      </c>
      <c r="B669" s="15">
        <v>668</v>
      </c>
      <c r="C669" s="15">
        <v>0</v>
      </c>
      <c r="D669" s="15">
        <v>196</v>
      </c>
      <c r="E669" s="15" t="b">
        <v>1</v>
      </c>
      <c r="F669" s="15" t="b">
        <v>0</v>
      </c>
      <c r="G669" s="33" t="s">
        <v>206</v>
      </c>
      <c r="H669" s="15" t="s">
        <v>1580</v>
      </c>
      <c r="I669" s="33" t="s">
        <v>216</v>
      </c>
      <c r="J669" s="15"/>
      <c r="K669" s="15"/>
      <c r="L669" s="120" t="s">
        <v>210</v>
      </c>
      <c r="M669" s="15" t="s">
        <v>1585</v>
      </c>
      <c r="N669" s="15" t="s">
        <v>1586</v>
      </c>
      <c r="O669" s="15"/>
      <c r="P669" s="15"/>
      <c r="Q669" s="15" t="b">
        <v>0</v>
      </c>
    </row>
    <row r="670" spans="1:17" ht="15" hidden="1" customHeight="1">
      <c r="A670" s="15">
        <v>3589</v>
      </c>
      <c r="B670" s="15">
        <v>669</v>
      </c>
      <c r="C670" s="15">
        <v>0</v>
      </c>
      <c r="D670" s="15">
        <v>196</v>
      </c>
      <c r="E670" s="15" t="b">
        <v>0</v>
      </c>
      <c r="F670" s="15" t="b">
        <v>0</v>
      </c>
      <c r="G670" s="33" t="s">
        <v>206</v>
      </c>
      <c r="H670" s="15" t="s">
        <v>1587</v>
      </c>
      <c r="I670" s="33" t="s">
        <v>208</v>
      </c>
      <c r="J670" s="15"/>
      <c r="K670" s="15"/>
      <c r="L670" s="120" t="s">
        <v>220</v>
      </c>
      <c r="M670" s="15" t="s">
        <v>1588</v>
      </c>
      <c r="N670" s="15" t="s">
        <v>1589</v>
      </c>
      <c r="O670" s="15"/>
      <c r="P670" s="15"/>
      <c r="Q670" s="15" t="b">
        <v>0</v>
      </c>
    </row>
    <row r="671" spans="1:17" ht="15" hidden="1" customHeight="1">
      <c r="A671" s="15">
        <v>3590</v>
      </c>
      <c r="B671" s="15">
        <v>670</v>
      </c>
      <c r="C671" s="15">
        <v>0</v>
      </c>
      <c r="D671" s="15">
        <v>196</v>
      </c>
      <c r="E671" s="15" t="b">
        <v>0</v>
      </c>
      <c r="F671" s="15" t="b">
        <v>0</v>
      </c>
      <c r="G671" s="33" t="s">
        <v>206</v>
      </c>
      <c r="H671" s="15" t="s">
        <v>1587</v>
      </c>
      <c r="I671" s="33" t="s">
        <v>213</v>
      </c>
      <c r="J671" s="15"/>
      <c r="K671" s="15"/>
      <c r="L671" s="120" t="s">
        <v>220</v>
      </c>
      <c r="M671" s="15" t="s">
        <v>1590</v>
      </c>
      <c r="N671" s="15" t="s">
        <v>1591</v>
      </c>
      <c r="O671" s="15"/>
      <c r="P671" s="15"/>
      <c r="Q671" s="15" t="b">
        <v>0</v>
      </c>
    </row>
    <row r="672" spans="1:17" ht="15" hidden="1" customHeight="1">
      <c r="A672" s="15">
        <v>3591</v>
      </c>
      <c r="B672" s="15">
        <v>671</v>
      </c>
      <c r="C672" s="15">
        <v>0</v>
      </c>
      <c r="D672" s="15">
        <v>196</v>
      </c>
      <c r="E672" s="15" t="b">
        <v>0</v>
      </c>
      <c r="F672" s="15" t="b">
        <v>0</v>
      </c>
      <c r="G672" s="33" t="s">
        <v>206</v>
      </c>
      <c r="H672" s="15" t="s">
        <v>1587</v>
      </c>
      <c r="I672" s="33" t="s">
        <v>216</v>
      </c>
      <c r="J672" s="15"/>
      <c r="K672" s="15"/>
      <c r="L672" s="120" t="s">
        <v>220</v>
      </c>
      <c r="M672" s="15" t="s">
        <v>1592</v>
      </c>
      <c r="N672" s="15" t="s">
        <v>1593</v>
      </c>
      <c r="O672" s="15"/>
      <c r="P672" s="15"/>
      <c r="Q672" s="15" t="b">
        <v>0</v>
      </c>
    </row>
    <row r="673" spans="1:17" ht="15" hidden="1" customHeight="1">
      <c r="A673" s="15">
        <v>3592</v>
      </c>
      <c r="B673" s="15">
        <v>672</v>
      </c>
      <c r="C673" s="15">
        <v>0</v>
      </c>
      <c r="D673" s="15">
        <v>196</v>
      </c>
      <c r="E673" s="15" t="b">
        <v>0</v>
      </c>
      <c r="F673" s="15" t="b">
        <v>0</v>
      </c>
      <c r="G673" s="33" t="s">
        <v>206</v>
      </c>
      <c r="H673" s="15" t="s">
        <v>1594</v>
      </c>
      <c r="I673" s="33" t="s">
        <v>208</v>
      </c>
      <c r="J673" s="15"/>
      <c r="K673" s="15"/>
      <c r="L673" s="120" t="s">
        <v>220</v>
      </c>
      <c r="M673" s="15" t="s">
        <v>1595</v>
      </c>
      <c r="N673" s="15" t="s">
        <v>1596</v>
      </c>
      <c r="O673" s="15"/>
      <c r="P673" s="15"/>
      <c r="Q673" s="15" t="b">
        <v>0</v>
      </c>
    </row>
    <row r="674" spans="1:17" ht="15" hidden="1" customHeight="1">
      <c r="A674" s="15">
        <v>3593</v>
      </c>
      <c r="B674" s="15">
        <v>673</v>
      </c>
      <c r="C674" s="15">
        <v>0</v>
      </c>
      <c r="D674" s="15">
        <v>196</v>
      </c>
      <c r="E674" s="15" t="b">
        <v>0</v>
      </c>
      <c r="F674" s="15" t="b">
        <v>0</v>
      </c>
      <c r="G674" s="33" t="s">
        <v>206</v>
      </c>
      <c r="H674" s="15" t="s">
        <v>1594</v>
      </c>
      <c r="I674" s="33" t="s">
        <v>213</v>
      </c>
      <c r="J674" s="15"/>
      <c r="K674" s="15"/>
      <c r="L674" s="120" t="s">
        <v>220</v>
      </c>
      <c r="M674" s="15" t="s">
        <v>1597</v>
      </c>
      <c r="N674" s="15" t="s">
        <v>1598</v>
      </c>
      <c r="O674" s="15"/>
      <c r="P674" s="15"/>
      <c r="Q674" s="15" t="b">
        <v>0</v>
      </c>
    </row>
    <row r="675" spans="1:17" ht="15" hidden="1" customHeight="1">
      <c r="A675" s="15">
        <v>3594</v>
      </c>
      <c r="B675" s="15">
        <v>674</v>
      </c>
      <c r="C675" s="15">
        <v>0</v>
      </c>
      <c r="D675" s="15">
        <v>196</v>
      </c>
      <c r="E675" s="15" t="b">
        <v>0</v>
      </c>
      <c r="F675" s="15" t="b">
        <v>0</v>
      </c>
      <c r="G675" s="33" t="s">
        <v>206</v>
      </c>
      <c r="H675" s="15" t="s">
        <v>1594</v>
      </c>
      <c r="I675" s="33" t="s">
        <v>216</v>
      </c>
      <c r="J675" s="15"/>
      <c r="K675" s="15"/>
      <c r="L675" s="120" t="s">
        <v>220</v>
      </c>
      <c r="M675" s="15" t="s">
        <v>1599</v>
      </c>
      <c r="N675" s="15" t="s">
        <v>1600</v>
      </c>
      <c r="O675" s="15"/>
      <c r="P675" s="15"/>
      <c r="Q675" s="15" t="b">
        <v>0</v>
      </c>
    </row>
    <row r="676" spans="1:17" ht="15" hidden="1" customHeight="1">
      <c r="A676" s="15">
        <v>3595</v>
      </c>
      <c r="B676" s="15">
        <v>675</v>
      </c>
      <c r="C676" s="15">
        <v>0</v>
      </c>
      <c r="D676" s="15">
        <v>196</v>
      </c>
      <c r="E676" s="15" t="b">
        <v>1</v>
      </c>
      <c r="F676" s="15" t="b">
        <v>0</v>
      </c>
      <c r="G676" s="33" t="s">
        <v>206</v>
      </c>
      <c r="H676" s="15" t="s">
        <v>1601</v>
      </c>
      <c r="I676" s="33" t="s">
        <v>208</v>
      </c>
      <c r="J676" s="15"/>
      <c r="K676" s="15"/>
      <c r="L676" s="120" t="s">
        <v>210</v>
      </c>
      <c r="M676" s="15" t="s">
        <v>1602</v>
      </c>
      <c r="N676" s="15" t="s">
        <v>1603</v>
      </c>
      <c r="O676" s="15"/>
      <c r="P676" s="15"/>
      <c r="Q676" s="15" t="b">
        <v>0</v>
      </c>
    </row>
    <row r="677" spans="1:17" ht="15" hidden="1" customHeight="1">
      <c r="A677" s="15">
        <v>3596</v>
      </c>
      <c r="B677" s="15">
        <v>676</v>
      </c>
      <c r="C677" s="15">
        <v>0</v>
      </c>
      <c r="D677" s="15">
        <v>196</v>
      </c>
      <c r="E677" s="15" t="b">
        <v>1</v>
      </c>
      <c r="F677" s="15" t="b">
        <v>0</v>
      </c>
      <c r="G677" s="33" t="s">
        <v>206</v>
      </c>
      <c r="H677" s="15" t="s">
        <v>1601</v>
      </c>
      <c r="I677" s="33" t="s">
        <v>213</v>
      </c>
      <c r="J677" s="15"/>
      <c r="K677" s="15"/>
      <c r="L677" s="120" t="s">
        <v>210</v>
      </c>
      <c r="M677" s="15" t="s">
        <v>1604</v>
      </c>
      <c r="N677" s="15" t="s">
        <v>1605</v>
      </c>
      <c r="O677" s="15"/>
      <c r="P677" s="15"/>
      <c r="Q677" s="15" t="b">
        <v>0</v>
      </c>
    </row>
    <row r="678" spans="1:17" ht="15" hidden="1" customHeight="1">
      <c r="A678" s="15">
        <v>3597</v>
      </c>
      <c r="B678" s="15">
        <v>677</v>
      </c>
      <c r="C678" s="15">
        <v>0</v>
      </c>
      <c r="D678" s="15">
        <v>196</v>
      </c>
      <c r="E678" s="15" t="b">
        <v>1</v>
      </c>
      <c r="F678" s="15" t="b">
        <v>0</v>
      </c>
      <c r="G678" s="33" t="s">
        <v>206</v>
      </c>
      <c r="H678" s="15" t="s">
        <v>1601</v>
      </c>
      <c r="I678" s="33" t="s">
        <v>216</v>
      </c>
      <c r="J678" s="15"/>
      <c r="K678" s="15"/>
      <c r="L678" s="120" t="s">
        <v>210</v>
      </c>
      <c r="M678" s="15" t="s">
        <v>1606</v>
      </c>
      <c r="N678" s="15" t="s">
        <v>1607</v>
      </c>
      <c r="O678" s="15"/>
      <c r="P678" s="15"/>
      <c r="Q678" s="15" t="b">
        <v>0</v>
      </c>
    </row>
    <row r="679" spans="1:17" ht="15" hidden="1" customHeight="1">
      <c r="A679" s="15">
        <v>3598</v>
      </c>
      <c r="B679" s="15">
        <v>678</v>
      </c>
      <c r="C679" s="15">
        <v>0</v>
      </c>
      <c r="D679" s="15">
        <v>196</v>
      </c>
      <c r="E679" s="15" t="b">
        <v>0</v>
      </c>
      <c r="F679" s="15" t="b">
        <v>0</v>
      </c>
      <c r="G679" s="33" t="s">
        <v>206</v>
      </c>
      <c r="H679" s="15" t="s">
        <v>1608</v>
      </c>
      <c r="I679" s="33" t="s">
        <v>208</v>
      </c>
      <c r="J679" s="15"/>
      <c r="K679" s="15"/>
      <c r="L679" s="120" t="s">
        <v>220</v>
      </c>
      <c r="M679" s="15" t="s">
        <v>1609</v>
      </c>
      <c r="N679" s="15" t="s">
        <v>1610</v>
      </c>
      <c r="O679" s="15"/>
      <c r="P679" s="15"/>
      <c r="Q679" s="15" t="b">
        <v>0</v>
      </c>
    </row>
    <row r="680" spans="1:17" ht="15" hidden="1" customHeight="1">
      <c r="A680" s="15">
        <v>3599</v>
      </c>
      <c r="B680" s="15">
        <v>679</v>
      </c>
      <c r="C680" s="15">
        <v>0</v>
      </c>
      <c r="D680" s="15">
        <v>196</v>
      </c>
      <c r="E680" s="15" t="b">
        <v>0</v>
      </c>
      <c r="F680" s="15" t="b">
        <v>0</v>
      </c>
      <c r="G680" s="33" t="s">
        <v>206</v>
      </c>
      <c r="H680" s="15" t="s">
        <v>1608</v>
      </c>
      <c r="I680" s="33" t="s">
        <v>213</v>
      </c>
      <c r="J680" s="15"/>
      <c r="K680" s="15"/>
      <c r="L680" s="120" t="s">
        <v>220</v>
      </c>
      <c r="M680" s="15" t="s">
        <v>1611</v>
      </c>
      <c r="N680" s="15" t="s">
        <v>1612</v>
      </c>
      <c r="O680" s="15"/>
      <c r="P680" s="15"/>
      <c r="Q680" s="15" t="b">
        <v>0</v>
      </c>
    </row>
    <row r="681" spans="1:17" ht="15" hidden="1" customHeight="1">
      <c r="A681" s="15">
        <v>3600</v>
      </c>
      <c r="B681" s="15">
        <v>680</v>
      </c>
      <c r="C681" s="15">
        <v>0</v>
      </c>
      <c r="D681" s="15">
        <v>196</v>
      </c>
      <c r="E681" s="15" t="b">
        <v>0</v>
      </c>
      <c r="F681" s="15" t="b">
        <v>0</v>
      </c>
      <c r="G681" s="33" t="s">
        <v>206</v>
      </c>
      <c r="H681" s="15" t="s">
        <v>1608</v>
      </c>
      <c r="I681" s="33" t="s">
        <v>216</v>
      </c>
      <c r="J681" s="15"/>
      <c r="K681" s="15"/>
      <c r="L681" s="120" t="s">
        <v>220</v>
      </c>
      <c r="M681" s="15" t="s">
        <v>1613</v>
      </c>
      <c r="N681" s="15" t="s">
        <v>1614</v>
      </c>
      <c r="O681" s="15"/>
      <c r="P681" s="15"/>
      <c r="Q681" s="15" t="b">
        <v>0</v>
      </c>
    </row>
    <row r="682" spans="1:17" ht="15" hidden="1" customHeight="1">
      <c r="A682" s="15">
        <v>3601</v>
      </c>
      <c r="B682" s="15">
        <v>681</v>
      </c>
      <c r="C682" s="15">
        <v>0</v>
      </c>
      <c r="D682" s="15">
        <v>196</v>
      </c>
      <c r="E682" s="15" t="b">
        <v>1</v>
      </c>
      <c r="F682" s="15" t="b">
        <v>0</v>
      </c>
      <c r="G682" s="33" t="s">
        <v>206</v>
      </c>
      <c r="H682" s="15" t="s">
        <v>1615</v>
      </c>
      <c r="I682" s="33" t="s">
        <v>208</v>
      </c>
      <c r="J682" s="15"/>
      <c r="K682" s="15"/>
      <c r="L682" s="120" t="s">
        <v>210</v>
      </c>
      <c r="M682" s="15" t="s">
        <v>1616</v>
      </c>
      <c r="N682" s="15" t="s">
        <v>1617</v>
      </c>
      <c r="O682" s="15"/>
      <c r="P682" s="15"/>
      <c r="Q682" s="15" t="b">
        <v>0</v>
      </c>
    </row>
    <row r="683" spans="1:17" ht="15" hidden="1" customHeight="1">
      <c r="A683" s="15">
        <v>3602</v>
      </c>
      <c r="B683" s="15">
        <v>682</v>
      </c>
      <c r="C683" s="15">
        <v>0</v>
      </c>
      <c r="D683" s="15">
        <v>196</v>
      </c>
      <c r="E683" s="15" t="b">
        <v>1</v>
      </c>
      <c r="F683" s="15" t="b">
        <v>0</v>
      </c>
      <c r="G683" s="33" t="s">
        <v>206</v>
      </c>
      <c r="H683" s="15" t="s">
        <v>1615</v>
      </c>
      <c r="I683" s="33" t="s">
        <v>213</v>
      </c>
      <c r="J683" s="15"/>
      <c r="K683" s="15"/>
      <c r="L683" s="120" t="s">
        <v>210</v>
      </c>
      <c r="M683" s="15" t="s">
        <v>1618</v>
      </c>
      <c r="N683" s="15" t="s">
        <v>1619</v>
      </c>
      <c r="O683" s="15"/>
      <c r="P683" s="15"/>
      <c r="Q683" s="15" t="b">
        <v>0</v>
      </c>
    </row>
    <row r="684" spans="1:17" ht="15" hidden="1" customHeight="1">
      <c r="A684" s="15">
        <v>3603</v>
      </c>
      <c r="B684" s="15">
        <v>683</v>
      </c>
      <c r="C684" s="15">
        <v>0</v>
      </c>
      <c r="D684" s="15">
        <v>196</v>
      </c>
      <c r="E684" s="15" t="b">
        <v>1</v>
      </c>
      <c r="F684" s="15" t="b">
        <v>0</v>
      </c>
      <c r="G684" s="33" t="s">
        <v>206</v>
      </c>
      <c r="H684" s="15" t="s">
        <v>1615</v>
      </c>
      <c r="I684" s="33" t="s">
        <v>216</v>
      </c>
      <c r="J684" s="15"/>
      <c r="K684" s="15"/>
      <c r="L684" s="120" t="s">
        <v>210</v>
      </c>
      <c r="M684" s="15" t="s">
        <v>1620</v>
      </c>
      <c r="N684" s="15" t="s">
        <v>1621</v>
      </c>
      <c r="O684" s="15"/>
      <c r="P684" s="15"/>
      <c r="Q684" s="15" t="b">
        <v>0</v>
      </c>
    </row>
    <row r="685" spans="1:17" ht="15" hidden="1" customHeight="1">
      <c r="A685" s="15">
        <v>3604</v>
      </c>
      <c r="B685" s="15">
        <v>684</v>
      </c>
      <c r="C685" s="15">
        <v>0</v>
      </c>
      <c r="D685" s="15">
        <v>196</v>
      </c>
      <c r="E685" s="15" t="b">
        <v>0</v>
      </c>
      <c r="F685" s="15" t="b">
        <v>0</v>
      </c>
      <c r="G685" s="33" t="s">
        <v>206</v>
      </c>
      <c r="H685" s="15" t="s">
        <v>1622</v>
      </c>
      <c r="I685" s="33" t="s">
        <v>208</v>
      </c>
      <c r="J685" s="15"/>
      <c r="K685" s="15"/>
      <c r="L685" s="120" t="s">
        <v>220</v>
      </c>
      <c r="M685" s="15" t="s">
        <v>1623</v>
      </c>
      <c r="N685" s="15" t="s">
        <v>1624</v>
      </c>
      <c r="O685" s="15"/>
      <c r="P685" s="15"/>
      <c r="Q685" s="15" t="b">
        <v>0</v>
      </c>
    </row>
    <row r="686" spans="1:17" ht="15" hidden="1" customHeight="1">
      <c r="A686" s="15">
        <v>3605</v>
      </c>
      <c r="B686" s="15">
        <v>685</v>
      </c>
      <c r="C686" s="15">
        <v>0</v>
      </c>
      <c r="D686" s="15">
        <v>196</v>
      </c>
      <c r="E686" s="15" t="b">
        <v>0</v>
      </c>
      <c r="F686" s="15" t="b">
        <v>0</v>
      </c>
      <c r="G686" s="33" t="s">
        <v>206</v>
      </c>
      <c r="H686" s="15" t="s">
        <v>1622</v>
      </c>
      <c r="I686" s="33" t="s">
        <v>213</v>
      </c>
      <c r="J686" s="15"/>
      <c r="K686" s="15"/>
      <c r="L686" s="120" t="s">
        <v>220</v>
      </c>
      <c r="M686" s="15" t="s">
        <v>1625</v>
      </c>
      <c r="N686" s="15" t="s">
        <v>1626</v>
      </c>
      <c r="O686" s="15"/>
      <c r="P686" s="15"/>
      <c r="Q686" s="15" t="b">
        <v>0</v>
      </c>
    </row>
    <row r="687" spans="1:17" ht="15" hidden="1" customHeight="1">
      <c r="A687" s="15">
        <v>3606</v>
      </c>
      <c r="B687" s="15">
        <v>686</v>
      </c>
      <c r="C687" s="15">
        <v>0</v>
      </c>
      <c r="D687" s="15">
        <v>196</v>
      </c>
      <c r="E687" s="15" t="b">
        <v>0</v>
      </c>
      <c r="F687" s="15" t="b">
        <v>0</v>
      </c>
      <c r="G687" s="33" t="s">
        <v>206</v>
      </c>
      <c r="H687" s="15" t="s">
        <v>1622</v>
      </c>
      <c r="I687" s="33" t="s">
        <v>216</v>
      </c>
      <c r="J687" s="15"/>
      <c r="K687" s="15"/>
      <c r="L687" s="120" t="s">
        <v>220</v>
      </c>
      <c r="M687" s="15" t="s">
        <v>1627</v>
      </c>
      <c r="N687" s="15" t="s">
        <v>1628</v>
      </c>
      <c r="O687" s="15"/>
      <c r="P687" s="15"/>
      <c r="Q687" s="15" t="b">
        <v>0</v>
      </c>
    </row>
    <row r="688" spans="1:17" ht="15" hidden="1" customHeight="1">
      <c r="A688" s="15">
        <v>3607</v>
      </c>
      <c r="B688" s="15">
        <v>687</v>
      </c>
      <c r="C688" s="15">
        <v>0</v>
      </c>
      <c r="D688" s="15">
        <v>196</v>
      </c>
      <c r="E688" s="15" t="b">
        <v>0</v>
      </c>
      <c r="F688" s="15" t="b">
        <v>0</v>
      </c>
      <c r="G688" s="33" t="s">
        <v>206</v>
      </c>
      <c r="H688" s="15" t="s">
        <v>1629</v>
      </c>
      <c r="I688" s="33" t="s">
        <v>208</v>
      </c>
      <c r="J688" s="15"/>
      <c r="K688" s="15"/>
      <c r="L688" s="120" t="s">
        <v>220</v>
      </c>
      <c r="M688" s="15" t="s">
        <v>1630</v>
      </c>
      <c r="N688" s="15" t="s">
        <v>1631</v>
      </c>
      <c r="O688" s="15"/>
      <c r="P688" s="15"/>
      <c r="Q688" s="15" t="b">
        <v>0</v>
      </c>
    </row>
    <row r="689" spans="1:17" ht="15" hidden="1" customHeight="1">
      <c r="A689" s="15">
        <v>3608</v>
      </c>
      <c r="B689" s="15">
        <v>688</v>
      </c>
      <c r="C689" s="15">
        <v>0</v>
      </c>
      <c r="D689" s="15">
        <v>196</v>
      </c>
      <c r="E689" s="15" t="b">
        <v>0</v>
      </c>
      <c r="F689" s="15" t="b">
        <v>0</v>
      </c>
      <c r="G689" s="33" t="s">
        <v>206</v>
      </c>
      <c r="H689" s="15" t="s">
        <v>1629</v>
      </c>
      <c r="I689" s="33" t="s">
        <v>213</v>
      </c>
      <c r="J689" s="15"/>
      <c r="K689" s="15"/>
      <c r="L689" s="120" t="s">
        <v>220</v>
      </c>
      <c r="M689" s="15" t="s">
        <v>1632</v>
      </c>
      <c r="N689" s="15" t="s">
        <v>1633</v>
      </c>
      <c r="O689" s="15"/>
      <c r="P689" s="15"/>
      <c r="Q689" s="15" t="b">
        <v>0</v>
      </c>
    </row>
    <row r="690" spans="1:17" ht="15" hidden="1" customHeight="1">
      <c r="A690" s="15">
        <v>3609</v>
      </c>
      <c r="B690" s="15">
        <v>689</v>
      </c>
      <c r="C690" s="15">
        <v>0</v>
      </c>
      <c r="D690" s="15">
        <v>196</v>
      </c>
      <c r="E690" s="15" t="b">
        <v>0</v>
      </c>
      <c r="F690" s="15" t="b">
        <v>0</v>
      </c>
      <c r="G690" s="33" t="s">
        <v>206</v>
      </c>
      <c r="H690" s="15" t="s">
        <v>1629</v>
      </c>
      <c r="I690" s="33" t="s">
        <v>216</v>
      </c>
      <c r="J690" s="15"/>
      <c r="K690" s="15"/>
      <c r="L690" s="120" t="s">
        <v>220</v>
      </c>
      <c r="M690" s="15" t="s">
        <v>1634</v>
      </c>
      <c r="N690" s="15" t="s">
        <v>1635</v>
      </c>
      <c r="O690" s="15"/>
      <c r="P690" s="15"/>
      <c r="Q690" s="15" t="b">
        <v>0</v>
      </c>
    </row>
    <row r="691" spans="1:17" ht="15" hidden="1" customHeight="1">
      <c r="A691" s="15">
        <v>3610</v>
      </c>
      <c r="B691" s="15">
        <v>690</v>
      </c>
      <c r="C691" s="15">
        <v>0</v>
      </c>
      <c r="D691" s="15">
        <v>196</v>
      </c>
      <c r="E691" s="15" t="b">
        <v>1</v>
      </c>
      <c r="F691" s="15" t="b">
        <v>0</v>
      </c>
      <c r="G691" s="33" t="s">
        <v>206</v>
      </c>
      <c r="H691" s="15" t="s">
        <v>1636</v>
      </c>
      <c r="I691" s="33" t="s">
        <v>208</v>
      </c>
      <c r="J691" s="15"/>
      <c r="K691" s="15"/>
      <c r="L691" s="120" t="s">
        <v>210</v>
      </c>
      <c r="M691" s="15" t="s">
        <v>1637</v>
      </c>
      <c r="N691" s="15" t="s">
        <v>1638</v>
      </c>
      <c r="O691" s="15"/>
      <c r="P691" s="15"/>
      <c r="Q691" s="15" t="b">
        <v>0</v>
      </c>
    </row>
    <row r="692" spans="1:17" ht="15" hidden="1" customHeight="1">
      <c r="A692" s="15">
        <v>3611</v>
      </c>
      <c r="B692" s="15">
        <v>691</v>
      </c>
      <c r="C692" s="15">
        <v>0</v>
      </c>
      <c r="D692" s="15">
        <v>196</v>
      </c>
      <c r="E692" s="15" t="b">
        <v>1</v>
      </c>
      <c r="F692" s="15" t="b">
        <v>0</v>
      </c>
      <c r="G692" s="33" t="s">
        <v>206</v>
      </c>
      <c r="H692" s="15" t="s">
        <v>1636</v>
      </c>
      <c r="I692" s="33" t="s">
        <v>213</v>
      </c>
      <c r="J692" s="15"/>
      <c r="K692" s="15"/>
      <c r="L692" s="120" t="s">
        <v>210</v>
      </c>
      <c r="M692" s="15" t="s">
        <v>1639</v>
      </c>
      <c r="N692" s="15" t="s">
        <v>1640</v>
      </c>
      <c r="O692" s="15"/>
      <c r="P692" s="15"/>
      <c r="Q692" s="15" t="b">
        <v>0</v>
      </c>
    </row>
    <row r="693" spans="1:17" ht="15" hidden="1" customHeight="1">
      <c r="A693" s="15">
        <v>3612</v>
      </c>
      <c r="B693" s="15">
        <v>692</v>
      </c>
      <c r="C693" s="15">
        <v>0</v>
      </c>
      <c r="D693" s="15">
        <v>196</v>
      </c>
      <c r="E693" s="15" t="b">
        <v>1</v>
      </c>
      <c r="F693" s="15" t="b">
        <v>0</v>
      </c>
      <c r="G693" s="33" t="s">
        <v>206</v>
      </c>
      <c r="H693" s="15" t="s">
        <v>1636</v>
      </c>
      <c r="I693" s="33" t="s">
        <v>216</v>
      </c>
      <c r="J693" s="15"/>
      <c r="K693" s="15"/>
      <c r="L693" s="120" t="s">
        <v>210</v>
      </c>
      <c r="M693" s="15" t="s">
        <v>1641</v>
      </c>
      <c r="N693" s="15" t="s">
        <v>1642</v>
      </c>
      <c r="O693" s="15"/>
      <c r="P693" s="15"/>
      <c r="Q693" s="15" t="b">
        <v>0</v>
      </c>
    </row>
    <row r="694" spans="1:17" ht="15" hidden="1" customHeight="1">
      <c r="A694" s="15">
        <v>3613</v>
      </c>
      <c r="B694" s="15">
        <v>693</v>
      </c>
      <c r="C694" s="15">
        <v>0</v>
      </c>
      <c r="D694" s="15">
        <v>196</v>
      </c>
      <c r="E694" s="15" t="b">
        <v>0</v>
      </c>
      <c r="F694" s="15" t="b">
        <v>0</v>
      </c>
      <c r="G694" s="33" t="s">
        <v>206</v>
      </c>
      <c r="H694" s="15" t="s">
        <v>1643</v>
      </c>
      <c r="I694" s="33" t="s">
        <v>208</v>
      </c>
      <c r="J694" s="15"/>
      <c r="K694" s="15"/>
      <c r="L694" s="120" t="s">
        <v>220</v>
      </c>
      <c r="M694" s="15" t="s">
        <v>1644</v>
      </c>
      <c r="N694" s="15" t="s">
        <v>1645</v>
      </c>
      <c r="O694" s="15"/>
      <c r="P694" s="15"/>
      <c r="Q694" s="15" t="b">
        <v>0</v>
      </c>
    </row>
    <row r="695" spans="1:17" ht="15" hidden="1" customHeight="1">
      <c r="A695" s="15">
        <v>3614</v>
      </c>
      <c r="B695" s="15">
        <v>694</v>
      </c>
      <c r="C695" s="15">
        <v>0</v>
      </c>
      <c r="D695" s="15">
        <v>196</v>
      </c>
      <c r="E695" s="15" t="b">
        <v>0</v>
      </c>
      <c r="F695" s="15" t="b">
        <v>0</v>
      </c>
      <c r="G695" s="33" t="s">
        <v>206</v>
      </c>
      <c r="H695" s="15" t="s">
        <v>1643</v>
      </c>
      <c r="I695" s="33" t="s">
        <v>213</v>
      </c>
      <c r="J695" s="15"/>
      <c r="K695" s="15"/>
      <c r="L695" s="120" t="s">
        <v>220</v>
      </c>
      <c r="M695" s="15" t="s">
        <v>1646</v>
      </c>
      <c r="N695" s="15" t="s">
        <v>1647</v>
      </c>
      <c r="O695" s="15"/>
      <c r="P695" s="15"/>
      <c r="Q695" s="15" t="b">
        <v>0</v>
      </c>
    </row>
    <row r="696" spans="1:17" ht="15" hidden="1" customHeight="1">
      <c r="A696" s="15">
        <v>3615</v>
      </c>
      <c r="B696" s="15">
        <v>695</v>
      </c>
      <c r="C696" s="15">
        <v>0</v>
      </c>
      <c r="D696" s="15">
        <v>196</v>
      </c>
      <c r="E696" s="15" t="b">
        <v>0</v>
      </c>
      <c r="F696" s="15" t="b">
        <v>0</v>
      </c>
      <c r="G696" s="33" t="s">
        <v>206</v>
      </c>
      <c r="H696" s="15" t="s">
        <v>1643</v>
      </c>
      <c r="I696" s="33" t="s">
        <v>216</v>
      </c>
      <c r="J696" s="15"/>
      <c r="K696" s="15"/>
      <c r="L696" s="120" t="s">
        <v>220</v>
      </c>
      <c r="M696" s="15" t="s">
        <v>1648</v>
      </c>
      <c r="N696" s="15" t="s">
        <v>1649</v>
      </c>
      <c r="O696" s="15"/>
      <c r="P696" s="15"/>
      <c r="Q696" s="15" t="b">
        <v>0</v>
      </c>
    </row>
    <row r="697" spans="1:17" ht="15" hidden="1" customHeight="1">
      <c r="A697" s="15">
        <v>3616</v>
      </c>
      <c r="B697" s="15">
        <v>696</v>
      </c>
      <c r="C697" s="15">
        <v>0</v>
      </c>
      <c r="D697" s="15">
        <v>196</v>
      </c>
      <c r="E697" s="15" t="b">
        <v>0</v>
      </c>
      <c r="F697" s="15" t="b">
        <v>0</v>
      </c>
      <c r="G697" s="33" t="s">
        <v>206</v>
      </c>
      <c r="H697" s="15" t="s">
        <v>1650</v>
      </c>
      <c r="I697" s="33" t="s">
        <v>208</v>
      </c>
      <c r="J697" s="15"/>
      <c r="K697" s="15"/>
      <c r="L697" s="120" t="s">
        <v>220</v>
      </c>
      <c r="M697" s="15" t="s">
        <v>1651</v>
      </c>
      <c r="N697" s="15" t="s">
        <v>1652</v>
      </c>
      <c r="O697" s="15"/>
      <c r="P697" s="15"/>
      <c r="Q697" s="15" t="b">
        <v>0</v>
      </c>
    </row>
    <row r="698" spans="1:17" ht="15" hidden="1" customHeight="1">
      <c r="A698" s="15">
        <v>3617</v>
      </c>
      <c r="B698" s="15">
        <v>697</v>
      </c>
      <c r="C698" s="15">
        <v>0</v>
      </c>
      <c r="D698" s="15">
        <v>196</v>
      </c>
      <c r="E698" s="15" t="b">
        <v>0</v>
      </c>
      <c r="F698" s="15" t="b">
        <v>0</v>
      </c>
      <c r="G698" s="33" t="s">
        <v>206</v>
      </c>
      <c r="H698" s="15" t="s">
        <v>1650</v>
      </c>
      <c r="I698" s="33" t="s">
        <v>213</v>
      </c>
      <c r="J698" s="15"/>
      <c r="K698" s="15"/>
      <c r="L698" s="120" t="s">
        <v>220</v>
      </c>
      <c r="M698" s="15" t="s">
        <v>1653</v>
      </c>
      <c r="N698" s="15" t="s">
        <v>1654</v>
      </c>
      <c r="O698" s="15"/>
      <c r="P698" s="15"/>
      <c r="Q698" s="15" t="b">
        <v>0</v>
      </c>
    </row>
    <row r="699" spans="1:17" ht="15" hidden="1" customHeight="1">
      <c r="A699" s="15">
        <v>3618</v>
      </c>
      <c r="B699" s="15">
        <v>698</v>
      </c>
      <c r="C699" s="15">
        <v>0</v>
      </c>
      <c r="D699" s="15">
        <v>196</v>
      </c>
      <c r="E699" s="15" t="b">
        <v>0</v>
      </c>
      <c r="F699" s="15" t="b">
        <v>0</v>
      </c>
      <c r="G699" s="33" t="s">
        <v>206</v>
      </c>
      <c r="H699" s="15" t="s">
        <v>1650</v>
      </c>
      <c r="I699" s="33" t="s">
        <v>216</v>
      </c>
      <c r="J699" s="15"/>
      <c r="K699" s="15"/>
      <c r="L699" s="120" t="s">
        <v>220</v>
      </c>
      <c r="M699" s="15" t="s">
        <v>1655</v>
      </c>
      <c r="N699" s="15" t="s">
        <v>1656</v>
      </c>
      <c r="O699" s="15"/>
      <c r="P699" s="15"/>
      <c r="Q699" s="15" t="b">
        <v>0</v>
      </c>
    </row>
    <row r="700" spans="1:17" ht="15" hidden="1" customHeight="1">
      <c r="A700" s="15">
        <v>3619</v>
      </c>
      <c r="B700" s="15">
        <v>699</v>
      </c>
      <c r="C700" s="15">
        <v>0</v>
      </c>
      <c r="D700" s="15">
        <v>196</v>
      </c>
      <c r="E700" s="15" t="b">
        <v>1</v>
      </c>
      <c r="F700" s="15" t="b">
        <v>0</v>
      </c>
      <c r="G700" s="33" t="s">
        <v>206</v>
      </c>
      <c r="H700" s="15" t="s">
        <v>1657</v>
      </c>
      <c r="I700" s="33" t="s">
        <v>208</v>
      </c>
      <c r="J700" s="15"/>
      <c r="K700" s="15"/>
      <c r="L700" s="120" t="s">
        <v>210</v>
      </c>
      <c r="M700" s="15" t="s">
        <v>1658</v>
      </c>
      <c r="N700" s="15" t="s">
        <v>1659</v>
      </c>
      <c r="O700" s="15"/>
      <c r="P700" s="15"/>
      <c r="Q700" s="15" t="b">
        <v>0</v>
      </c>
    </row>
    <row r="701" spans="1:17" ht="15" hidden="1" customHeight="1">
      <c r="A701" s="15">
        <v>3620</v>
      </c>
      <c r="B701" s="15">
        <v>700</v>
      </c>
      <c r="C701" s="15">
        <v>0</v>
      </c>
      <c r="D701" s="15">
        <v>196</v>
      </c>
      <c r="E701" s="15" t="b">
        <v>1</v>
      </c>
      <c r="F701" s="15" t="b">
        <v>0</v>
      </c>
      <c r="G701" s="33" t="s">
        <v>206</v>
      </c>
      <c r="H701" s="15" t="s">
        <v>1657</v>
      </c>
      <c r="I701" s="33" t="s">
        <v>213</v>
      </c>
      <c r="J701" s="15"/>
      <c r="K701" s="15"/>
      <c r="L701" s="120" t="s">
        <v>210</v>
      </c>
      <c r="M701" s="15" t="s">
        <v>1660</v>
      </c>
      <c r="N701" s="15" t="s">
        <v>1661</v>
      </c>
      <c r="O701" s="15"/>
      <c r="P701" s="15"/>
      <c r="Q701" s="15" t="b">
        <v>0</v>
      </c>
    </row>
    <row r="702" spans="1:17" ht="15" hidden="1" customHeight="1">
      <c r="A702" s="15">
        <v>3621</v>
      </c>
      <c r="B702" s="15">
        <v>701</v>
      </c>
      <c r="C702" s="15">
        <v>0</v>
      </c>
      <c r="D702" s="15">
        <v>196</v>
      </c>
      <c r="E702" s="15" t="b">
        <v>1</v>
      </c>
      <c r="F702" s="15" t="b">
        <v>0</v>
      </c>
      <c r="G702" s="33" t="s">
        <v>206</v>
      </c>
      <c r="H702" s="15" t="s">
        <v>1657</v>
      </c>
      <c r="I702" s="33" t="s">
        <v>216</v>
      </c>
      <c r="J702" s="15"/>
      <c r="K702" s="15"/>
      <c r="L702" s="120" t="s">
        <v>210</v>
      </c>
      <c r="M702" s="15" t="s">
        <v>1662</v>
      </c>
      <c r="N702" s="15" t="s">
        <v>1663</v>
      </c>
      <c r="O702" s="15"/>
      <c r="P702" s="15"/>
      <c r="Q702" s="15" t="b">
        <v>0</v>
      </c>
    </row>
    <row r="703" spans="1:17" ht="15" hidden="1" customHeight="1">
      <c r="A703" s="15">
        <v>3622</v>
      </c>
      <c r="B703" s="15">
        <v>702</v>
      </c>
      <c r="C703" s="15">
        <v>0</v>
      </c>
      <c r="D703" s="15">
        <v>196</v>
      </c>
      <c r="E703" s="15" t="b">
        <v>0</v>
      </c>
      <c r="F703" s="15" t="b">
        <v>0</v>
      </c>
      <c r="G703" s="33" t="s">
        <v>206</v>
      </c>
      <c r="H703" s="15" t="s">
        <v>1664</v>
      </c>
      <c r="I703" s="33" t="s">
        <v>208</v>
      </c>
      <c r="J703" s="15"/>
      <c r="K703" s="15"/>
      <c r="L703" s="120" t="s">
        <v>220</v>
      </c>
      <c r="M703" s="15" t="s">
        <v>1665</v>
      </c>
      <c r="N703" s="15" t="s">
        <v>1666</v>
      </c>
      <c r="O703" s="15"/>
      <c r="P703" s="15"/>
      <c r="Q703" s="15" t="b">
        <v>0</v>
      </c>
    </row>
    <row r="704" spans="1:17" ht="15" hidden="1" customHeight="1">
      <c r="A704" s="15">
        <v>3623</v>
      </c>
      <c r="B704" s="15">
        <v>703</v>
      </c>
      <c r="C704" s="15">
        <v>0</v>
      </c>
      <c r="D704" s="15">
        <v>196</v>
      </c>
      <c r="E704" s="15" t="b">
        <v>0</v>
      </c>
      <c r="F704" s="15" t="b">
        <v>0</v>
      </c>
      <c r="G704" s="33" t="s">
        <v>206</v>
      </c>
      <c r="H704" s="15" t="s">
        <v>1664</v>
      </c>
      <c r="I704" s="33" t="s">
        <v>213</v>
      </c>
      <c r="J704" s="15"/>
      <c r="K704" s="15"/>
      <c r="L704" s="120" t="s">
        <v>220</v>
      </c>
      <c r="M704" s="15" t="s">
        <v>1667</v>
      </c>
      <c r="N704" s="15" t="s">
        <v>1668</v>
      </c>
      <c r="O704" s="15"/>
      <c r="P704" s="15"/>
      <c r="Q704" s="15" t="b">
        <v>0</v>
      </c>
    </row>
    <row r="705" spans="1:17" ht="15" hidden="1" customHeight="1">
      <c r="A705" s="15">
        <v>3624</v>
      </c>
      <c r="B705" s="15">
        <v>704</v>
      </c>
      <c r="C705" s="15">
        <v>0</v>
      </c>
      <c r="D705" s="15">
        <v>196</v>
      </c>
      <c r="E705" s="15" t="b">
        <v>0</v>
      </c>
      <c r="F705" s="15" t="b">
        <v>0</v>
      </c>
      <c r="G705" s="33" t="s">
        <v>206</v>
      </c>
      <c r="H705" s="15" t="s">
        <v>1664</v>
      </c>
      <c r="I705" s="33" t="s">
        <v>216</v>
      </c>
      <c r="J705" s="15"/>
      <c r="K705" s="15"/>
      <c r="L705" s="120" t="s">
        <v>220</v>
      </c>
      <c r="M705" s="15" t="s">
        <v>1669</v>
      </c>
      <c r="N705" s="15" t="s">
        <v>1670</v>
      </c>
      <c r="O705" s="15"/>
      <c r="P705" s="15"/>
      <c r="Q705" s="15" t="b">
        <v>0</v>
      </c>
    </row>
    <row r="706" spans="1:17" ht="15" hidden="1" customHeight="1">
      <c r="A706" s="15">
        <v>3625</v>
      </c>
      <c r="B706" s="15">
        <v>705</v>
      </c>
      <c r="C706" s="15">
        <v>0</v>
      </c>
      <c r="D706" s="15">
        <v>196</v>
      </c>
      <c r="E706" s="15" t="b">
        <v>1</v>
      </c>
      <c r="F706" s="15" t="b">
        <v>0</v>
      </c>
      <c r="G706" s="33" t="s">
        <v>206</v>
      </c>
      <c r="H706" s="15" t="s">
        <v>1671</v>
      </c>
      <c r="I706" s="33" t="s">
        <v>208</v>
      </c>
      <c r="J706" s="15"/>
      <c r="K706" s="15"/>
      <c r="L706" s="120" t="s">
        <v>210</v>
      </c>
      <c r="M706" s="15" t="s">
        <v>1672</v>
      </c>
      <c r="N706" s="15" t="s">
        <v>1673</v>
      </c>
      <c r="O706" s="15"/>
      <c r="P706" s="15"/>
      <c r="Q706" s="15" t="b">
        <v>0</v>
      </c>
    </row>
    <row r="707" spans="1:17" ht="15" hidden="1" customHeight="1">
      <c r="A707" s="15">
        <v>3626</v>
      </c>
      <c r="B707" s="15">
        <v>706</v>
      </c>
      <c r="C707" s="15">
        <v>0</v>
      </c>
      <c r="D707" s="15">
        <v>196</v>
      </c>
      <c r="E707" s="15" t="b">
        <v>1</v>
      </c>
      <c r="F707" s="15" t="b">
        <v>0</v>
      </c>
      <c r="G707" s="33" t="s">
        <v>206</v>
      </c>
      <c r="H707" s="15" t="s">
        <v>1671</v>
      </c>
      <c r="I707" s="33" t="s">
        <v>213</v>
      </c>
      <c r="J707" s="15"/>
      <c r="K707" s="15"/>
      <c r="L707" s="120" t="s">
        <v>210</v>
      </c>
      <c r="M707" s="15" t="s">
        <v>1674</v>
      </c>
      <c r="N707" s="15" t="s">
        <v>1675</v>
      </c>
      <c r="O707" s="15"/>
      <c r="P707" s="15"/>
      <c r="Q707" s="15" t="b">
        <v>0</v>
      </c>
    </row>
    <row r="708" spans="1:17" ht="15" hidden="1" customHeight="1">
      <c r="A708" s="15">
        <v>3627</v>
      </c>
      <c r="B708" s="15">
        <v>707</v>
      </c>
      <c r="C708" s="15">
        <v>0</v>
      </c>
      <c r="D708" s="15">
        <v>196</v>
      </c>
      <c r="E708" s="15" t="b">
        <v>1</v>
      </c>
      <c r="F708" s="15" t="b">
        <v>0</v>
      </c>
      <c r="G708" s="33" t="s">
        <v>206</v>
      </c>
      <c r="H708" s="15" t="s">
        <v>1671</v>
      </c>
      <c r="I708" s="33" t="s">
        <v>216</v>
      </c>
      <c r="J708" s="15"/>
      <c r="K708" s="15"/>
      <c r="L708" s="120" t="s">
        <v>210</v>
      </c>
      <c r="M708" s="15" t="s">
        <v>1676</v>
      </c>
      <c r="N708" s="15" t="s">
        <v>1677</v>
      </c>
      <c r="O708" s="15"/>
      <c r="P708" s="15"/>
      <c r="Q708" s="15" t="b">
        <v>0</v>
      </c>
    </row>
    <row r="709" spans="1:17" ht="15" hidden="1" customHeight="1">
      <c r="A709" s="15">
        <v>3628</v>
      </c>
      <c r="B709" s="15">
        <v>708</v>
      </c>
      <c r="C709" s="15">
        <v>0</v>
      </c>
      <c r="D709" s="15">
        <v>196</v>
      </c>
      <c r="E709" s="15" t="b">
        <v>0</v>
      </c>
      <c r="F709" s="15" t="b">
        <v>0</v>
      </c>
      <c r="G709" s="33" t="s">
        <v>206</v>
      </c>
      <c r="H709" s="15" t="s">
        <v>1678</v>
      </c>
      <c r="I709" s="33" t="s">
        <v>208</v>
      </c>
      <c r="J709" s="15"/>
      <c r="K709" s="15"/>
      <c r="L709" s="120" t="s">
        <v>220</v>
      </c>
      <c r="M709" s="15" t="s">
        <v>1679</v>
      </c>
      <c r="N709" s="15" t="s">
        <v>1680</v>
      </c>
      <c r="O709" s="15"/>
      <c r="P709" s="15"/>
      <c r="Q709" s="15" t="b">
        <v>0</v>
      </c>
    </row>
    <row r="710" spans="1:17" ht="15" hidden="1" customHeight="1">
      <c r="A710" s="15">
        <v>3629</v>
      </c>
      <c r="B710" s="15">
        <v>709</v>
      </c>
      <c r="C710" s="15">
        <v>0</v>
      </c>
      <c r="D710" s="15">
        <v>196</v>
      </c>
      <c r="E710" s="15" t="b">
        <v>0</v>
      </c>
      <c r="F710" s="15" t="b">
        <v>0</v>
      </c>
      <c r="G710" s="33" t="s">
        <v>206</v>
      </c>
      <c r="H710" s="15" t="s">
        <v>1678</v>
      </c>
      <c r="I710" s="33" t="s">
        <v>213</v>
      </c>
      <c r="J710" s="15"/>
      <c r="K710" s="15"/>
      <c r="L710" s="120" t="s">
        <v>220</v>
      </c>
      <c r="M710" s="15" t="s">
        <v>1681</v>
      </c>
      <c r="N710" s="15" t="s">
        <v>1682</v>
      </c>
      <c r="O710" s="15"/>
      <c r="P710" s="15"/>
      <c r="Q710" s="15" t="b">
        <v>0</v>
      </c>
    </row>
    <row r="711" spans="1:17" ht="15" hidden="1" customHeight="1">
      <c r="A711" s="15">
        <v>3630</v>
      </c>
      <c r="B711" s="15">
        <v>710</v>
      </c>
      <c r="C711" s="15">
        <v>0</v>
      </c>
      <c r="D711" s="15">
        <v>196</v>
      </c>
      <c r="E711" s="15" t="b">
        <v>0</v>
      </c>
      <c r="F711" s="15" t="b">
        <v>0</v>
      </c>
      <c r="G711" s="33" t="s">
        <v>206</v>
      </c>
      <c r="H711" s="15" t="s">
        <v>1678</v>
      </c>
      <c r="I711" s="33" t="s">
        <v>216</v>
      </c>
      <c r="J711" s="15"/>
      <c r="K711" s="15"/>
      <c r="L711" s="120" t="s">
        <v>220</v>
      </c>
      <c r="M711" s="15" t="s">
        <v>1683</v>
      </c>
      <c r="N711" s="15" t="s">
        <v>1684</v>
      </c>
      <c r="O711" s="15"/>
      <c r="P711" s="15"/>
      <c r="Q711" s="15" t="b">
        <v>0</v>
      </c>
    </row>
    <row r="712" spans="1:17" ht="15" hidden="1" customHeight="1">
      <c r="A712" s="15">
        <v>3631</v>
      </c>
      <c r="B712" s="15">
        <v>711</v>
      </c>
      <c r="C712" s="15">
        <v>0</v>
      </c>
      <c r="D712" s="15">
        <v>196</v>
      </c>
      <c r="E712" s="15" t="b">
        <v>0</v>
      </c>
      <c r="F712" s="15" t="b">
        <v>0</v>
      </c>
      <c r="G712" s="33" t="s">
        <v>206</v>
      </c>
      <c r="H712" s="15" t="s">
        <v>1685</v>
      </c>
      <c r="I712" s="33" t="s">
        <v>208</v>
      </c>
      <c r="J712" s="15"/>
      <c r="K712" s="15"/>
      <c r="L712" s="120" t="s">
        <v>220</v>
      </c>
      <c r="M712" s="15" t="s">
        <v>1686</v>
      </c>
      <c r="N712" s="15" t="s">
        <v>1687</v>
      </c>
      <c r="O712" s="15"/>
      <c r="P712" s="15"/>
      <c r="Q712" s="15" t="b">
        <v>0</v>
      </c>
    </row>
    <row r="713" spans="1:17" ht="15" hidden="1" customHeight="1">
      <c r="A713" s="15">
        <v>3632</v>
      </c>
      <c r="B713" s="15">
        <v>712</v>
      </c>
      <c r="C713" s="15">
        <v>0</v>
      </c>
      <c r="D713" s="15">
        <v>196</v>
      </c>
      <c r="E713" s="15" t="b">
        <v>0</v>
      </c>
      <c r="F713" s="15" t="b">
        <v>0</v>
      </c>
      <c r="G713" s="33" t="s">
        <v>206</v>
      </c>
      <c r="H713" s="15" t="s">
        <v>1685</v>
      </c>
      <c r="I713" s="33" t="s">
        <v>213</v>
      </c>
      <c r="J713" s="15"/>
      <c r="K713" s="15"/>
      <c r="L713" s="120" t="s">
        <v>220</v>
      </c>
      <c r="M713" s="15" t="s">
        <v>1688</v>
      </c>
      <c r="N713" s="15" t="s">
        <v>1689</v>
      </c>
      <c r="O713" s="15"/>
      <c r="P713" s="15"/>
      <c r="Q713" s="15" t="b">
        <v>0</v>
      </c>
    </row>
    <row r="714" spans="1:17" ht="15" hidden="1" customHeight="1">
      <c r="A714" s="15">
        <v>3633</v>
      </c>
      <c r="B714" s="15">
        <v>713</v>
      </c>
      <c r="C714" s="15">
        <v>0</v>
      </c>
      <c r="D714" s="15">
        <v>196</v>
      </c>
      <c r="E714" s="15" t="b">
        <v>0</v>
      </c>
      <c r="F714" s="15" t="b">
        <v>0</v>
      </c>
      <c r="G714" s="33" t="s">
        <v>206</v>
      </c>
      <c r="H714" s="15" t="s">
        <v>1685</v>
      </c>
      <c r="I714" s="33" t="s">
        <v>216</v>
      </c>
      <c r="J714" s="15"/>
      <c r="K714" s="15"/>
      <c r="L714" s="120" t="s">
        <v>220</v>
      </c>
      <c r="M714" s="15" t="s">
        <v>1690</v>
      </c>
      <c r="N714" s="15" t="s">
        <v>1691</v>
      </c>
      <c r="O714" s="15"/>
      <c r="P714" s="15"/>
      <c r="Q714" s="15" t="b">
        <v>0</v>
      </c>
    </row>
    <row r="715" spans="1:17" ht="15" hidden="1" customHeight="1">
      <c r="A715" s="15">
        <v>3634</v>
      </c>
      <c r="B715" s="15">
        <v>714</v>
      </c>
      <c r="C715" s="15">
        <v>0</v>
      </c>
      <c r="D715" s="15">
        <v>196</v>
      </c>
      <c r="E715" s="15" t="b">
        <v>1</v>
      </c>
      <c r="F715" s="15" t="b">
        <v>0</v>
      </c>
      <c r="G715" s="33" t="s">
        <v>206</v>
      </c>
      <c r="H715" s="15" t="s">
        <v>1692</v>
      </c>
      <c r="I715" s="33" t="s">
        <v>208</v>
      </c>
      <c r="J715" s="15"/>
      <c r="K715" s="15"/>
      <c r="L715" s="120" t="s">
        <v>210</v>
      </c>
      <c r="M715" s="15" t="s">
        <v>1693</v>
      </c>
      <c r="N715" s="15" t="s">
        <v>1694</v>
      </c>
      <c r="O715" s="15"/>
      <c r="P715" s="15"/>
      <c r="Q715" s="15" t="b">
        <v>0</v>
      </c>
    </row>
    <row r="716" spans="1:17" ht="15" hidden="1" customHeight="1">
      <c r="A716" s="15">
        <v>3635</v>
      </c>
      <c r="B716" s="15">
        <v>715</v>
      </c>
      <c r="C716" s="15">
        <v>0</v>
      </c>
      <c r="D716" s="15">
        <v>196</v>
      </c>
      <c r="E716" s="15" t="b">
        <v>1</v>
      </c>
      <c r="F716" s="15" t="b">
        <v>0</v>
      </c>
      <c r="G716" s="33" t="s">
        <v>206</v>
      </c>
      <c r="H716" s="15" t="s">
        <v>1692</v>
      </c>
      <c r="I716" s="33" t="s">
        <v>213</v>
      </c>
      <c r="J716" s="15"/>
      <c r="K716" s="15"/>
      <c r="L716" s="120" t="s">
        <v>210</v>
      </c>
      <c r="M716" s="15" t="s">
        <v>1695</v>
      </c>
      <c r="N716" s="15" t="s">
        <v>1696</v>
      </c>
      <c r="O716" s="15"/>
      <c r="P716" s="15"/>
      <c r="Q716" s="15" t="b">
        <v>0</v>
      </c>
    </row>
    <row r="717" spans="1:17" ht="15" hidden="1" customHeight="1">
      <c r="A717" s="15">
        <v>3636</v>
      </c>
      <c r="B717" s="15">
        <v>716</v>
      </c>
      <c r="C717" s="15">
        <v>0</v>
      </c>
      <c r="D717" s="15">
        <v>196</v>
      </c>
      <c r="E717" s="15" t="b">
        <v>1</v>
      </c>
      <c r="F717" s="15" t="b">
        <v>0</v>
      </c>
      <c r="G717" s="33" t="s">
        <v>206</v>
      </c>
      <c r="H717" s="15" t="s">
        <v>1692</v>
      </c>
      <c r="I717" s="33" t="s">
        <v>216</v>
      </c>
      <c r="J717" s="15"/>
      <c r="K717" s="15"/>
      <c r="L717" s="120" t="s">
        <v>210</v>
      </c>
      <c r="M717" s="15" t="s">
        <v>1697</v>
      </c>
      <c r="N717" s="15" t="s">
        <v>1698</v>
      </c>
      <c r="O717" s="15"/>
      <c r="P717" s="15"/>
      <c r="Q717" s="15" t="b">
        <v>0</v>
      </c>
    </row>
    <row r="718" spans="1:17" ht="15" hidden="1" customHeight="1">
      <c r="A718" s="15">
        <v>3637</v>
      </c>
      <c r="B718" s="15">
        <v>717</v>
      </c>
      <c r="C718" s="15">
        <v>0</v>
      </c>
      <c r="D718" s="15">
        <v>196</v>
      </c>
      <c r="E718" s="15" t="b">
        <v>0</v>
      </c>
      <c r="F718" s="15" t="b">
        <v>0</v>
      </c>
      <c r="G718" s="33" t="s">
        <v>206</v>
      </c>
      <c r="H718" s="15" t="s">
        <v>1699</v>
      </c>
      <c r="I718" s="33" t="s">
        <v>208</v>
      </c>
      <c r="J718" s="15"/>
      <c r="K718" s="15"/>
      <c r="L718" s="120" t="s">
        <v>220</v>
      </c>
      <c r="M718" s="15" t="s">
        <v>1700</v>
      </c>
      <c r="N718" s="15" t="s">
        <v>1701</v>
      </c>
      <c r="O718" s="15"/>
      <c r="P718" s="15"/>
      <c r="Q718" s="15" t="b">
        <v>0</v>
      </c>
    </row>
    <row r="719" spans="1:17" ht="15" hidden="1" customHeight="1">
      <c r="A719" s="15">
        <v>3638</v>
      </c>
      <c r="B719" s="15">
        <v>718</v>
      </c>
      <c r="C719" s="15">
        <v>0</v>
      </c>
      <c r="D719" s="15">
        <v>196</v>
      </c>
      <c r="E719" s="15" t="b">
        <v>0</v>
      </c>
      <c r="F719" s="15" t="b">
        <v>0</v>
      </c>
      <c r="G719" s="33" t="s">
        <v>206</v>
      </c>
      <c r="H719" s="15" t="s">
        <v>1699</v>
      </c>
      <c r="I719" s="33" t="s">
        <v>213</v>
      </c>
      <c r="J719" s="15"/>
      <c r="K719" s="15"/>
      <c r="L719" s="120" t="s">
        <v>220</v>
      </c>
      <c r="M719" s="15" t="s">
        <v>1702</v>
      </c>
      <c r="N719" s="15" t="s">
        <v>1703</v>
      </c>
      <c r="O719" s="15"/>
      <c r="P719" s="15"/>
      <c r="Q719" s="15" t="b">
        <v>0</v>
      </c>
    </row>
    <row r="720" spans="1:17" ht="15" hidden="1" customHeight="1">
      <c r="A720" s="15">
        <v>3639</v>
      </c>
      <c r="B720" s="15">
        <v>719</v>
      </c>
      <c r="C720" s="15">
        <v>0</v>
      </c>
      <c r="D720" s="15">
        <v>196</v>
      </c>
      <c r="E720" s="15" t="b">
        <v>0</v>
      </c>
      <c r="F720" s="15" t="b">
        <v>0</v>
      </c>
      <c r="G720" s="33" t="s">
        <v>206</v>
      </c>
      <c r="H720" s="15" t="s">
        <v>1699</v>
      </c>
      <c r="I720" s="33" t="s">
        <v>216</v>
      </c>
      <c r="J720" s="15"/>
      <c r="K720" s="15"/>
      <c r="L720" s="120" t="s">
        <v>220</v>
      </c>
      <c r="M720" s="15" t="s">
        <v>1704</v>
      </c>
      <c r="N720" s="15" t="s">
        <v>1705</v>
      </c>
      <c r="O720" s="15"/>
      <c r="P720" s="15"/>
      <c r="Q720" s="15" t="b">
        <v>0</v>
      </c>
    </row>
    <row r="721" spans="1:17" ht="15" hidden="1" customHeight="1">
      <c r="A721" s="15">
        <v>3640</v>
      </c>
      <c r="B721" s="15">
        <v>720</v>
      </c>
      <c r="C721" s="15">
        <v>0</v>
      </c>
      <c r="D721" s="15">
        <v>196</v>
      </c>
      <c r="E721" s="15" t="b">
        <v>0</v>
      </c>
      <c r="F721" s="15" t="b">
        <v>0</v>
      </c>
      <c r="G721" s="33" t="s">
        <v>206</v>
      </c>
      <c r="H721" s="15" t="s">
        <v>1706</v>
      </c>
      <c r="I721" s="33" t="s">
        <v>208</v>
      </c>
      <c r="J721" s="15"/>
      <c r="K721" s="15"/>
      <c r="L721" s="120" t="s">
        <v>220</v>
      </c>
      <c r="M721" s="15" t="s">
        <v>1707</v>
      </c>
      <c r="N721" s="15" t="s">
        <v>1708</v>
      </c>
      <c r="O721" s="15"/>
      <c r="P721" s="15"/>
      <c r="Q721" s="15" t="b">
        <v>0</v>
      </c>
    </row>
    <row r="722" spans="1:17" ht="15" hidden="1" customHeight="1">
      <c r="A722" s="15">
        <v>3641</v>
      </c>
      <c r="B722" s="15">
        <v>721</v>
      </c>
      <c r="C722" s="15">
        <v>0</v>
      </c>
      <c r="D722" s="15">
        <v>196</v>
      </c>
      <c r="E722" s="15" t="b">
        <v>0</v>
      </c>
      <c r="F722" s="15" t="b">
        <v>0</v>
      </c>
      <c r="G722" s="33" t="s">
        <v>206</v>
      </c>
      <c r="H722" s="15" t="s">
        <v>1706</v>
      </c>
      <c r="I722" s="33" t="s">
        <v>213</v>
      </c>
      <c r="J722" s="15"/>
      <c r="K722" s="15"/>
      <c r="L722" s="120" t="s">
        <v>220</v>
      </c>
      <c r="M722" s="15" t="s">
        <v>1709</v>
      </c>
      <c r="N722" s="15" t="s">
        <v>1710</v>
      </c>
      <c r="O722" s="15"/>
      <c r="P722" s="15"/>
      <c r="Q722" s="15" t="b">
        <v>0</v>
      </c>
    </row>
    <row r="723" spans="1:17" ht="15" hidden="1" customHeight="1">
      <c r="A723" s="15">
        <v>3642</v>
      </c>
      <c r="B723" s="15">
        <v>722</v>
      </c>
      <c r="C723" s="15">
        <v>0</v>
      </c>
      <c r="D723" s="15">
        <v>196</v>
      </c>
      <c r="E723" s="15" t="b">
        <v>0</v>
      </c>
      <c r="F723" s="15" t="b">
        <v>0</v>
      </c>
      <c r="G723" s="33" t="s">
        <v>206</v>
      </c>
      <c r="H723" s="15" t="s">
        <v>1706</v>
      </c>
      <c r="I723" s="33" t="s">
        <v>216</v>
      </c>
      <c r="J723" s="15"/>
      <c r="K723" s="15"/>
      <c r="L723" s="120" t="s">
        <v>220</v>
      </c>
      <c r="M723" s="15" t="s">
        <v>1711</v>
      </c>
      <c r="N723" s="15" t="s">
        <v>1712</v>
      </c>
      <c r="O723" s="15"/>
      <c r="P723" s="15"/>
      <c r="Q723" s="15" t="b">
        <v>0</v>
      </c>
    </row>
    <row r="724" spans="1:17" ht="15" hidden="1" customHeight="1">
      <c r="A724" s="15">
        <v>3643</v>
      </c>
      <c r="B724" s="15">
        <v>723</v>
      </c>
      <c r="C724" s="15">
        <v>0</v>
      </c>
      <c r="D724" s="15">
        <v>196</v>
      </c>
      <c r="E724" s="15" t="b">
        <v>1</v>
      </c>
      <c r="F724" s="15" t="b">
        <v>0</v>
      </c>
      <c r="G724" s="33" t="s">
        <v>206</v>
      </c>
      <c r="H724" s="15" t="s">
        <v>1713</v>
      </c>
      <c r="I724" s="33" t="s">
        <v>208</v>
      </c>
      <c r="J724" s="15"/>
      <c r="K724" s="15"/>
      <c r="L724" s="120" t="s">
        <v>210</v>
      </c>
      <c r="M724" s="15" t="s">
        <v>1714</v>
      </c>
      <c r="N724" s="15" t="s">
        <v>1715</v>
      </c>
      <c r="O724" s="15"/>
      <c r="P724" s="15"/>
      <c r="Q724" s="15" t="b">
        <v>0</v>
      </c>
    </row>
    <row r="725" spans="1:17" ht="15" hidden="1" customHeight="1">
      <c r="A725" s="15">
        <v>3644</v>
      </c>
      <c r="B725" s="15">
        <v>724</v>
      </c>
      <c r="C725" s="15">
        <v>0</v>
      </c>
      <c r="D725" s="15">
        <v>196</v>
      </c>
      <c r="E725" s="15" t="b">
        <v>1</v>
      </c>
      <c r="F725" s="15" t="b">
        <v>0</v>
      </c>
      <c r="G725" s="33" t="s">
        <v>206</v>
      </c>
      <c r="H725" s="15" t="s">
        <v>1713</v>
      </c>
      <c r="I725" s="33" t="s">
        <v>213</v>
      </c>
      <c r="J725" s="15"/>
      <c r="K725" s="15"/>
      <c r="L725" s="120" t="s">
        <v>210</v>
      </c>
      <c r="M725" s="15" t="s">
        <v>1716</v>
      </c>
      <c r="N725" s="15" t="s">
        <v>1717</v>
      </c>
      <c r="O725" s="15"/>
      <c r="P725" s="15"/>
      <c r="Q725" s="15" t="b">
        <v>0</v>
      </c>
    </row>
    <row r="726" spans="1:17" ht="15" hidden="1" customHeight="1">
      <c r="A726" s="15">
        <v>3645</v>
      </c>
      <c r="B726" s="15">
        <v>725</v>
      </c>
      <c r="C726" s="15">
        <v>0</v>
      </c>
      <c r="D726" s="15">
        <v>196</v>
      </c>
      <c r="E726" s="15" t="b">
        <v>1</v>
      </c>
      <c r="F726" s="15" t="b">
        <v>0</v>
      </c>
      <c r="G726" s="33" t="s">
        <v>206</v>
      </c>
      <c r="H726" s="15" t="s">
        <v>1713</v>
      </c>
      <c r="I726" s="33" t="s">
        <v>216</v>
      </c>
      <c r="J726" s="15"/>
      <c r="K726" s="15"/>
      <c r="L726" s="120" t="s">
        <v>210</v>
      </c>
      <c r="M726" s="15" t="s">
        <v>1718</v>
      </c>
      <c r="N726" s="15" t="s">
        <v>1719</v>
      </c>
      <c r="O726" s="15"/>
      <c r="P726" s="15"/>
      <c r="Q726" s="15" t="b">
        <v>0</v>
      </c>
    </row>
    <row r="727" spans="1:17" ht="15" hidden="1" customHeight="1">
      <c r="A727" s="15">
        <v>3646</v>
      </c>
      <c r="B727" s="15">
        <v>726</v>
      </c>
      <c r="C727" s="15">
        <v>0</v>
      </c>
      <c r="D727" s="15">
        <v>196</v>
      </c>
      <c r="E727" s="15" t="b">
        <v>0</v>
      </c>
      <c r="F727" s="15" t="b">
        <v>0</v>
      </c>
      <c r="G727" s="33" t="s">
        <v>206</v>
      </c>
      <c r="H727" s="15" t="s">
        <v>1720</v>
      </c>
      <c r="I727" s="33" t="s">
        <v>208</v>
      </c>
      <c r="J727" s="15"/>
      <c r="K727" s="15"/>
      <c r="L727" s="120" t="s">
        <v>220</v>
      </c>
      <c r="M727" s="15" t="s">
        <v>1721</v>
      </c>
      <c r="N727" s="15" t="s">
        <v>1722</v>
      </c>
      <c r="O727" s="15"/>
      <c r="P727" s="15"/>
      <c r="Q727" s="15" t="b">
        <v>0</v>
      </c>
    </row>
    <row r="728" spans="1:17" ht="15" hidden="1" customHeight="1">
      <c r="A728" s="15">
        <v>3647</v>
      </c>
      <c r="B728" s="15">
        <v>727</v>
      </c>
      <c r="C728" s="15">
        <v>0</v>
      </c>
      <c r="D728" s="15">
        <v>196</v>
      </c>
      <c r="E728" s="15" t="b">
        <v>0</v>
      </c>
      <c r="F728" s="15" t="b">
        <v>0</v>
      </c>
      <c r="G728" s="33" t="s">
        <v>206</v>
      </c>
      <c r="H728" s="15" t="s">
        <v>1720</v>
      </c>
      <c r="I728" s="33" t="s">
        <v>213</v>
      </c>
      <c r="J728" s="15"/>
      <c r="K728" s="15"/>
      <c r="L728" s="120" t="s">
        <v>220</v>
      </c>
      <c r="M728" s="15" t="s">
        <v>1723</v>
      </c>
      <c r="N728" s="15" t="s">
        <v>1724</v>
      </c>
      <c r="O728" s="15"/>
      <c r="P728" s="15"/>
      <c r="Q728" s="15" t="b">
        <v>0</v>
      </c>
    </row>
    <row r="729" spans="1:17" ht="15" hidden="1" customHeight="1">
      <c r="A729" s="15">
        <v>3648</v>
      </c>
      <c r="B729" s="15">
        <v>728</v>
      </c>
      <c r="C729" s="15">
        <v>0</v>
      </c>
      <c r="D729" s="15">
        <v>196</v>
      </c>
      <c r="E729" s="15" t="b">
        <v>0</v>
      </c>
      <c r="F729" s="15" t="b">
        <v>0</v>
      </c>
      <c r="G729" s="33" t="s">
        <v>206</v>
      </c>
      <c r="H729" s="15" t="s">
        <v>1720</v>
      </c>
      <c r="I729" s="33" t="s">
        <v>216</v>
      </c>
      <c r="J729" s="15"/>
      <c r="K729" s="15"/>
      <c r="L729" s="120" t="s">
        <v>220</v>
      </c>
      <c r="M729" s="15" t="s">
        <v>1725</v>
      </c>
      <c r="N729" s="15" t="s">
        <v>1726</v>
      </c>
      <c r="O729" s="15"/>
      <c r="P729" s="15"/>
      <c r="Q729" s="15" t="b">
        <v>0</v>
      </c>
    </row>
    <row r="730" spans="1:17" ht="15" hidden="1" customHeight="1">
      <c r="A730" s="15">
        <v>3649</v>
      </c>
      <c r="B730" s="15">
        <v>729</v>
      </c>
      <c r="C730" s="15">
        <v>0</v>
      </c>
      <c r="D730" s="15">
        <v>196</v>
      </c>
      <c r="E730" s="15" t="b">
        <v>1</v>
      </c>
      <c r="F730" s="15" t="b">
        <v>0</v>
      </c>
      <c r="G730" s="33" t="s">
        <v>206</v>
      </c>
      <c r="H730" s="15" t="s">
        <v>1727</v>
      </c>
      <c r="I730" s="33" t="s">
        <v>208</v>
      </c>
      <c r="J730" s="15"/>
      <c r="K730" s="15"/>
      <c r="L730" s="120" t="s">
        <v>210</v>
      </c>
      <c r="M730" s="15" t="s">
        <v>1728</v>
      </c>
      <c r="N730" s="15" t="s">
        <v>1729</v>
      </c>
      <c r="O730" s="15"/>
      <c r="P730" s="15"/>
      <c r="Q730" s="15" t="b">
        <v>0</v>
      </c>
    </row>
    <row r="731" spans="1:17" ht="15" hidden="1" customHeight="1">
      <c r="A731" s="15">
        <v>3650</v>
      </c>
      <c r="B731" s="15">
        <v>730</v>
      </c>
      <c r="C731" s="15">
        <v>0</v>
      </c>
      <c r="D731" s="15">
        <v>196</v>
      </c>
      <c r="E731" s="15" t="b">
        <v>1</v>
      </c>
      <c r="F731" s="15" t="b">
        <v>0</v>
      </c>
      <c r="G731" s="33" t="s">
        <v>206</v>
      </c>
      <c r="H731" s="15" t="s">
        <v>1727</v>
      </c>
      <c r="I731" s="33" t="s">
        <v>213</v>
      </c>
      <c r="J731" s="15"/>
      <c r="K731" s="15"/>
      <c r="L731" s="120" t="s">
        <v>210</v>
      </c>
      <c r="M731" s="15" t="s">
        <v>1730</v>
      </c>
      <c r="N731" s="15" t="s">
        <v>1731</v>
      </c>
      <c r="O731" s="15"/>
      <c r="P731" s="15"/>
      <c r="Q731" s="15" t="b">
        <v>0</v>
      </c>
    </row>
    <row r="732" spans="1:17" ht="15" hidden="1" customHeight="1">
      <c r="A732" s="15">
        <v>3651</v>
      </c>
      <c r="B732" s="15">
        <v>731</v>
      </c>
      <c r="C732" s="15">
        <v>0</v>
      </c>
      <c r="D732" s="15">
        <v>196</v>
      </c>
      <c r="E732" s="15" t="b">
        <v>1</v>
      </c>
      <c r="F732" s="15" t="b">
        <v>0</v>
      </c>
      <c r="G732" s="33" t="s">
        <v>206</v>
      </c>
      <c r="H732" s="15" t="s">
        <v>1727</v>
      </c>
      <c r="I732" s="33" t="s">
        <v>216</v>
      </c>
      <c r="J732" s="15"/>
      <c r="K732" s="15"/>
      <c r="L732" s="120" t="s">
        <v>210</v>
      </c>
      <c r="M732" s="15" t="s">
        <v>1732</v>
      </c>
      <c r="N732" s="15" t="s">
        <v>1733</v>
      </c>
      <c r="O732" s="15"/>
      <c r="P732" s="15"/>
      <c r="Q732" s="15" t="b">
        <v>0</v>
      </c>
    </row>
    <row r="733" spans="1:17" ht="15" hidden="1" customHeight="1">
      <c r="A733" s="15">
        <v>3652</v>
      </c>
      <c r="B733" s="15">
        <v>732</v>
      </c>
      <c r="C733" s="15">
        <v>0</v>
      </c>
      <c r="D733" s="15">
        <v>196</v>
      </c>
      <c r="E733" s="15" t="b">
        <v>0</v>
      </c>
      <c r="F733" s="15" t="b">
        <v>0</v>
      </c>
      <c r="G733" s="33" t="s">
        <v>206</v>
      </c>
      <c r="H733" s="15" t="s">
        <v>1734</v>
      </c>
      <c r="I733" s="33" t="s">
        <v>208</v>
      </c>
      <c r="J733" s="15"/>
      <c r="K733" s="15"/>
      <c r="L733" s="120" t="s">
        <v>220</v>
      </c>
      <c r="M733" s="15" t="s">
        <v>1735</v>
      </c>
      <c r="N733" s="15" t="s">
        <v>1736</v>
      </c>
      <c r="O733" s="15"/>
      <c r="P733" s="15"/>
      <c r="Q733" s="15" t="b">
        <v>0</v>
      </c>
    </row>
    <row r="734" spans="1:17" ht="15" hidden="1" customHeight="1">
      <c r="A734" s="15">
        <v>3653</v>
      </c>
      <c r="B734" s="15">
        <v>733</v>
      </c>
      <c r="C734" s="15">
        <v>0</v>
      </c>
      <c r="D734" s="15">
        <v>196</v>
      </c>
      <c r="E734" s="15" t="b">
        <v>0</v>
      </c>
      <c r="F734" s="15" t="b">
        <v>0</v>
      </c>
      <c r="G734" s="33" t="s">
        <v>206</v>
      </c>
      <c r="H734" s="15" t="s">
        <v>1734</v>
      </c>
      <c r="I734" s="33" t="s">
        <v>213</v>
      </c>
      <c r="J734" s="15"/>
      <c r="K734" s="15"/>
      <c r="L734" s="120" t="s">
        <v>220</v>
      </c>
      <c r="M734" s="15" t="s">
        <v>1737</v>
      </c>
      <c r="N734" s="15" t="s">
        <v>1738</v>
      </c>
      <c r="O734" s="15"/>
      <c r="P734" s="15"/>
      <c r="Q734" s="15" t="b">
        <v>0</v>
      </c>
    </row>
    <row r="735" spans="1:17" ht="15" hidden="1" customHeight="1">
      <c r="A735" s="15">
        <v>3654</v>
      </c>
      <c r="B735" s="15">
        <v>734</v>
      </c>
      <c r="C735" s="15">
        <v>0</v>
      </c>
      <c r="D735" s="15">
        <v>196</v>
      </c>
      <c r="E735" s="15" t="b">
        <v>0</v>
      </c>
      <c r="F735" s="15" t="b">
        <v>0</v>
      </c>
      <c r="G735" s="33" t="s">
        <v>206</v>
      </c>
      <c r="H735" s="15" t="s">
        <v>1734</v>
      </c>
      <c r="I735" s="33" t="s">
        <v>216</v>
      </c>
      <c r="J735" s="15"/>
      <c r="K735" s="15"/>
      <c r="L735" s="120" t="s">
        <v>220</v>
      </c>
      <c r="M735" s="15" t="s">
        <v>1739</v>
      </c>
      <c r="N735" s="15" t="s">
        <v>1740</v>
      </c>
      <c r="O735" s="15"/>
      <c r="P735" s="15"/>
      <c r="Q735" s="15" t="b">
        <v>0</v>
      </c>
    </row>
    <row r="736" spans="1:17" ht="15" hidden="1" customHeight="1">
      <c r="A736" s="15">
        <v>3655</v>
      </c>
      <c r="B736" s="15">
        <v>735</v>
      </c>
      <c r="C736" s="15">
        <v>0</v>
      </c>
      <c r="D736" s="15">
        <v>196</v>
      </c>
      <c r="E736" s="15" t="b">
        <v>0</v>
      </c>
      <c r="F736" s="15" t="b">
        <v>0</v>
      </c>
      <c r="G736" s="33" t="s">
        <v>206</v>
      </c>
      <c r="H736" s="15" t="s">
        <v>1741</v>
      </c>
      <c r="I736" s="33" t="s">
        <v>208</v>
      </c>
      <c r="J736" s="15"/>
      <c r="K736" s="15"/>
      <c r="L736" s="120" t="s">
        <v>220</v>
      </c>
      <c r="M736" s="15" t="s">
        <v>1742</v>
      </c>
      <c r="N736" s="15" t="s">
        <v>1743</v>
      </c>
      <c r="O736" s="15"/>
      <c r="P736" s="15"/>
      <c r="Q736" s="15" t="b">
        <v>0</v>
      </c>
    </row>
    <row r="737" spans="1:17" ht="15" hidden="1" customHeight="1">
      <c r="A737" s="15">
        <v>3656</v>
      </c>
      <c r="B737" s="15">
        <v>736</v>
      </c>
      <c r="C737" s="15">
        <v>0</v>
      </c>
      <c r="D737" s="15">
        <v>196</v>
      </c>
      <c r="E737" s="15" t="b">
        <v>0</v>
      </c>
      <c r="F737" s="15" t="b">
        <v>0</v>
      </c>
      <c r="G737" s="33" t="s">
        <v>206</v>
      </c>
      <c r="H737" s="15" t="s">
        <v>1741</v>
      </c>
      <c r="I737" s="33" t="s">
        <v>213</v>
      </c>
      <c r="J737" s="15"/>
      <c r="K737" s="15"/>
      <c r="L737" s="120" t="s">
        <v>220</v>
      </c>
      <c r="M737" s="15" t="s">
        <v>1744</v>
      </c>
      <c r="N737" s="15" t="s">
        <v>1745</v>
      </c>
      <c r="O737" s="15"/>
      <c r="P737" s="15"/>
      <c r="Q737" s="15" t="b">
        <v>0</v>
      </c>
    </row>
    <row r="738" spans="1:17" ht="15" hidden="1" customHeight="1">
      <c r="A738" s="15">
        <v>3657</v>
      </c>
      <c r="B738" s="15">
        <v>737</v>
      </c>
      <c r="C738" s="15">
        <v>0</v>
      </c>
      <c r="D738" s="15">
        <v>196</v>
      </c>
      <c r="E738" s="15" t="b">
        <v>0</v>
      </c>
      <c r="F738" s="15" t="b">
        <v>0</v>
      </c>
      <c r="G738" s="33" t="s">
        <v>206</v>
      </c>
      <c r="H738" s="15" t="s">
        <v>1741</v>
      </c>
      <c r="I738" s="33" t="s">
        <v>216</v>
      </c>
      <c r="J738" s="15"/>
      <c r="K738" s="15"/>
      <c r="L738" s="120" t="s">
        <v>220</v>
      </c>
      <c r="M738" s="15" t="s">
        <v>1746</v>
      </c>
      <c r="N738" s="15" t="s">
        <v>1747</v>
      </c>
      <c r="O738" s="15"/>
      <c r="P738" s="15"/>
      <c r="Q738" s="15" t="b">
        <v>0</v>
      </c>
    </row>
    <row r="739" spans="1:17" ht="15" hidden="1" customHeight="1">
      <c r="A739" s="15">
        <v>3658</v>
      </c>
      <c r="B739" s="15">
        <v>738</v>
      </c>
      <c r="C739" s="15">
        <v>0</v>
      </c>
      <c r="D739" s="15">
        <v>196</v>
      </c>
      <c r="E739" s="15" t="b">
        <v>1</v>
      </c>
      <c r="F739" s="15" t="b">
        <v>0</v>
      </c>
      <c r="G739" s="33" t="s">
        <v>206</v>
      </c>
      <c r="H739" s="15" t="s">
        <v>1748</v>
      </c>
      <c r="I739" s="33" t="s">
        <v>208</v>
      </c>
      <c r="J739" s="15"/>
      <c r="K739" s="15"/>
      <c r="L739" s="120" t="s">
        <v>210</v>
      </c>
      <c r="M739" s="15" t="s">
        <v>1749</v>
      </c>
      <c r="N739" s="15" t="s">
        <v>1750</v>
      </c>
      <c r="O739" s="15"/>
      <c r="P739" s="15"/>
      <c r="Q739" s="15" t="b">
        <v>0</v>
      </c>
    </row>
    <row r="740" spans="1:17" ht="15" hidden="1" customHeight="1">
      <c r="A740" s="15">
        <v>3659</v>
      </c>
      <c r="B740" s="15">
        <v>739</v>
      </c>
      <c r="C740" s="15">
        <v>0</v>
      </c>
      <c r="D740" s="15">
        <v>196</v>
      </c>
      <c r="E740" s="15" t="b">
        <v>1</v>
      </c>
      <c r="F740" s="15" t="b">
        <v>0</v>
      </c>
      <c r="G740" s="33" t="s">
        <v>206</v>
      </c>
      <c r="H740" s="15" t="s">
        <v>1748</v>
      </c>
      <c r="I740" s="33" t="s">
        <v>213</v>
      </c>
      <c r="J740" s="15"/>
      <c r="K740" s="15"/>
      <c r="L740" s="120" t="s">
        <v>210</v>
      </c>
      <c r="M740" s="15" t="s">
        <v>1751</v>
      </c>
      <c r="N740" s="15" t="s">
        <v>1752</v>
      </c>
      <c r="O740" s="15"/>
      <c r="P740" s="15"/>
      <c r="Q740" s="15" t="b">
        <v>0</v>
      </c>
    </row>
    <row r="741" spans="1:17" ht="15" hidden="1" customHeight="1">
      <c r="A741" s="15">
        <v>3660</v>
      </c>
      <c r="B741" s="15">
        <v>740</v>
      </c>
      <c r="C741" s="15">
        <v>0</v>
      </c>
      <c r="D741" s="15">
        <v>196</v>
      </c>
      <c r="E741" s="15" t="b">
        <v>1</v>
      </c>
      <c r="F741" s="15" t="b">
        <v>0</v>
      </c>
      <c r="G741" s="33" t="s">
        <v>206</v>
      </c>
      <c r="H741" s="15" t="s">
        <v>1748</v>
      </c>
      <c r="I741" s="33" t="s">
        <v>216</v>
      </c>
      <c r="J741" s="15"/>
      <c r="K741" s="15"/>
      <c r="L741" s="120" t="s">
        <v>210</v>
      </c>
      <c r="M741" s="15" t="s">
        <v>1753</v>
      </c>
      <c r="N741" s="15" t="s">
        <v>1754</v>
      </c>
      <c r="O741" s="15"/>
      <c r="P741" s="15"/>
      <c r="Q741" s="15" t="b">
        <v>0</v>
      </c>
    </row>
    <row r="742" spans="1:17" ht="15" hidden="1" customHeight="1">
      <c r="A742" s="15">
        <v>3661</v>
      </c>
      <c r="B742" s="15">
        <v>741</v>
      </c>
      <c r="C742" s="15">
        <v>0</v>
      </c>
      <c r="D742" s="15">
        <v>196</v>
      </c>
      <c r="E742" s="15" t="b">
        <v>0</v>
      </c>
      <c r="F742" s="15" t="b">
        <v>0</v>
      </c>
      <c r="G742" s="33" t="s">
        <v>206</v>
      </c>
      <c r="H742" s="15" t="s">
        <v>1755</v>
      </c>
      <c r="I742" s="33" t="s">
        <v>208</v>
      </c>
      <c r="J742" s="15"/>
      <c r="K742" s="15"/>
      <c r="L742" s="120" t="s">
        <v>220</v>
      </c>
      <c r="M742" s="15" t="s">
        <v>1756</v>
      </c>
      <c r="N742" s="15" t="s">
        <v>1757</v>
      </c>
      <c r="O742" s="15"/>
      <c r="P742" s="15"/>
      <c r="Q742" s="15" t="b">
        <v>0</v>
      </c>
    </row>
    <row r="743" spans="1:17" ht="15" hidden="1" customHeight="1">
      <c r="A743" s="15">
        <v>3662</v>
      </c>
      <c r="B743" s="15">
        <v>742</v>
      </c>
      <c r="C743" s="15">
        <v>0</v>
      </c>
      <c r="D743" s="15">
        <v>196</v>
      </c>
      <c r="E743" s="15" t="b">
        <v>0</v>
      </c>
      <c r="F743" s="15" t="b">
        <v>0</v>
      </c>
      <c r="G743" s="33" t="s">
        <v>206</v>
      </c>
      <c r="H743" s="15" t="s">
        <v>1755</v>
      </c>
      <c r="I743" s="33" t="s">
        <v>213</v>
      </c>
      <c r="J743" s="15"/>
      <c r="K743" s="15"/>
      <c r="L743" s="120" t="s">
        <v>220</v>
      </c>
      <c r="M743" s="15" t="s">
        <v>1758</v>
      </c>
      <c r="N743" s="15" t="s">
        <v>1759</v>
      </c>
      <c r="O743" s="15"/>
      <c r="P743" s="15"/>
      <c r="Q743" s="15" t="b">
        <v>0</v>
      </c>
    </row>
    <row r="744" spans="1:17" ht="15" hidden="1" customHeight="1">
      <c r="A744" s="15">
        <v>3663</v>
      </c>
      <c r="B744" s="15">
        <v>743</v>
      </c>
      <c r="C744" s="15">
        <v>0</v>
      </c>
      <c r="D744" s="15">
        <v>196</v>
      </c>
      <c r="E744" s="15" t="b">
        <v>0</v>
      </c>
      <c r="F744" s="15" t="b">
        <v>0</v>
      </c>
      <c r="G744" s="33" t="s">
        <v>206</v>
      </c>
      <c r="H744" s="15" t="s">
        <v>1755</v>
      </c>
      <c r="I744" s="33" t="s">
        <v>216</v>
      </c>
      <c r="J744" s="15"/>
      <c r="K744" s="15"/>
      <c r="L744" s="120" t="s">
        <v>220</v>
      </c>
      <c r="M744" s="15" t="s">
        <v>1760</v>
      </c>
      <c r="N744" s="15" t="s">
        <v>1761</v>
      </c>
      <c r="O744" s="15"/>
      <c r="P744" s="15"/>
      <c r="Q744" s="15" t="b">
        <v>0</v>
      </c>
    </row>
    <row r="745" spans="1:17" ht="15" hidden="1" customHeight="1">
      <c r="A745" s="15">
        <v>3664</v>
      </c>
      <c r="B745" s="15">
        <v>744</v>
      </c>
      <c r="C745" s="15">
        <v>0</v>
      </c>
      <c r="D745" s="15">
        <v>196</v>
      </c>
      <c r="E745" s="15" t="b">
        <v>0</v>
      </c>
      <c r="F745" s="15" t="b">
        <v>0</v>
      </c>
      <c r="G745" s="33" t="s">
        <v>206</v>
      </c>
      <c r="H745" s="15" t="s">
        <v>1762</v>
      </c>
      <c r="I745" s="33" t="s">
        <v>208</v>
      </c>
      <c r="J745" s="15"/>
      <c r="K745" s="15"/>
      <c r="L745" s="120" t="s">
        <v>220</v>
      </c>
      <c r="M745" s="15" t="s">
        <v>1763</v>
      </c>
      <c r="N745" s="15" t="s">
        <v>1764</v>
      </c>
      <c r="O745" s="15"/>
      <c r="P745" s="15"/>
      <c r="Q745" s="15" t="b">
        <v>0</v>
      </c>
    </row>
    <row r="746" spans="1:17" ht="15" hidden="1" customHeight="1">
      <c r="A746" s="15">
        <v>3665</v>
      </c>
      <c r="B746" s="15">
        <v>745</v>
      </c>
      <c r="C746" s="15">
        <v>0</v>
      </c>
      <c r="D746" s="15">
        <v>196</v>
      </c>
      <c r="E746" s="15" t="b">
        <v>0</v>
      </c>
      <c r="F746" s="15" t="b">
        <v>0</v>
      </c>
      <c r="G746" s="33" t="s">
        <v>206</v>
      </c>
      <c r="H746" s="15" t="s">
        <v>1762</v>
      </c>
      <c r="I746" s="33" t="s">
        <v>213</v>
      </c>
      <c r="J746" s="15"/>
      <c r="K746" s="15"/>
      <c r="L746" s="120" t="s">
        <v>220</v>
      </c>
      <c r="M746" s="15" t="s">
        <v>1765</v>
      </c>
      <c r="N746" s="15" t="s">
        <v>1766</v>
      </c>
      <c r="O746" s="15"/>
      <c r="P746" s="15"/>
      <c r="Q746" s="15" t="b">
        <v>0</v>
      </c>
    </row>
    <row r="747" spans="1:17" ht="15" hidden="1" customHeight="1">
      <c r="A747" s="15">
        <v>3666</v>
      </c>
      <c r="B747" s="15">
        <v>746</v>
      </c>
      <c r="C747" s="15">
        <v>0</v>
      </c>
      <c r="D747" s="15">
        <v>196</v>
      </c>
      <c r="E747" s="15" t="b">
        <v>0</v>
      </c>
      <c r="F747" s="15" t="b">
        <v>0</v>
      </c>
      <c r="G747" s="33" t="s">
        <v>206</v>
      </c>
      <c r="H747" s="15" t="s">
        <v>1762</v>
      </c>
      <c r="I747" s="33" t="s">
        <v>216</v>
      </c>
      <c r="J747" s="15"/>
      <c r="K747" s="15"/>
      <c r="L747" s="120" t="s">
        <v>220</v>
      </c>
      <c r="M747" s="15" t="s">
        <v>1767</v>
      </c>
      <c r="N747" s="15" t="s">
        <v>1768</v>
      </c>
      <c r="O747" s="15"/>
      <c r="P747" s="15"/>
      <c r="Q747" s="15" t="b">
        <v>0</v>
      </c>
    </row>
    <row r="748" spans="1:17" ht="15" hidden="1" customHeight="1">
      <c r="A748" s="15">
        <v>3667</v>
      </c>
      <c r="B748" s="15">
        <v>747</v>
      </c>
      <c r="C748" s="15">
        <v>0</v>
      </c>
      <c r="D748" s="15">
        <v>196</v>
      </c>
      <c r="E748" s="15" t="b">
        <v>1</v>
      </c>
      <c r="F748" s="15" t="b">
        <v>0</v>
      </c>
      <c r="G748" s="33" t="s">
        <v>206</v>
      </c>
      <c r="H748" s="15" t="s">
        <v>1769</v>
      </c>
      <c r="I748" s="33" t="s">
        <v>208</v>
      </c>
      <c r="J748" s="15"/>
      <c r="K748" s="15"/>
      <c r="L748" s="120" t="s">
        <v>210</v>
      </c>
      <c r="M748" s="15" t="s">
        <v>1770</v>
      </c>
      <c r="N748" s="15" t="s">
        <v>1771</v>
      </c>
      <c r="O748" s="15"/>
      <c r="P748" s="15"/>
      <c r="Q748" s="15" t="b">
        <v>0</v>
      </c>
    </row>
    <row r="749" spans="1:17" ht="15" hidden="1" customHeight="1">
      <c r="A749" s="15">
        <v>3668</v>
      </c>
      <c r="B749" s="15">
        <v>748</v>
      </c>
      <c r="C749" s="15">
        <v>0</v>
      </c>
      <c r="D749" s="15">
        <v>196</v>
      </c>
      <c r="E749" s="15" t="b">
        <v>1</v>
      </c>
      <c r="F749" s="15" t="b">
        <v>0</v>
      </c>
      <c r="G749" s="33" t="s">
        <v>206</v>
      </c>
      <c r="H749" s="15" t="s">
        <v>1769</v>
      </c>
      <c r="I749" s="33" t="s">
        <v>213</v>
      </c>
      <c r="J749" s="15"/>
      <c r="K749" s="15"/>
      <c r="L749" s="120" t="s">
        <v>210</v>
      </c>
      <c r="M749" s="15" t="s">
        <v>1772</v>
      </c>
      <c r="N749" s="15" t="s">
        <v>1773</v>
      </c>
      <c r="O749" s="15"/>
      <c r="P749" s="15"/>
      <c r="Q749" s="15" t="b">
        <v>0</v>
      </c>
    </row>
    <row r="750" spans="1:17" ht="15" hidden="1" customHeight="1">
      <c r="A750" s="15">
        <v>3669</v>
      </c>
      <c r="B750" s="15">
        <v>749</v>
      </c>
      <c r="C750" s="15">
        <v>0</v>
      </c>
      <c r="D750" s="15">
        <v>196</v>
      </c>
      <c r="E750" s="15" t="b">
        <v>1</v>
      </c>
      <c r="F750" s="15" t="b">
        <v>0</v>
      </c>
      <c r="G750" s="33" t="s">
        <v>206</v>
      </c>
      <c r="H750" s="15" t="s">
        <v>1769</v>
      </c>
      <c r="I750" s="33" t="s">
        <v>216</v>
      </c>
      <c r="J750" s="15"/>
      <c r="K750" s="15"/>
      <c r="L750" s="120" t="s">
        <v>210</v>
      </c>
      <c r="M750" s="15" t="s">
        <v>1774</v>
      </c>
      <c r="N750" s="15" t="s">
        <v>1775</v>
      </c>
      <c r="O750" s="15"/>
      <c r="P750" s="15"/>
      <c r="Q750" s="15" t="b">
        <v>0</v>
      </c>
    </row>
    <row r="751" spans="1:17" ht="15" hidden="1" customHeight="1">
      <c r="A751" s="15">
        <v>3670</v>
      </c>
      <c r="B751" s="15">
        <v>750</v>
      </c>
      <c r="C751" s="15">
        <v>0</v>
      </c>
      <c r="D751" s="15">
        <v>196</v>
      </c>
      <c r="E751" s="15" t="b">
        <v>0</v>
      </c>
      <c r="F751" s="15" t="b">
        <v>0</v>
      </c>
      <c r="G751" s="33" t="s">
        <v>206</v>
      </c>
      <c r="H751" s="15" t="s">
        <v>1776</v>
      </c>
      <c r="I751" s="33" t="s">
        <v>208</v>
      </c>
      <c r="J751" s="15"/>
      <c r="K751" s="15"/>
      <c r="L751" s="120" t="s">
        <v>220</v>
      </c>
      <c r="M751" s="15" t="s">
        <v>1777</v>
      </c>
      <c r="N751" s="15" t="s">
        <v>1778</v>
      </c>
      <c r="O751" s="15"/>
      <c r="P751" s="15"/>
      <c r="Q751" s="15" t="b">
        <v>0</v>
      </c>
    </row>
    <row r="752" spans="1:17" ht="15" hidden="1" customHeight="1">
      <c r="A752" s="15">
        <v>3671</v>
      </c>
      <c r="B752" s="15">
        <v>751</v>
      </c>
      <c r="C752" s="15">
        <v>0</v>
      </c>
      <c r="D752" s="15">
        <v>196</v>
      </c>
      <c r="E752" s="15" t="b">
        <v>0</v>
      </c>
      <c r="F752" s="15" t="b">
        <v>0</v>
      </c>
      <c r="G752" s="33" t="s">
        <v>206</v>
      </c>
      <c r="H752" s="15" t="s">
        <v>1776</v>
      </c>
      <c r="I752" s="33" t="s">
        <v>213</v>
      </c>
      <c r="J752" s="15"/>
      <c r="K752" s="15"/>
      <c r="L752" s="120" t="s">
        <v>220</v>
      </c>
      <c r="M752" s="15" t="s">
        <v>1779</v>
      </c>
      <c r="N752" s="15" t="s">
        <v>1780</v>
      </c>
      <c r="O752" s="15"/>
      <c r="P752" s="15"/>
      <c r="Q752" s="15" t="b">
        <v>0</v>
      </c>
    </row>
    <row r="753" spans="1:17" ht="15" hidden="1" customHeight="1">
      <c r="A753" s="15">
        <v>3672</v>
      </c>
      <c r="B753" s="15">
        <v>752</v>
      </c>
      <c r="C753" s="15">
        <v>0</v>
      </c>
      <c r="D753" s="15">
        <v>196</v>
      </c>
      <c r="E753" s="15" t="b">
        <v>0</v>
      </c>
      <c r="F753" s="15" t="b">
        <v>0</v>
      </c>
      <c r="G753" s="33" t="s">
        <v>206</v>
      </c>
      <c r="H753" s="15" t="s">
        <v>1776</v>
      </c>
      <c r="I753" s="33" t="s">
        <v>216</v>
      </c>
      <c r="J753" s="15"/>
      <c r="K753" s="15"/>
      <c r="L753" s="120" t="s">
        <v>220</v>
      </c>
      <c r="M753" s="15" t="s">
        <v>1781</v>
      </c>
      <c r="N753" s="15" t="s">
        <v>1782</v>
      </c>
      <c r="O753" s="15"/>
      <c r="P753" s="15"/>
      <c r="Q753" s="15" t="b">
        <v>0</v>
      </c>
    </row>
    <row r="754" spans="1:17" ht="15" hidden="1" customHeight="1">
      <c r="A754" s="15">
        <v>3673</v>
      </c>
      <c r="B754" s="15">
        <v>753</v>
      </c>
      <c r="C754" s="15">
        <v>0</v>
      </c>
      <c r="D754" s="15">
        <v>193</v>
      </c>
      <c r="E754" s="15" t="b">
        <v>0</v>
      </c>
      <c r="F754" s="15" t="b">
        <v>0</v>
      </c>
      <c r="G754" s="33" t="s">
        <v>206</v>
      </c>
      <c r="H754" s="15" t="s">
        <v>1783</v>
      </c>
      <c r="I754" s="33" t="s">
        <v>208</v>
      </c>
      <c r="J754" s="15"/>
      <c r="K754" s="15"/>
      <c r="L754" s="120" t="s">
        <v>220</v>
      </c>
      <c r="M754" s="15" t="s">
        <v>1784</v>
      </c>
      <c r="N754" s="15" t="s">
        <v>1785</v>
      </c>
      <c r="O754" s="15"/>
      <c r="P754" s="15"/>
      <c r="Q754" s="15" t="b">
        <v>0</v>
      </c>
    </row>
    <row r="755" spans="1:17" ht="15" hidden="1" customHeight="1">
      <c r="A755" s="15">
        <v>3674</v>
      </c>
      <c r="B755" s="15">
        <v>754</v>
      </c>
      <c r="C755" s="15">
        <v>0</v>
      </c>
      <c r="D755" s="15">
        <v>193</v>
      </c>
      <c r="E755" s="15" t="b">
        <v>0</v>
      </c>
      <c r="F755" s="15" t="b">
        <v>0</v>
      </c>
      <c r="G755" s="33" t="s">
        <v>206</v>
      </c>
      <c r="H755" s="15" t="s">
        <v>1783</v>
      </c>
      <c r="I755" s="33" t="s">
        <v>213</v>
      </c>
      <c r="J755" s="15"/>
      <c r="K755" s="15"/>
      <c r="L755" s="120" t="s">
        <v>220</v>
      </c>
      <c r="M755" s="15" t="s">
        <v>1786</v>
      </c>
      <c r="N755" s="15" t="s">
        <v>1787</v>
      </c>
      <c r="O755" s="15"/>
      <c r="P755" s="15"/>
      <c r="Q755" s="15" t="b">
        <v>0</v>
      </c>
    </row>
    <row r="756" spans="1:17" ht="15" hidden="1" customHeight="1">
      <c r="A756" s="15">
        <v>3675</v>
      </c>
      <c r="B756" s="15">
        <v>755</v>
      </c>
      <c r="C756" s="15">
        <v>0</v>
      </c>
      <c r="D756" s="15">
        <v>193</v>
      </c>
      <c r="E756" s="15" t="b">
        <v>0</v>
      </c>
      <c r="F756" s="15" t="b">
        <v>0</v>
      </c>
      <c r="G756" s="33" t="s">
        <v>206</v>
      </c>
      <c r="H756" s="15" t="s">
        <v>1783</v>
      </c>
      <c r="I756" s="33" t="s">
        <v>216</v>
      </c>
      <c r="J756" s="15"/>
      <c r="K756" s="15"/>
      <c r="L756" s="120" t="s">
        <v>220</v>
      </c>
      <c r="M756" s="15" t="s">
        <v>1788</v>
      </c>
      <c r="N756" s="15" t="s">
        <v>1789</v>
      </c>
      <c r="O756" s="15"/>
      <c r="P756" s="15"/>
      <c r="Q756" s="15" t="b">
        <v>0</v>
      </c>
    </row>
    <row r="757" spans="1:17" ht="15" hidden="1" customHeight="1">
      <c r="A757" s="15">
        <v>3676</v>
      </c>
      <c r="B757" s="15">
        <v>756</v>
      </c>
      <c r="C757" s="15">
        <v>0</v>
      </c>
      <c r="D757" s="15">
        <v>193</v>
      </c>
      <c r="E757" s="15" t="b">
        <v>0</v>
      </c>
      <c r="F757" s="15" t="b">
        <v>0</v>
      </c>
      <c r="G757" s="33" t="s">
        <v>206</v>
      </c>
      <c r="H757" s="15" t="s">
        <v>1790</v>
      </c>
      <c r="I757" s="33" t="s">
        <v>208</v>
      </c>
      <c r="J757" s="15"/>
      <c r="K757" s="15"/>
      <c r="L757" s="120" t="s">
        <v>220</v>
      </c>
      <c r="M757" s="15" t="s">
        <v>1791</v>
      </c>
      <c r="N757" s="15" t="s">
        <v>1792</v>
      </c>
      <c r="O757" s="15"/>
      <c r="P757" s="15"/>
      <c r="Q757" s="15" t="b">
        <v>0</v>
      </c>
    </row>
    <row r="758" spans="1:17" ht="15" hidden="1" customHeight="1">
      <c r="A758" s="15">
        <v>3677</v>
      </c>
      <c r="B758" s="15">
        <v>757</v>
      </c>
      <c r="C758" s="15">
        <v>0</v>
      </c>
      <c r="D758" s="15">
        <v>193</v>
      </c>
      <c r="E758" s="15" t="b">
        <v>0</v>
      </c>
      <c r="F758" s="15" t="b">
        <v>0</v>
      </c>
      <c r="G758" s="33" t="s">
        <v>206</v>
      </c>
      <c r="H758" s="15" t="s">
        <v>1790</v>
      </c>
      <c r="I758" s="33" t="s">
        <v>213</v>
      </c>
      <c r="J758" s="15"/>
      <c r="K758" s="15"/>
      <c r="L758" s="120" t="s">
        <v>220</v>
      </c>
      <c r="M758" s="15" t="s">
        <v>1793</v>
      </c>
      <c r="N758" s="15" t="s">
        <v>1794</v>
      </c>
      <c r="O758" s="15"/>
      <c r="P758" s="15"/>
      <c r="Q758" s="15" t="b">
        <v>0</v>
      </c>
    </row>
    <row r="759" spans="1:17" ht="15" hidden="1" customHeight="1">
      <c r="A759" s="15">
        <v>3678</v>
      </c>
      <c r="B759" s="15">
        <v>758</v>
      </c>
      <c r="C759" s="15">
        <v>0</v>
      </c>
      <c r="D759" s="15">
        <v>193</v>
      </c>
      <c r="E759" s="15" t="b">
        <v>0</v>
      </c>
      <c r="F759" s="15" t="b">
        <v>0</v>
      </c>
      <c r="G759" s="33" t="s">
        <v>206</v>
      </c>
      <c r="H759" s="15" t="s">
        <v>1790</v>
      </c>
      <c r="I759" s="33" t="s">
        <v>216</v>
      </c>
      <c r="J759" s="15"/>
      <c r="K759" s="15"/>
      <c r="L759" s="120" t="s">
        <v>220</v>
      </c>
      <c r="M759" s="15" t="s">
        <v>1795</v>
      </c>
      <c r="N759" s="15" t="s">
        <v>1796</v>
      </c>
      <c r="O759" s="15"/>
      <c r="P759" s="15"/>
      <c r="Q759" s="15" t="b">
        <v>0</v>
      </c>
    </row>
    <row r="760" spans="1:17" ht="15" hidden="1" customHeight="1">
      <c r="A760" s="15">
        <v>3679</v>
      </c>
      <c r="B760" s="15">
        <v>759</v>
      </c>
      <c r="C760" s="15">
        <v>0</v>
      </c>
      <c r="D760" s="15">
        <v>193</v>
      </c>
      <c r="E760" s="15" t="b">
        <v>0</v>
      </c>
      <c r="F760" s="15" t="b">
        <v>0</v>
      </c>
      <c r="G760" s="33" t="s">
        <v>206</v>
      </c>
      <c r="H760" s="15" t="s">
        <v>1797</v>
      </c>
      <c r="I760" s="33" t="s">
        <v>208</v>
      </c>
      <c r="J760" s="15"/>
      <c r="K760" s="15"/>
      <c r="L760" s="120" t="s">
        <v>220</v>
      </c>
      <c r="M760" s="15" t="s">
        <v>1798</v>
      </c>
      <c r="N760" s="15" t="s">
        <v>1799</v>
      </c>
      <c r="O760" s="15"/>
      <c r="P760" s="15"/>
      <c r="Q760" s="15" t="b">
        <v>0</v>
      </c>
    </row>
    <row r="761" spans="1:17" ht="15" hidden="1" customHeight="1">
      <c r="A761" s="15">
        <v>3680</v>
      </c>
      <c r="B761" s="15">
        <v>760</v>
      </c>
      <c r="C761" s="15">
        <v>0</v>
      </c>
      <c r="D761" s="15">
        <v>193</v>
      </c>
      <c r="E761" s="15" t="b">
        <v>0</v>
      </c>
      <c r="F761" s="15" t="b">
        <v>0</v>
      </c>
      <c r="G761" s="33" t="s">
        <v>206</v>
      </c>
      <c r="H761" s="15" t="s">
        <v>1797</v>
      </c>
      <c r="I761" s="33" t="s">
        <v>213</v>
      </c>
      <c r="J761" s="15"/>
      <c r="K761" s="15"/>
      <c r="L761" s="120" t="s">
        <v>220</v>
      </c>
      <c r="M761" s="15" t="s">
        <v>1800</v>
      </c>
      <c r="N761" s="15" t="s">
        <v>1801</v>
      </c>
      <c r="O761" s="15"/>
      <c r="P761" s="15"/>
      <c r="Q761" s="15" t="b">
        <v>0</v>
      </c>
    </row>
    <row r="762" spans="1:17" ht="15" hidden="1" customHeight="1">
      <c r="A762" s="15">
        <v>3681</v>
      </c>
      <c r="B762" s="15">
        <v>761</v>
      </c>
      <c r="C762" s="15">
        <v>0</v>
      </c>
      <c r="D762" s="15">
        <v>193</v>
      </c>
      <c r="E762" s="15" t="b">
        <v>0</v>
      </c>
      <c r="F762" s="15" t="b">
        <v>0</v>
      </c>
      <c r="G762" s="33" t="s">
        <v>206</v>
      </c>
      <c r="H762" s="15" t="s">
        <v>1797</v>
      </c>
      <c r="I762" s="33" t="s">
        <v>216</v>
      </c>
      <c r="J762" s="15"/>
      <c r="K762" s="15"/>
      <c r="L762" s="120" t="s">
        <v>220</v>
      </c>
      <c r="M762" s="15" t="s">
        <v>1802</v>
      </c>
      <c r="N762" s="15" t="s">
        <v>1803</v>
      </c>
      <c r="O762" s="15"/>
      <c r="P762" s="15"/>
      <c r="Q762" s="15" t="b">
        <v>0</v>
      </c>
    </row>
    <row r="763" spans="1:17" ht="15" hidden="1" customHeight="1">
      <c r="A763" s="15">
        <v>3682</v>
      </c>
      <c r="B763" s="15">
        <v>762</v>
      </c>
      <c r="C763" s="15">
        <v>0</v>
      </c>
      <c r="D763" s="15">
        <v>193</v>
      </c>
      <c r="E763" s="15" t="b">
        <v>0</v>
      </c>
      <c r="F763" s="15" t="b">
        <v>0</v>
      </c>
      <c r="G763" s="33" t="s">
        <v>206</v>
      </c>
      <c r="H763" s="15" t="s">
        <v>1804</v>
      </c>
      <c r="I763" s="33" t="s">
        <v>208</v>
      </c>
      <c r="J763" s="15"/>
      <c r="K763" s="15"/>
      <c r="L763" s="120" t="s">
        <v>220</v>
      </c>
      <c r="M763" s="15" t="s">
        <v>1805</v>
      </c>
      <c r="N763" s="15" t="s">
        <v>1806</v>
      </c>
      <c r="O763" s="15"/>
      <c r="P763" s="15"/>
      <c r="Q763" s="15" t="b">
        <v>0</v>
      </c>
    </row>
    <row r="764" spans="1:17" ht="15" hidden="1" customHeight="1">
      <c r="A764" s="15">
        <v>3683</v>
      </c>
      <c r="B764" s="15">
        <v>763</v>
      </c>
      <c r="C764" s="15">
        <v>0</v>
      </c>
      <c r="D764" s="15">
        <v>193</v>
      </c>
      <c r="E764" s="15" t="b">
        <v>0</v>
      </c>
      <c r="F764" s="15" t="b">
        <v>0</v>
      </c>
      <c r="G764" s="33" t="s">
        <v>206</v>
      </c>
      <c r="H764" s="15" t="s">
        <v>1804</v>
      </c>
      <c r="I764" s="33" t="s">
        <v>213</v>
      </c>
      <c r="J764" s="15"/>
      <c r="K764" s="15"/>
      <c r="L764" s="120" t="s">
        <v>220</v>
      </c>
      <c r="M764" s="15" t="s">
        <v>1807</v>
      </c>
      <c r="N764" s="15" t="s">
        <v>1808</v>
      </c>
      <c r="O764" s="15"/>
      <c r="P764" s="15"/>
      <c r="Q764" s="15" t="b">
        <v>0</v>
      </c>
    </row>
    <row r="765" spans="1:17" ht="15" hidden="1" customHeight="1">
      <c r="A765" s="15">
        <v>3684</v>
      </c>
      <c r="B765" s="15">
        <v>764</v>
      </c>
      <c r="C765" s="15">
        <v>0</v>
      </c>
      <c r="D765" s="15">
        <v>193</v>
      </c>
      <c r="E765" s="15" t="b">
        <v>0</v>
      </c>
      <c r="F765" s="15" t="b">
        <v>0</v>
      </c>
      <c r="G765" s="33" t="s">
        <v>206</v>
      </c>
      <c r="H765" s="15" t="s">
        <v>1804</v>
      </c>
      <c r="I765" s="33" t="s">
        <v>216</v>
      </c>
      <c r="J765" s="15"/>
      <c r="K765" s="15"/>
      <c r="L765" s="120" t="s">
        <v>220</v>
      </c>
      <c r="M765" s="15" t="s">
        <v>1809</v>
      </c>
      <c r="N765" s="15" t="s">
        <v>1810</v>
      </c>
      <c r="O765" s="15"/>
      <c r="P765" s="15"/>
      <c r="Q765" s="15" t="b">
        <v>0</v>
      </c>
    </row>
    <row r="766" spans="1:17" ht="15" hidden="1" customHeight="1">
      <c r="A766" s="15">
        <v>3685</v>
      </c>
      <c r="B766" s="15">
        <v>765</v>
      </c>
      <c r="C766" s="15">
        <v>0</v>
      </c>
      <c r="D766" s="15">
        <v>193</v>
      </c>
      <c r="E766" s="15" t="b">
        <v>0</v>
      </c>
      <c r="F766" s="15" t="b">
        <v>0</v>
      </c>
      <c r="G766" s="33" t="s">
        <v>206</v>
      </c>
      <c r="H766" s="15" t="s">
        <v>1811</v>
      </c>
      <c r="I766" s="33" t="s">
        <v>208</v>
      </c>
      <c r="J766" s="15"/>
      <c r="K766" s="15"/>
      <c r="L766" s="120" t="s">
        <v>220</v>
      </c>
      <c r="M766" s="15" t="s">
        <v>1812</v>
      </c>
      <c r="N766" s="15" t="s">
        <v>1813</v>
      </c>
      <c r="O766" s="15"/>
      <c r="P766" s="15"/>
      <c r="Q766" s="15" t="b">
        <v>0</v>
      </c>
    </row>
    <row r="767" spans="1:17" ht="15" hidden="1" customHeight="1">
      <c r="A767" s="15">
        <v>3686</v>
      </c>
      <c r="B767" s="15">
        <v>766</v>
      </c>
      <c r="C767" s="15">
        <v>0</v>
      </c>
      <c r="D767" s="15">
        <v>193</v>
      </c>
      <c r="E767" s="15" t="b">
        <v>0</v>
      </c>
      <c r="F767" s="15" t="b">
        <v>0</v>
      </c>
      <c r="G767" s="33" t="s">
        <v>206</v>
      </c>
      <c r="H767" s="15" t="s">
        <v>1811</v>
      </c>
      <c r="I767" s="33" t="s">
        <v>213</v>
      </c>
      <c r="J767" s="15"/>
      <c r="K767" s="15"/>
      <c r="L767" s="120" t="s">
        <v>220</v>
      </c>
      <c r="M767" s="15" t="s">
        <v>1814</v>
      </c>
      <c r="N767" s="15" t="s">
        <v>1815</v>
      </c>
      <c r="O767" s="15"/>
      <c r="P767" s="15"/>
      <c r="Q767" s="15" t="b">
        <v>0</v>
      </c>
    </row>
    <row r="768" spans="1:17" ht="15" hidden="1" customHeight="1">
      <c r="A768" s="15">
        <v>3687</v>
      </c>
      <c r="B768" s="15">
        <v>767</v>
      </c>
      <c r="C768" s="15">
        <v>0</v>
      </c>
      <c r="D768" s="15">
        <v>193</v>
      </c>
      <c r="E768" s="15" t="b">
        <v>0</v>
      </c>
      <c r="F768" s="15" t="b">
        <v>0</v>
      </c>
      <c r="G768" s="33" t="s">
        <v>206</v>
      </c>
      <c r="H768" s="15" t="s">
        <v>1811</v>
      </c>
      <c r="I768" s="33" t="s">
        <v>216</v>
      </c>
      <c r="J768" s="15"/>
      <c r="K768" s="15"/>
      <c r="L768" s="120" t="s">
        <v>220</v>
      </c>
      <c r="M768" s="15" t="s">
        <v>1816</v>
      </c>
      <c r="N768" s="15" t="s">
        <v>1817</v>
      </c>
      <c r="O768" s="15"/>
      <c r="P768" s="15"/>
      <c r="Q768" s="15" t="b">
        <v>0</v>
      </c>
    </row>
    <row r="769" spans="1:17" ht="15" hidden="1" customHeight="1">
      <c r="A769" s="15">
        <v>3688</v>
      </c>
      <c r="B769" s="15">
        <v>768</v>
      </c>
      <c r="C769" s="15">
        <v>0</v>
      </c>
      <c r="D769" s="15">
        <v>193</v>
      </c>
      <c r="E769" s="15" t="b">
        <v>0</v>
      </c>
      <c r="F769" s="15" t="b">
        <v>0</v>
      </c>
      <c r="G769" s="33" t="s">
        <v>206</v>
      </c>
      <c r="H769" s="15" t="s">
        <v>1818</v>
      </c>
      <c r="I769" s="33" t="s">
        <v>208</v>
      </c>
      <c r="J769" s="15"/>
      <c r="K769" s="15"/>
      <c r="L769" s="120" t="s">
        <v>220</v>
      </c>
      <c r="M769" s="15" t="s">
        <v>1819</v>
      </c>
      <c r="N769" s="15" t="s">
        <v>1820</v>
      </c>
      <c r="O769" s="15"/>
      <c r="P769" s="15"/>
      <c r="Q769" s="15" t="b">
        <v>0</v>
      </c>
    </row>
    <row r="770" spans="1:17" ht="15" hidden="1" customHeight="1">
      <c r="A770" s="15">
        <v>3689</v>
      </c>
      <c r="B770" s="15">
        <v>769</v>
      </c>
      <c r="C770" s="15">
        <v>0</v>
      </c>
      <c r="D770" s="15">
        <v>193</v>
      </c>
      <c r="E770" s="15" t="b">
        <v>0</v>
      </c>
      <c r="F770" s="15" t="b">
        <v>0</v>
      </c>
      <c r="G770" s="33" t="s">
        <v>206</v>
      </c>
      <c r="H770" s="15" t="s">
        <v>1818</v>
      </c>
      <c r="I770" s="33" t="s">
        <v>213</v>
      </c>
      <c r="J770" s="15"/>
      <c r="K770" s="15"/>
      <c r="L770" s="120" t="s">
        <v>220</v>
      </c>
      <c r="M770" s="15" t="s">
        <v>1821</v>
      </c>
      <c r="N770" s="15" t="s">
        <v>1822</v>
      </c>
      <c r="O770" s="15"/>
      <c r="P770" s="15"/>
      <c r="Q770" s="15" t="b">
        <v>0</v>
      </c>
    </row>
    <row r="771" spans="1:17" ht="15" hidden="1" customHeight="1">
      <c r="A771" s="15">
        <v>3690</v>
      </c>
      <c r="B771" s="15">
        <v>770</v>
      </c>
      <c r="C771" s="15">
        <v>0</v>
      </c>
      <c r="D771" s="15">
        <v>193</v>
      </c>
      <c r="E771" s="15" t="b">
        <v>0</v>
      </c>
      <c r="F771" s="15" t="b">
        <v>0</v>
      </c>
      <c r="G771" s="33" t="s">
        <v>206</v>
      </c>
      <c r="H771" s="15" t="s">
        <v>1818</v>
      </c>
      <c r="I771" s="33" t="s">
        <v>216</v>
      </c>
      <c r="J771" s="15"/>
      <c r="K771" s="15"/>
      <c r="L771" s="120" t="s">
        <v>220</v>
      </c>
      <c r="M771" s="15" t="s">
        <v>1823</v>
      </c>
      <c r="N771" s="15" t="s">
        <v>1824</v>
      </c>
      <c r="O771" s="15"/>
      <c r="P771" s="15"/>
      <c r="Q771" s="15" t="b">
        <v>0</v>
      </c>
    </row>
    <row r="772" spans="1:17" ht="15" hidden="1" customHeight="1">
      <c r="A772" s="15">
        <v>3691</v>
      </c>
      <c r="B772" s="15">
        <v>771</v>
      </c>
      <c r="C772" s="15">
        <v>0</v>
      </c>
      <c r="D772" s="15">
        <v>193</v>
      </c>
      <c r="E772" s="15" t="b">
        <v>0</v>
      </c>
      <c r="F772" s="15" t="b">
        <v>0</v>
      </c>
      <c r="G772" s="33" t="s">
        <v>206</v>
      </c>
      <c r="H772" s="15" t="s">
        <v>1825</v>
      </c>
      <c r="I772" s="33" t="s">
        <v>208</v>
      </c>
      <c r="J772" s="15"/>
      <c r="K772" s="15"/>
      <c r="L772" s="120" t="s">
        <v>220</v>
      </c>
      <c r="M772" s="15" t="s">
        <v>1826</v>
      </c>
      <c r="N772" s="15" t="s">
        <v>1827</v>
      </c>
      <c r="O772" s="15"/>
      <c r="P772" s="15"/>
      <c r="Q772" s="15" t="b">
        <v>0</v>
      </c>
    </row>
    <row r="773" spans="1:17" ht="15" hidden="1" customHeight="1">
      <c r="A773" s="15">
        <v>3692</v>
      </c>
      <c r="B773" s="15">
        <v>772</v>
      </c>
      <c r="C773" s="15">
        <v>0</v>
      </c>
      <c r="D773" s="15">
        <v>193</v>
      </c>
      <c r="E773" s="15" t="b">
        <v>0</v>
      </c>
      <c r="F773" s="15" t="b">
        <v>0</v>
      </c>
      <c r="G773" s="33" t="s">
        <v>206</v>
      </c>
      <c r="H773" s="15" t="s">
        <v>1825</v>
      </c>
      <c r="I773" s="33" t="s">
        <v>213</v>
      </c>
      <c r="J773" s="15"/>
      <c r="K773" s="15"/>
      <c r="L773" s="120" t="s">
        <v>220</v>
      </c>
      <c r="M773" s="15" t="s">
        <v>1828</v>
      </c>
      <c r="N773" s="15" t="s">
        <v>1829</v>
      </c>
      <c r="O773" s="15"/>
      <c r="P773" s="15"/>
      <c r="Q773" s="15" t="b">
        <v>0</v>
      </c>
    </row>
    <row r="774" spans="1:17" ht="15" hidden="1" customHeight="1">
      <c r="A774" s="15">
        <v>3693</v>
      </c>
      <c r="B774" s="15">
        <v>773</v>
      </c>
      <c r="C774" s="15">
        <v>0</v>
      </c>
      <c r="D774" s="15">
        <v>193</v>
      </c>
      <c r="E774" s="15" t="b">
        <v>0</v>
      </c>
      <c r="F774" s="15" t="b">
        <v>0</v>
      </c>
      <c r="G774" s="33" t="s">
        <v>206</v>
      </c>
      <c r="H774" s="15" t="s">
        <v>1825</v>
      </c>
      <c r="I774" s="33" t="s">
        <v>216</v>
      </c>
      <c r="J774" s="15"/>
      <c r="K774" s="15"/>
      <c r="L774" s="120" t="s">
        <v>220</v>
      </c>
      <c r="M774" s="15" t="s">
        <v>1830</v>
      </c>
      <c r="N774" s="15" t="s">
        <v>1831</v>
      </c>
      <c r="O774" s="15"/>
      <c r="P774" s="15"/>
      <c r="Q774" s="15" t="b">
        <v>0</v>
      </c>
    </row>
    <row r="775" spans="1:17" ht="15" hidden="1" customHeight="1">
      <c r="A775" s="15">
        <v>3694</v>
      </c>
      <c r="B775" s="15">
        <v>774</v>
      </c>
      <c r="C775" s="15">
        <v>0</v>
      </c>
      <c r="D775" s="15">
        <v>193</v>
      </c>
      <c r="E775" s="15" t="b">
        <v>0</v>
      </c>
      <c r="F775" s="15" t="b">
        <v>0</v>
      </c>
      <c r="G775" s="33" t="s">
        <v>206</v>
      </c>
      <c r="H775" s="15" t="s">
        <v>1832</v>
      </c>
      <c r="I775" s="33" t="s">
        <v>208</v>
      </c>
      <c r="J775" s="15"/>
      <c r="K775" s="15"/>
      <c r="L775" s="120" t="s">
        <v>220</v>
      </c>
      <c r="M775" s="15" t="s">
        <v>1833</v>
      </c>
      <c r="N775" s="15" t="s">
        <v>1834</v>
      </c>
      <c r="O775" s="15"/>
      <c r="P775" s="15"/>
      <c r="Q775" s="15" t="b">
        <v>0</v>
      </c>
    </row>
    <row r="776" spans="1:17" ht="15" hidden="1" customHeight="1">
      <c r="A776" s="15">
        <v>3695</v>
      </c>
      <c r="B776" s="15">
        <v>775</v>
      </c>
      <c r="C776" s="15">
        <v>0</v>
      </c>
      <c r="D776" s="15">
        <v>193</v>
      </c>
      <c r="E776" s="15" t="b">
        <v>0</v>
      </c>
      <c r="F776" s="15" t="b">
        <v>0</v>
      </c>
      <c r="G776" s="33" t="s">
        <v>206</v>
      </c>
      <c r="H776" s="15" t="s">
        <v>1832</v>
      </c>
      <c r="I776" s="33" t="s">
        <v>213</v>
      </c>
      <c r="J776" s="15"/>
      <c r="K776" s="15"/>
      <c r="L776" s="120" t="s">
        <v>220</v>
      </c>
      <c r="M776" s="15" t="s">
        <v>1835</v>
      </c>
      <c r="N776" s="15" t="s">
        <v>1836</v>
      </c>
      <c r="O776" s="15"/>
      <c r="P776" s="15"/>
      <c r="Q776" s="15" t="b">
        <v>0</v>
      </c>
    </row>
    <row r="777" spans="1:17" ht="15" hidden="1" customHeight="1">
      <c r="A777" s="15">
        <v>3696</v>
      </c>
      <c r="B777" s="15">
        <v>776</v>
      </c>
      <c r="C777" s="15">
        <v>0</v>
      </c>
      <c r="D777" s="15">
        <v>193</v>
      </c>
      <c r="E777" s="15" t="b">
        <v>0</v>
      </c>
      <c r="F777" s="15" t="b">
        <v>0</v>
      </c>
      <c r="G777" s="33" t="s">
        <v>206</v>
      </c>
      <c r="H777" s="15" t="s">
        <v>1832</v>
      </c>
      <c r="I777" s="33" t="s">
        <v>216</v>
      </c>
      <c r="J777" s="15"/>
      <c r="K777" s="15"/>
      <c r="L777" s="120" t="s">
        <v>220</v>
      </c>
      <c r="M777" s="15" t="s">
        <v>1837</v>
      </c>
      <c r="N777" s="15" t="s">
        <v>1838</v>
      </c>
      <c r="O777" s="15"/>
      <c r="P777" s="15"/>
      <c r="Q777" s="15" t="b">
        <v>0</v>
      </c>
    </row>
    <row r="778" spans="1:17" ht="15" hidden="1" customHeight="1">
      <c r="A778" s="15">
        <v>3697</v>
      </c>
      <c r="B778" s="15">
        <v>777</v>
      </c>
      <c r="C778" s="15">
        <v>0</v>
      </c>
      <c r="D778" s="15">
        <v>193</v>
      </c>
      <c r="E778" s="15" t="b">
        <v>0</v>
      </c>
      <c r="F778" s="15" t="b">
        <v>0</v>
      </c>
      <c r="G778" s="33" t="s">
        <v>206</v>
      </c>
      <c r="H778" s="15" t="s">
        <v>1839</v>
      </c>
      <c r="I778" s="33" t="s">
        <v>208</v>
      </c>
      <c r="J778" s="15"/>
      <c r="K778" s="15"/>
      <c r="L778" s="120" t="s">
        <v>220</v>
      </c>
      <c r="M778" s="15" t="s">
        <v>1840</v>
      </c>
      <c r="N778" s="15" t="s">
        <v>1841</v>
      </c>
      <c r="O778" s="15"/>
      <c r="P778" s="15"/>
      <c r="Q778" s="15" t="b">
        <v>0</v>
      </c>
    </row>
    <row r="779" spans="1:17" ht="15" hidden="1" customHeight="1">
      <c r="A779" s="15">
        <v>3698</v>
      </c>
      <c r="B779" s="15">
        <v>778</v>
      </c>
      <c r="C779" s="15">
        <v>0</v>
      </c>
      <c r="D779" s="15">
        <v>193</v>
      </c>
      <c r="E779" s="15" t="b">
        <v>0</v>
      </c>
      <c r="F779" s="15" t="b">
        <v>0</v>
      </c>
      <c r="G779" s="33" t="s">
        <v>206</v>
      </c>
      <c r="H779" s="15" t="s">
        <v>1839</v>
      </c>
      <c r="I779" s="33" t="s">
        <v>213</v>
      </c>
      <c r="J779" s="15"/>
      <c r="K779" s="15"/>
      <c r="L779" s="120" t="s">
        <v>220</v>
      </c>
      <c r="M779" s="15" t="s">
        <v>1842</v>
      </c>
      <c r="N779" s="15" t="s">
        <v>1843</v>
      </c>
      <c r="O779" s="15"/>
      <c r="P779" s="15"/>
      <c r="Q779" s="15" t="b">
        <v>0</v>
      </c>
    </row>
    <row r="780" spans="1:17" ht="15" hidden="1" customHeight="1">
      <c r="A780" s="15">
        <v>3699</v>
      </c>
      <c r="B780" s="15">
        <v>779</v>
      </c>
      <c r="C780" s="15">
        <v>0</v>
      </c>
      <c r="D780" s="15">
        <v>193</v>
      </c>
      <c r="E780" s="15" t="b">
        <v>0</v>
      </c>
      <c r="F780" s="15" t="b">
        <v>0</v>
      </c>
      <c r="G780" s="33" t="s">
        <v>206</v>
      </c>
      <c r="H780" s="15" t="s">
        <v>1839</v>
      </c>
      <c r="I780" s="33" t="s">
        <v>216</v>
      </c>
      <c r="J780" s="15"/>
      <c r="K780" s="15"/>
      <c r="L780" s="120" t="s">
        <v>220</v>
      </c>
      <c r="M780" s="15" t="s">
        <v>1844</v>
      </c>
      <c r="N780" s="15" t="s">
        <v>1845</v>
      </c>
      <c r="O780" s="15"/>
      <c r="P780" s="15"/>
      <c r="Q780" s="15" t="b">
        <v>0</v>
      </c>
    </row>
    <row r="781" spans="1:17" ht="15" hidden="1" customHeight="1">
      <c r="A781" s="15">
        <v>3700</v>
      </c>
      <c r="B781" s="15">
        <v>780</v>
      </c>
      <c r="C781" s="15">
        <v>0</v>
      </c>
      <c r="D781" s="15">
        <v>193</v>
      </c>
      <c r="E781" s="15" t="b">
        <v>0</v>
      </c>
      <c r="F781" s="15" t="b">
        <v>0</v>
      </c>
      <c r="G781" s="33" t="s">
        <v>206</v>
      </c>
      <c r="H781" s="15" t="s">
        <v>1846</v>
      </c>
      <c r="I781" s="33" t="s">
        <v>208</v>
      </c>
      <c r="J781" s="15"/>
      <c r="K781" s="15"/>
      <c r="L781" s="120" t="s">
        <v>220</v>
      </c>
      <c r="M781" s="15" t="s">
        <v>1847</v>
      </c>
      <c r="N781" s="15" t="s">
        <v>1848</v>
      </c>
      <c r="O781" s="15"/>
      <c r="P781" s="15"/>
      <c r="Q781" s="15" t="b">
        <v>0</v>
      </c>
    </row>
    <row r="782" spans="1:17" ht="15" hidden="1" customHeight="1">
      <c r="A782" s="15">
        <v>3701</v>
      </c>
      <c r="B782" s="15">
        <v>781</v>
      </c>
      <c r="C782" s="15">
        <v>0</v>
      </c>
      <c r="D782" s="15">
        <v>193</v>
      </c>
      <c r="E782" s="15" t="b">
        <v>0</v>
      </c>
      <c r="F782" s="15" t="b">
        <v>0</v>
      </c>
      <c r="G782" s="33" t="s">
        <v>206</v>
      </c>
      <c r="H782" s="15" t="s">
        <v>1846</v>
      </c>
      <c r="I782" s="33" t="s">
        <v>213</v>
      </c>
      <c r="J782" s="15"/>
      <c r="K782" s="15"/>
      <c r="L782" s="120" t="s">
        <v>220</v>
      </c>
      <c r="M782" s="15" t="s">
        <v>1849</v>
      </c>
      <c r="N782" s="15" t="s">
        <v>1850</v>
      </c>
      <c r="O782" s="15"/>
      <c r="P782" s="15"/>
      <c r="Q782" s="15" t="b">
        <v>0</v>
      </c>
    </row>
    <row r="783" spans="1:17" ht="15" hidden="1" customHeight="1">
      <c r="A783" s="15">
        <v>3702</v>
      </c>
      <c r="B783" s="15">
        <v>782</v>
      </c>
      <c r="C783" s="15">
        <v>0</v>
      </c>
      <c r="D783" s="15">
        <v>193</v>
      </c>
      <c r="E783" s="15" t="b">
        <v>0</v>
      </c>
      <c r="F783" s="15" t="b">
        <v>0</v>
      </c>
      <c r="G783" s="33" t="s">
        <v>206</v>
      </c>
      <c r="H783" s="15" t="s">
        <v>1846</v>
      </c>
      <c r="I783" s="33" t="s">
        <v>216</v>
      </c>
      <c r="J783" s="15"/>
      <c r="K783" s="15"/>
      <c r="L783" s="120" t="s">
        <v>220</v>
      </c>
      <c r="M783" s="15" t="s">
        <v>1851</v>
      </c>
      <c r="N783" s="15" t="s">
        <v>1852</v>
      </c>
      <c r="O783" s="15"/>
      <c r="P783" s="15"/>
      <c r="Q783" s="15" t="b">
        <v>0</v>
      </c>
    </row>
    <row r="784" spans="1:17" ht="15" hidden="1" customHeight="1">
      <c r="A784" s="15">
        <v>3703</v>
      </c>
      <c r="B784" s="15">
        <v>783</v>
      </c>
      <c r="C784" s="15">
        <v>0</v>
      </c>
      <c r="D784" s="15">
        <v>193</v>
      </c>
      <c r="E784" s="15" t="b">
        <v>0</v>
      </c>
      <c r="F784" s="15" t="b">
        <v>0</v>
      </c>
      <c r="G784" s="33" t="s">
        <v>206</v>
      </c>
      <c r="H784" s="15" t="s">
        <v>1853</v>
      </c>
      <c r="I784" s="33" t="s">
        <v>208</v>
      </c>
      <c r="J784" s="15"/>
      <c r="K784" s="15"/>
      <c r="L784" s="120" t="s">
        <v>220</v>
      </c>
      <c r="M784" s="15" t="s">
        <v>1854</v>
      </c>
      <c r="N784" s="15" t="s">
        <v>1855</v>
      </c>
      <c r="O784" s="15"/>
      <c r="P784" s="15"/>
      <c r="Q784" s="15" t="b">
        <v>0</v>
      </c>
    </row>
    <row r="785" spans="1:17" ht="15" hidden="1" customHeight="1">
      <c r="A785" s="15">
        <v>3704</v>
      </c>
      <c r="B785" s="15">
        <v>784</v>
      </c>
      <c r="C785" s="15">
        <v>0</v>
      </c>
      <c r="D785" s="15">
        <v>193</v>
      </c>
      <c r="E785" s="15" t="b">
        <v>0</v>
      </c>
      <c r="F785" s="15" t="b">
        <v>0</v>
      </c>
      <c r="G785" s="33" t="s">
        <v>206</v>
      </c>
      <c r="H785" s="15" t="s">
        <v>1853</v>
      </c>
      <c r="I785" s="33" t="s">
        <v>213</v>
      </c>
      <c r="J785" s="15"/>
      <c r="K785" s="15"/>
      <c r="L785" s="120" t="s">
        <v>220</v>
      </c>
      <c r="M785" s="15" t="s">
        <v>1856</v>
      </c>
      <c r="N785" s="15" t="s">
        <v>1857</v>
      </c>
      <c r="O785" s="15"/>
      <c r="P785" s="15"/>
      <c r="Q785" s="15" t="b">
        <v>0</v>
      </c>
    </row>
    <row r="786" spans="1:17" ht="15" hidden="1" customHeight="1">
      <c r="A786" s="15">
        <v>3705</v>
      </c>
      <c r="B786" s="15">
        <v>785</v>
      </c>
      <c r="C786" s="15">
        <v>0</v>
      </c>
      <c r="D786" s="15">
        <v>193</v>
      </c>
      <c r="E786" s="15" t="b">
        <v>0</v>
      </c>
      <c r="F786" s="15" t="b">
        <v>0</v>
      </c>
      <c r="G786" s="33" t="s">
        <v>206</v>
      </c>
      <c r="H786" s="15" t="s">
        <v>1853</v>
      </c>
      <c r="I786" s="33" t="s">
        <v>216</v>
      </c>
      <c r="J786" s="15"/>
      <c r="K786" s="15"/>
      <c r="L786" s="120" t="s">
        <v>220</v>
      </c>
      <c r="M786" s="15" t="s">
        <v>1858</v>
      </c>
      <c r="N786" s="15" t="s">
        <v>1859</v>
      </c>
      <c r="O786" s="15"/>
      <c r="P786" s="15"/>
      <c r="Q786" s="15" t="b">
        <v>0</v>
      </c>
    </row>
    <row r="787" spans="1:17" ht="15" hidden="1" customHeight="1">
      <c r="A787" s="15">
        <v>3706</v>
      </c>
      <c r="B787" s="15">
        <v>786</v>
      </c>
      <c r="C787" s="15">
        <v>0</v>
      </c>
      <c r="D787" s="15">
        <v>193</v>
      </c>
      <c r="E787" s="15" t="b">
        <v>0</v>
      </c>
      <c r="F787" s="15" t="b">
        <v>0</v>
      </c>
      <c r="G787" s="33" t="s">
        <v>206</v>
      </c>
      <c r="H787" s="15" t="s">
        <v>1860</v>
      </c>
      <c r="I787" s="33" t="s">
        <v>208</v>
      </c>
      <c r="J787" s="15"/>
      <c r="K787" s="15"/>
      <c r="L787" s="120" t="s">
        <v>220</v>
      </c>
      <c r="M787" s="15" t="s">
        <v>1861</v>
      </c>
      <c r="N787" s="15" t="s">
        <v>1862</v>
      </c>
      <c r="O787" s="15"/>
      <c r="P787" s="15"/>
      <c r="Q787" s="15" t="b">
        <v>0</v>
      </c>
    </row>
    <row r="788" spans="1:17" ht="15" hidden="1" customHeight="1">
      <c r="A788" s="15">
        <v>3707</v>
      </c>
      <c r="B788" s="15">
        <v>787</v>
      </c>
      <c r="C788" s="15">
        <v>0</v>
      </c>
      <c r="D788" s="15">
        <v>193</v>
      </c>
      <c r="E788" s="15" t="b">
        <v>0</v>
      </c>
      <c r="F788" s="15" t="b">
        <v>0</v>
      </c>
      <c r="G788" s="33" t="s">
        <v>206</v>
      </c>
      <c r="H788" s="15" t="s">
        <v>1860</v>
      </c>
      <c r="I788" s="33" t="s">
        <v>213</v>
      </c>
      <c r="J788" s="15"/>
      <c r="K788" s="15"/>
      <c r="L788" s="120" t="s">
        <v>220</v>
      </c>
      <c r="M788" s="15" t="s">
        <v>1863</v>
      </c>
      <c r="N788" s="15" t="s">
        <v>1864</v>
      </c>
      <c r="O788" s="15"/>
      <c r="P788" s="15"/>
      <c r="Q788" s="15" t="b">
        <v>0</v>
      </c>
    </row>
    <row r="789" spans="1:17" ht="15" hidden="1" customHeight="1">
      <c r="A789" s="15">
        <v>3708</v>
      </c>
      <c r="B789" s="15">
        <v>788</v>
      </c>
      <c r="C789" s="15">
        <v>0</v>
      </c>
      <c r="D789" s="15">
        <v>193</v>
      </c>
      <c r="E789" s="15" t="b">
        <v>0</v>
      </c>
      <c r="F789" s="15" t="b">
        <v>0</v>
      </c>
      <c r="G789" s="33" t="s">
        <v>206</v>
      </c>
      <c r="H789" s="15" t="s">
        <v>1860</v>
      </c>
      <c r="I789" s="33" t="s">
        <v>216</v>
      </c>
      <c r="J789" s="15"/>
      <c r="K789" s="15"/>
      <c r="L789" s="120" t="s">
        <v>220</v>
      </c>
      <c r="M789" s="15" t="s">
        <v>1865</v>
      </c>
      <c r="N789" s="15" t="s">
        <v>1866</v>
      </c>
      <c r="O789" s="15"/>
      <c r="P789" s="15"/>
      <c r="Q789" s="15" t="b">
        <v>0</v>
      </c>
    </row>
    <row r="790" spans="1:17" ht="15" hidden="1" customHeight="1">
      <c r="A790" s="15">
        <v>3709</v>
      </c>
      <c r="B790" s="15">
        <v>789</v>
      </c>
      <c r="C790" s="15">
        <v>0</v>
      </c>
      <c r="D790" s="15">
        <v>193</v>
      </c>
      <c r="E790" s="15" t="b">
        <v>0</v>
      </c>
      <c r="F790" s="15" t="b">
        <v>0</v>
      </c>
      <c r="G790" s="33" t="s">
        <v>206</v>
      </c>
      <c r="H790" s="15" t="s">
        <v>1867</v>
      </c>
      <c r="I790" s="33" t="s">
        <v>208</v>
      </c>
      <c r="J790" s="15"/>
      <c r="K790" s="15"/>
      <c r="L790" s="120" t="s">
        <v>220</v>
      </c>
      <c r="M790" s="15" t="s">
        <v>1868</v>
      </c>
      <c r="N790" s="15" t="s">
        <v>1869</v>
      </c>
      <c r="O790" s="15"/>
      <c r="P790" s="15"/>
      <c r="Q790" s="15" t="b">
        <v>0</v>
      </c>
    </row>
    <row r="791" spans="1:17" ht="15" hidden="1" customHeight="1">
      <c r="A791" s="15">
        <v>3710</v>
      </c>
      <c r="B791" s="15">
        <v>790</v>
      </c>
      <c r="C791" s="15">
        <v>0</v>
      </c>
      <c r="D791" s="15">
        <v>193</v>
      </c>
      <c r="E791" s="15" t="b">
        <v>0</v>
      </c>
      <c r="F791" s="15" t="b">
        <v>0</v>
      </c>
      <c r="G791" s="33" t="s">
        <v>206</v>
      </c>
      <c r="H791" s="15" t="s">
        <v>1867</v>
      </c>
      <c r="I791" s="33" t="s">
        <v>213</v>
      </c>
      <c r="J791" s="15"/>
      <c r="K791" s="15"/>
      <c r="L791" s="120" t="s">
        <v>220</v>
      </c>
      <c r="M791" s="15" t="s">
        <v>1870</v>
      </c>
      <c r="N791" s="15" t="s">
        <v>1871</v>
      </c>
      <c r="O791" s="15"/>
      <c r="P791" s="15"/>
      <c r="Q791" s="15" t="b">
        <v>0</v>
      </c>
    </row>
    <row r="792" spans="1:17" ht="15" hidden="1" customHeight="1">
      <c r="A792" s="15">
        <v>3711</v>
      </c>
      <c r="B792" s="15">
        <v>791</v>
      </c>
      <c r="C792" s="15">
        <v>0</v>
      </c>
      <c r="D792" s="15">
        <v>193</v>
      </c>
      <c r="E792" s="15" t="b">
        <v>0</v>
      </c>
      <c r="F792" s="15" t="b">
        <v>0</v>
      </c>
      <c r="G792" s="33" t="s">
        <v>206</v>
      </c>
      <c r="H792" s="15" t="s">
        <v>1867</v>
      </c>
      <c r="I792" s="33" t="s">
        <v>216</v>
      </c>
      <c r="J792" s="15"/>
      <c r="K792" s="15"/>
      <c r="L792" s="120" t="s">
        <v>220</v>
      </c>
      <c r="M792" s="15" t="s">
        <v>1872</v>
      </c>
      <c r="N792" s="15" t="s">
        <v>1873</v>
      </c>
      <c r="O792" s="15"/>
      <c r="P792" s="15"/>
      <c r="Q792" s="15" t="b">
        <v>0</v>
      </c>
    </row>
    <row r="793" spans="1:17" ht="15" hidden="1" customHeight="1">
      <c r="A793" s="15">
        <v>3712</v>
      </c>
      <c r="B793" s="15">
        <v>792</v>
      </c>
      <c r="C793" s="15">
        <v>0</v>
      </c>
      <c r="D793" s="15">
        <v>193</v>
      </c>
      <c r="E793" s="15" t="b">
        <v>0</v>
      </c>
      <c r="F793" s="15" t="b">
        <v>0</v>
      </c>
      <c r="G793" s="33" t="s">
        <v>206</v>
      </c>
      <c r="H793" s="15" t="s">
        <v>1874</v>
      </c>
      <c r="I793" s="33" t="s">
        <v>208</v>
      </c>
      <c r="J793" s="15"/>
      <c r="K793" s="15"/>
      <c r="L793" s="120" t="s">
        <v>220</v>
      </c>
      <c r="M793" s="15" t="s">
        <v>1875</v>
      </c>
      <c r="N793" s="15" t="s">
        <v>1876</v>
      </c>
      <c r="O793" s="15"/>
      <c r="P793" s="15"/>
      <c r="Q793" s="15" t="b">
        <v>0</v>
      </c>
    </row>
    <row r="794" spans="1:17" ht="15" hidden="1" customHeight="1">
      <c r="A794" s="15">
        <v>3713</v>
      </c>
      <c r="B794" s="15">
        <v>793</v>
      </c>
      <c r="C794" s="15">
        <v>0</v>
      </c>
      <c r="D794" s="15">
        <v>193</v>
      </c>
      <c r="E794" s="15" t="b">
        <v>0</v>
      </c>
      <c r="F794" s="15" t="b">
        <v>0</v>
      </c>
      <c r="G794" s="33" t="s">
        <v>206</v>
      </c>
      <c r="H794" s="15" t="s">
        <v>1874</v>
      </c>
      <c r="I794" s="33" t="s">
        <v>213</v>
      </c>
      <c r="J794" s="15"/>
      <c r="K794" s="15"/>
      <c r="L794" s="120" t="s">
        <v>220</v>
      </c>
      <c r="M794" s="15" t="s">
        <v>1877</v>
      </c>
      <c r="N794" s="15" t="s">
        <v>1878</v>
      </c>
      <c r="O794" s="15"/>
      <c r="P794" s="15"/>
      <c r="Q794" s="15" t="b">
        <v>0</v>
      </c>
    </row>
    <row r="795" spans="1:17" ht="15" hidden="1" customHeight="1">
      <c r="A795" s="15">
        <v>3714</v>
      </c>
      <c r="B795" s="15">
        <v>794</v>
      </c>
      <c r="C795" s="15">
        <v>0</v>
      </c>
      <c r="D795" s="15">
        <v>193</v>
      </c>
      <c r="E795" s="15" t="b">
        <v>0</v>
      </c>
      <c r="F795" s="15" t="b">
        <v>0</v>
      </c>
      <c r="G795" s="33" t="s">
        <v>206</v>
      </c>
      <c r="H795" s="15" t="s">
        <v>1874</v>
      </c>
      <c r="I795" s="33" t="s">
        <v>216</v>
      </c>
      <c r="J795" s="15"/>
      <c r="K795" s="15"/>
      <c r="L795" s="120" t="s">
        <v>220</v>
      </c>
      <c r="M795" s="15" t="s">
        <v>1879</v>
      </c>
      <c r="N795" s="15" t="s">
        <v>1880</v>
      </c>
      <c r="O795" s="15"/>
      <c r="P795" s="15"/>
      <c r="Q795" s="15" t="b">
        <v>0</v>
      </c>
    </row>
    <row r="796" spans="1:17" ht="15" hidden="1" customHeight="1">
      <c r="A796" s="15">
        <v>3715</v>
      </c>
      <c r="B796" s="15">
        <v>795</v>
      </c>
      <c r="C796" s="15">
        <v>0</v>
      </c>
      <c r="D796" s="15">
        <v>193</v>
      </c>
      <c r="E796" s="15" t="b">
        <v>0</v>
      </c>
      <c r="F796" s="15" t="b">
        <v>0</v>
      </c>
      <c r="G796" s="33" t="s">
        <v>206</v>
      </c>
      <c r="H796" s="15" t="s">
        <v>1881</v>
      </c>
      <c r="I796" s="33" t="s">
        <v>208</v>
      </c>
      <c r="J796" s="15"/>
      <c r="K796" s="15"/>
      <c r="L796" s="120" t="s">
        <v>220</v>
      </c>
      <c r="M796" s="15" t="s">
        <v>1882</v>
      </c>
      <c r="N796" s="15" t="s">
        <v>1883</v>
      </c>
      <c r="O796" s="15"/>
      <c r="P796" s="15"/>
      <c r="Q796" s="15" t="b">
        <v>0</v>
      </c>
    </row>
    <row r="797" spans="1:17" ht="15" hidden="1" customHeight="1">
      <c r="A797" s="15">
        <v>3716</v>
      </c>
      <c r="B797" s="15">
        <v>796</v>
      </c>
      <c r="C797" s="15">
        <v>0</v>
      </c>
      <c r="D797" s="15">
        <v>193</v>
      </c>
      <c r="E797" s="15" t="b">
        <v>0</v>
      </c>
      <c r="F797" s="15" t="b">
        <v>0</v>
      </c>
      <c r="G797" s="33" t="s">
        <v>206</v>
      </c>
      <c r="H797" s="15" t="s">
        <v>1881</v>
      </c>
      <c r="I797" s="33" t="s">
        <v>213</v>
      </c>
      <c r="J797" s="15"/>
      <c r="K797" s="15"/>
      <c r="L797" s="120" t="s">
        <v>220</v>
      </c>
      <c r="M797" s="15" t="s">
        <v>1884</v>
      </c>
      <c r="N797" s="15" t="s">
        <v>1885</v>
      </c>
      <c r="O797" s="15"/>
      <c r="P797" s="15"/>
      <c r="Q797" s="15" t="b">
        <v>0</v>
      </c>
    </row>
    <row r="798" spans="1:17" ht="15" hidden="1" customHeight="1">
      <c r="A798" s="15">
        <v>3717</v>
      </c>
      <c r="B798" s="15">
        <v>797</v>
      </c>
      <c r="C798" s="15">
        <v>0</v>
      </c>
      <c r="D798" s="15">
        <v>193</v>
      </c>
      <c r="E798" s="15" t="b">
        <v>0</v>
      </c>
      <c r="F798" s="15" t="b">
        <v>0</v>
      </c>
      <c r="G798" s="33" t="s">
        <v>206</v>
      </c>
      <c r="H798" s="15" t="s">
        <v>1881</v>
      </c>
      <c r="I798" s="33" t="s">
        <v>216</v>
      </c>
      <c r="J798" s="15"/>
      <c r="K798" s="15"/>
      <c r="L798" s="120" t="s">
        <v>220</v>
      </c>
      <c r="M798" s="15" t="s">
        <v>1886</v>
      </c>
      <c r="N798" s="15" t="s">
        <v>1887</v>
      </c>
      <c r="O798" s="15"/>
      <c r="P798" s="15"/>
      <c r="Q798" s="15" t="b">
        <v>0</v>
      </c>
    </row>
    <row r="799" spans="1:17" ht="15" hidden="1" customHeight="1">
      <c r="A799" s="15">
        <v>3718</v>
      </c>
      <c r="B799" s="15">
        <v>798</v>
      </c>
      <c r="C799" s="15">
        <v>0</v>
      </c>
      <c r="D799" s="15">
        <v>193</v>
      </c>
      <c r="E799" s="15" t="b">
        <v>0</v>
      </c>
      <c r="F799" s="15" t="b">
        <v>0</v>
      </c>
      <c r="G799" s="33" t="s">
        <v>206</v>
      </c>
      <c r="H799" s="15" t="s">
        <v>1888</v>
      </c>
      <c r="I799" s="33" t="s">
        <v>208</v>
      </c>
      <c r="J799" s="15"/>
      <c r="K799" s="15"/>
      <c r="L799" s="120" t="s">
        <v>220</v>
      </c>
      <c r="M799" s="15" t="s">
        <v>1889</v>
      </c>
      <c r="N799" s="15" t="s">
        <v>1890</v>
      </c>
      <c r="O799" s="15"/>
      <c r="P799" s="15"/>
      <c r="Q799" s="15" t="b">
        <v>0</v>
      </c>
    </row>
    <row r="800" spans="1:17" ht="15" hidden="1" customHeight="1">
      <c r="A800" s="15">
        <v>3719</v>
      </c>
      <c r="B800" s="15">
        <v>799</v>
      </c>
      <c r="C800" s="15">
        <v>0</v>
      </c>
      <c r="D800" s="15">
        <v>193</v>
      </c>
      <c r="E800" s="15" t="b">
        <v>0</v>
      </c>
      <c r="F800" s="15" t="b">
        <v>0</v>
      </c>
      <c r="G800" s="33" t="s">
        <v>206</v>
      </c>
      <c r="H800" s="15" t="s">
        <v>1888</v>
      </c>
      <c r="I800" s="33" t="s">
        <v>213</v>
      </c>
      <c r="J800" s="15"/>
      <c r="K800" s="15"/>
      <c r="L800" s="120" t="s">
        <v>220</v>
      </c>
      <c r="M800" s="15" t="s">
        <v>1891</v>
      </c>
      <c r="N800" s="15" t="s">
        <v>1892</v>
      </c>
      <c r="O800" s="15"/>
      <c r="P800" s="15"/>
      <c r="Q800" s="15" t="b">
        <v>0</v>
      </c>
    </row>
    <row r="801" spans="1:17" ht="15" hidden="1" customHeight="1">
      <c r="A801" s="15">
        <v>3720</v>
      </c>
      <c r="B801" s="15">
        <v>800</v>
      </c>
      <c r="C801" s="15">
        <v>0</v>
      </c>
      <c r="D801" s="15">
        <v>193</v>
      </c>
      <c r="E801" s="15" t="b">
        <v>0</v>
      </c>
      <c r="F801" s="15" t="b">
        <v>0</v>
      </c>
      <c r="G801" s="33" t="s">
        <v>206</v>
      </c>
      <c r="H801" s="15" t="s">
        <v>1888</v>
      </c>
      <c r="I801" s="33" t="s">
        <v>216</v>
      </c>
      <c r="J801" s="15"/>
      <c r="K801" s="15"/>
      <c r="L801" s="120" t="s">
        <v>220</v>
      </c>
      <c r="M801" s="15" t="s">
        <v>1893</v>
      </c>
      <c r="N801" s="15" t="s">
        <v>1894</v>
      </c>
      <c r="O801" s="15"/>
      <c r="P801" s="15"/>
      <c r="Q801" s="15" t="b">
        <v>0</v>
      </c>
    </row>
    <row r="802" spans="1:17" ht="15" hidden="1" customHeight="1">
      <c r="A802" s="15">
        <v>3721</v>
      </c>
      <c r="B802" s="15">
        <v>801</v>
      </c>
      <c r="C802" s="15">
        <v>0</v>
      </c>
      <c r="D802" s="15">
        <v>193</v>
      </c>
      <c r="E802" s="15" t="b">
        <v>0</v>
      </c>
      <c r="F802" s="15" t="b">
        <v>0</v>
      </c>
      <c r="G802" s="33" t="s">
        <v>206</v>
      </c>
      <c r="H802" s="15" t="s">
        <v>1895</v>
      </c>
      <c r="I802" s="33" t="s">
        <v>208</v>
      </c>
      <c r="J802" s="15"/>
      <c r="K802" s="15"/>
      <c r="L802" s="120" t="s">
        <v>220</v>
      </c>
      <c r="M802" s="15" t="s">
        <v>1896</v>
      </c>
      <c r="N802" s="15" t="s">
        <v>1897</v>
      </c>
      <c r="O802" s="15"/>
      <c r="P802" s="15"/>
      <c r="Q802" s="15" t="b">
        <v>0</v>
      </c>
    </row>
    <row r="803" spans="1:17" ht="15" hidden="1" customHeight="1">
      <c r="A803" s="15">
        <v>3722</v>
      </c>
      <c r="B803" s="15">
        <v>802</v>
      </c>
      <c r="C803" s="15">
        <v>0</v>
      </c>
      <c r="D803" s="15">
        <v>193</v>
      </c>
      <c r="E803" s="15" t="b">
        <v>0</v>
      </c>
      <c r="F803" s="15" t="b">
        <v>0</v>
      </c>
      <c r="G803" s="33" t="s">
        <v>206</v>
      </c>
      <c r="H803" s="15" t="s">
        <v>1895</v>
      </c>
      <c r="I803" s="33" t="s">
        <v>213</v>
      </c>
      <c r="J803" s="15"/>
      <c r="K803" s="15"/>
      <c r="L803" s="120" t="s">
        <v>220</v>
      </c>
      <c r="M803" s="15" t="s">
        <v>1898</v>
      </c>
      <c r="N803" s="15" t="s">
        <v>1899</v>
      </c>
      <c r="O803" s="15"/>
      <c r="P803" s="15"/>
      <c r="Q803" s="15" t="b">
        <v>0</v>
      </c>
    </row>
    <row r="804" spans="1:17" ht="15" hidden="1" customHeight="1">
      <c r="A804" s="15">
        <v>3723</v>
      </c>
      <c r="B804" s="15">
        <v>803</v>
      </c>
      <c r="C804" s="15">
        <v>0</v>
      </c>
      <c r="D804" s="15">
        <v>193</v>
      </c>
      <c r="E804" s="15" t="b">
        <v>0</v>
      </c>
      <c r="F804" s="15" t="b">
        <v>0</v>
      </c>
      <c r="G804" s="33" t="s">
        <v>206</v>
      </c>
      <c r="H804" s="15" t="s">
        <v>1895</v>
      </c>
      <c r="I804" s="33" t="s">
        <v>216</v>
      </c>
      <c r="J804" s="15"/>
      <c r="K804" s="15"/>
      <c r="L804" s="120" t="s">
        <v>220</v>
      </c>
      <c r="M804" s="15" t="s">
        <v>1900</v>
      </c>
      <c r="N804" s="15" t="s">
        <v>1901</v>
      </c>
      <c r="O804" s="15"/>
      <c r="P804" s="15"/>
      <c r="Q804" s="15" t="b">
        <v>0</v>
      </c>
    </row>
    <row r="805" spans="1:17" ht="15" hidden="1" customHeight="1">
      <c r="A805" s="15">
        <v>3724</v>
      </c>
      <c r="B805" s="15">
        <v>804</v>
      </c>
      <c r="C805" s="15">
        <v>0</v>
      </c>
      <c r="D805" s="15">
        <v>193</v>
      </c>
      <c r="E805" s="15" t="b">
        <v>0</v>
      </c>
      <c r="F805" s="15" t="b">
        <v>0</v>
      </c>
      <c r="G805" s="33" t="s">
        <v>206</v>
      </c>
      <c r="H805" s="15" t="s">
        <v>1902</v>
      </c>
      <c r="I805" s="33" t="s">
        <v>208</v>
      </c>
      <c r="J805" s="15"/>
      <c r="K805" s="15"/>
      <c r="L805" s="120" t="s">
        <v>220</v>
      </c>
      <c r="M805" s="15" t="s">
        <v>1903</v>
      </c>
      <c r="N805" s="15" t="s">
        <v>1904</v>
      </c>
      <c r="O805" s="15"/>
      <c r="P805" s="15"/>
      <c r="Q805" s="15" t="b">
        <v>0</v>
      </c>
    </row>
    <row r="806" spans="1:17" ht="15" hidden="1" customHeight="1">
      <c r="A806" s="15">
        <v>3725</v>
      </c>
      <c r="B806" s="15">
        <v>805</v>
      </c>
      <c r="C806" s="15">
        <v>0</v>
      </c>
      <c r="D806" s="15">
        <v>193</v>
      </c>
      <c r="E806" s="15" t="b">
        <v>0</v>
      </c>
      <c r="F806" s="15" t="b">
        <v>0</v>
      </c>
      <c r="G806" s="33" t="s">
        <v>206</v>
      </c>
      <c r="H806" s="15" t="s">
        <v>1902</v>
      </c>
      <c r="I806" s="33" t="s">
        <v>213</v>
      </c>
      <c r="J806" s="15"/>
      <c r="K806" s="15"/>
      <c r="L806" s="120" t="s">
        <v>220</v>
      </c>
      <c r="M806" s="15" t="s">
        <v>1905</v>
      </c>
      <c r="N806" s="15" t="s">
        <v>1906</v>
      </c>
      <c r="O806" s="15"/>
      <c r="P806" s="15"/>
      <c r="Q806" s="15" t="b">
        <v>0</v>
      </c>
    </row>
    <row r="807" spans="1:17" ht="15" hidden="1" customHeight="1">
      <c r="A807" s="15">
        <v>3726</v>
      </c>
      <c r="B807" s="15">
        <v>806</v>
      </c>
      <c r="C807" s="15">
        <v>0</v>
      </c>
      <c r="D807" s="15">
        <v>193</v>
      </c>
      <c r="E807" s="15" t="b">
        <v>0</v>
      </c>
      <c r="F807" s="15" t="b">
        <v>0</v>
      </c>
      <c r="G807" s="33" t="s">
        <v>206</v>
      </c>
      <c r="H807" s="15" t="s">
        <v>1902</v>
      </c>
      <c r="I807" s="33" t="s">
        <v>216</v>
      </c>
      <c r="J807" s="15"/>
      <c r="K807" s="15"/>
      <c r="L807" s="120" t="s">
        <v>220</v>
      </c>
      <c r="M807" s="15" t="s">
        <v>1907</v>
      </c>
      <c r="N807" s="15" t="s">
        <v>1908</v>
      </c>
      <c r="O807" s="15"/>
      <c r="P807" s="15"/>
      <c r="Q807" s="15" t="b">
        <v>0</v>
      </c>
    </row>
    <row r="808" spans="1:17" ht="15" hidden="1" customHeight="1">
      <c r="A808" s="15">
        <v>3727</v>
      </c>
      <c r="B808" s="15">
        <v>807</v>
      </c>
      <c r="C808" s="15">
        <v>0</v>
      </c>
      <c r="D808" s="15">
        <v>193</v>
      </c>
      <c r="E808" s="15" t="b">
        <v>0</v>
      </c>
      <c r="F808" s="15" t="b">
        <v>0</v>
      </c>
      <c r="G808" s="33" t="s">
        <v>206</v>
      </c>
      <c r="H808" s="15" t="s">
        <v>1909</v>
      </c>
      <c r="I808" s="33" t="s">
        <v>208</v>
      </c>
      <c r="J808" s="15"/>
      <c r="K808" s="15"/>
      <c r="L808" s="120" t="s">
        <v>220</v>
      </c>
      <c r="M808" s="15" t="s">
        <v>1910</v>
      </c>
      <c r="N808" s="15" t="s">
        <v>1911</v>
      </c>
      <c r="O808" s="15"/>
      <c r="P808" s="15"/>
      <c r="Q808" s="15" t="b">
        <v>0</v>
      </c>
    </row>
    <row r="809" spans="1:17" ht="15" hidden="1" customHeight="1">
      <c r="A809" s="15">
        <v>3728</v>
      </c>
      <c r="B809" s="15">
        <v>808</v>
      </c>
      <c r="C809" s="15">
        <v>0</v>
      </c>
      <c r="D809" s="15">
        <v>193</v>
      </c>
      <c r="E809" s="15" t="b">
        <v>0</v>
      </c>
      <c r="F809" s="15" t="b">
        <v>0</v>
      </c>
      <c r="G809" s="33" t="s">
        <v>206</v>
      </c>
      <c r="H809" s="15" t="s">
        <v>1909</v>
      </c>
      <c r="I809" s="33" t="s">
        <v>213</v>
      </c>
      <c r="J809" s="15"/>
      <c r="K809" s="15"/>
      <c r="L809" s="120" t="s">
        <v>220</v>
      </c>
      <c r="M809" s="15" t="s">
        <v>1912</v>
      </c>
      <c r="N809" s="15" t="s">
        <v>1913</v>
      </c>
      <c r="O809" s="15"/>
      <c r="P809" s="15"/>
      <c r="Q809" s="15" t="b">
        <v>0</v>
      </c>
    </row>
    <row r="810" spans="1:17" ht="15" hidden="1" customHeight="1">
      <c r="A810" s="15">
        <v>3729</v>
      </c>
      <c r="B810" s="15">
        <v>809</v>
      </c>
      <c r="C810" s="15">
        <v>0</v>
      </c>
      <c r="D810" s="15">
        <v>193</v>
      </c>
      <c r="E810" s="15" t="b">
        <v>0</v>
      </c>
      <c r="F810" s="15" t="b">
        <v>0</v>
      </c>
      <c r="G810" s="33" t="s">
        <v>206</v>
      </c>
      <c r="H810" s="15" t="s">
        <v>1909</v>
      </c>
      <c r="I810" s="33" t="s">
        <v>216</v>
      </c>
      <c r="J810" s="15"/>
      <c r="K810" s="15"/>
      <c r="L810" s="120" t="s">
        <v>220</v>
      </c>
      <c r="M810" s="15" t="s">
        <v>1914</v>
      </c>
      <c r="N810" s="15" t="s">
        <v>1915</v>
      </c>
      <c r="O810" s="15"/>
      <c r="P810" s="15"/>
      <c r="Q810" s="15" t="b">
        <v>0</v>
      </c>
    </row>
    <row r="811" spans="1:17" ht="15" hidden="1" customHeight="1">
      <c r="A811" s="15">
        <v>3730</v>
      </c>
      <c r="B811" s="15">
        <v>810</v>
      </c>
      <c r="C811" s="15">
        <v>0</v>
      </c>
      <c r="D811" s="15">
        <v>193</v>
      </c>
      <c r="E811" s="15" t="b">
        <v>0</v>
      </c>
      <c r="F811" s="15" t="b">
        <v>0</v>
      </c>
      <c r="G811" s="33" t="s">
        <v>206</v>
      </c>
      <c r="H811" s="15" t="s">
        <v>1916</v>
      </c>
      <c r="I811" s="33" t="s">
        <v>208</v>
      </c>
      <c r="J811" s="15"/>
      <c r="K811" s="15"/>
      <c r="L811" s="120" t="s">
        <v>220</v>
      </c>
      <c r="M811" s="15" t="s">
        <v>1917</v>
      </c>
      <c r="N811" s="15" t="s">
        <v>1918</v>
      </c>
      <c r="O811" s="15"/>
      <c r="P811" s="15"/>
      <c r="Q811" s="15" t="b">
        <v>0</v>
      </c>
    </row>
    <row r="812" spans="1:17" ht="15" hidden="1" customHeight="1">
      <c r="A812" s="15">
        <v>3731</v>
      </c>
      <c r="B812" s="15">
        <v>811</v>
      </c>
      <c r="C812" s="15">
        <v>0</v>
      </c>
      <c r="D812" s="15">
        <v>193</v>
      </c>
      <c r="E812" s="15" t="b">
        <v>0</v>
      </c>
      <c r="F812" s="15" t="b">
        <v>0</v>
      </c>
      <c r="G812" s="33" t="s">
        <v>206</v>
      </c>
      <c r="H812" s="15" t="s">
        <v>1916</v>
      </c>
      <c r="I812" s="33" t="s">
        <v>213</v>
      </c>
      <c r="J812" s="15"/>
      <c r="K812" s="15"/>
      <c r="L812" s="120" t="s">
        <v>220</v>
      </c>
      <c r="M812" s="15" t="s">
        <v>1919</v>
      </c>
      <c r="N812" s="15" t="s">
        <v>1920</v>
      </c>
      <c r="O812" s="15"/>
      <c r="P812" s="15"/>
      <c r="Q812" s="15" t="b">
        <v>0</v>
      </c>
    </row>
    <row r="813" spans="1:17" ht="15" hidden="1" customHeight="1">
      <c r="A813" s="15">
        <v>3732</v>
      </c>
      <c r="B813" s="15">
        <v>812</v>
      </c>
      <c r="C813" s="15">
        <v>0</v>
      </c>
      <c r="D813" s="15">
        <v>193</v>
      </c>
      <c r="E813" s="15" t="b">
        <v>0</v>
      </c>
      <c r="F813" s="15" t="b">
        <v>0</v>
      </c>
      <c r="G813" s="33" t="s">
        <v>206</v>
      </c>
      <c r="H813" s="15" t="s">
        <v>1916</v>
      </c>
      <c r="I813" s="33" t="s">
        <v>216</v>
      </c>
      <c r="J813" s="15"/>
      <c r="K813" s="15"/>
      <c r="L813" s="120" t="s">
        <v>220</v>
      </c>
      <c r="M813" s="15" t="s">
        <v>1921</v>
      </c>
      <c r="N813" s="15" t="s">
        <v>1922</v>
      </c>
      <c r="O813" s="15"/>
      <c r="P813" s="15"/>
      <c r="Q813" s="15" t="b">
        <v>0</v>
      </c>
    </row>
    <row r="814" spans="1:17" ht="15" hidden="1" customHeight="1">
      <c r="A814" s="15">
        <v>3733</v>
      </c>
      <c r="B814" s="15">
        <v>813</v>
      </c>
      <c r="C814" s="15">
        <v>0</v>
      </c>
      <c r="D814" s="15">
        <v>193</v>
      </c>
      <c r="E814" s="15" t="b">
        <v>0</v>
      </c>
      <c r="F814" s="15" t="b">
        <v>0</v>
      </c>
      <c r="G814" s="33" t="s">
        <v>206</v>
      </c>
      <c r="H814" s="15" t="s">
        <v>1923</v>
      </c>
      <c r="I814" s="33" t="s">
        <v>208</v>
      </c>
      <c r="J814" s="15"/>
      <c r="K814" s="15"/>
      <c r="L814" s="120" t="s">
        <v>220</v>
      </c>
      <c r="M814" s="15" t="s">
        <v>1924</v>
      </c>
      <c r="N814" s="15" t="s">
        <v>1925</v>
      </c>
      <c r="O814" s="15"/>
      <c r="P814" s="15"/>
      <c r="Q814" s="15" t="b">
        <v>0</v>
      </c>
    </row>
    <row r="815" spans="1:17" ht="15" hidden="1" customHeight="1">
      <c r="A815" s="15">
        <v>3734</v>
      </c>
      <c r="B815" s="15">
        <v>814</v>
      </c>
      <c r="C815" s="15">
        <v>0</v>
      </c>
      <c r="D815" s="15">
        <v>193</v>
      </c>
      <c r="E815" s="15" t="b">
        <v>0</v>
      </c>
      <c r="F815" s="15" t="b">
        <v>0</v>
      </c>
      <c r="G815" s="33" t="s">
        <v>206</v>
      </c>
      <c r="H815" s="15" t="s">
        <v>1923</v>
      </c>
      <c r="I815" s="33" t="s">
        <v>213</v>
      </c>
      <c r="J815" s="15"/>
      <c r="K815" s="15"/>
      <c r="L815" s="120" t="s">
        <v>220</v>
      </c>
      <c r="M815" s="15" t="s">
        <v>1926</v>
      </c>
      <c r="N815" s="15" t="s">
        <v>1927</v>
      </c>
      <c r="O815" s="15"/>
      <c r="P815" s="15"/>
      <c r="Q815" s="15" t="b">
        <v>0</v>
      </c>
    </row>
    <row r="816" spans="1:17" ht="15" hidden="1" customHeight="1">
      <c r="A816" s="15">
        <v>3735</v>
      </c>
      <c r="B816" s="15">
        <v>815</v>
      </c>
      <c r="C816" s="15">
        <v>0</v>
      </c>
      <c r="D816" s="15">
        <v>193</v>
      </c>
      <c r="E816" s="15" t="b">
        <v>0</v>
      </c>
      <c r="F816" s="15" t="b">
        <v>0</v>
      </c>
      <c r="G816" s="33" t="s">
        <v>206</v>
      </c>
      <c r="H816" s="15" t="s">
        <v>1923</v>
      </c>
      <c r="I816" s="33" t="s">
        <v>216</v>
      </c>
      <c r="J816" s="15"/>
      <c r="K816" s="15"/>
      <c r="L816" s="120" t="s">
        <v>220</v>
      </c>
      <c r="M816" s="15" t="s">
        <v>1928</v>
      </c>
      <c r="N816" s="15" t="s">
        <v>1929</v>
      </c>
      <c r="O816" s="15"/>
      <c r="P816" s="15"/>
      <c r="Q816" s="15" t="b">
        <v>0</v>
      </c>
    </row>
    <row r="817" spans="1:17" ht="15" hidden="1" customHeight="1">
      <c r="A817" s="15">
        <v>3736</v>
      </c>
      <c r="B817" s="15">
        <v>816</v>
      </c>
      <c r="C817" s="15">
        <v>0</v>
      </c>
      <c r="D817" s="15">
        <v>193</v>
      </c>
      <c r="E817" s="15" t="b">
        <v>0</v>
      </c>
      <c r="F817" s="15" t="b">
        <v>0</v>
      </c>
      <c r="G817" s="33" t="s">
        <v>206</v>
      </c>
      <c r="H817" s="15" t="s">
        <v>1930</v>
      </c>
      <c r="I817" s="33" t="s">
        <v>208</v>
      </c>
      <c r="J817" s="15"/>
      <c r="K817" s="15"/>
      <c r="L817" s="120" t="s">
        <v>220</v>
      </c>
      <c r="M817" s="15" t="s">
        <v>1931</v>
      </c>
      <c r="N817" s="15" t="s">
        <v>1932</v>
      </c>
      <c r="O817" s="15"/>
      <c r="P817" s="15"/>
      <c r="Q817" s="15" t="b">
        <v>0</v>
      </c>
    </row>
    <row r="818" spans="1:17" ht="15" hidden="1" customHeight="1">
      <c r="A818" s="15">
        <v>3737</v>
      </c>
      <c r="B818" s="15">
        <v>817</v>
      </c>
      <c r="C818" s="15">
        <v>0</v>
      </c>
      <c r="D818" s="15">
        <v>193</v>
      </c>
      <c r="E818" s="15" t="b">
        <v>0</v>
      </c>
      <c r="F818" s="15" t="b">
        <v>0</v>
      </c>
      <c r="G818" s="33" t="s">
        <v>206</v>
      </c>
      <c r="H818" s="15" t="s">
        <v>1930</v>
      </c>
      <c r="I818" s="33" t="s">
        <v>213</v>
      </c>
      <c r="J818" s="15"/>
      <c r="K818" s="15"/>
      <c r="L818" s="120" t="s">
        <v>220</v>
      </c>
      <c r="M818" s="15" t="s">
        <v>1933</v>
      </c>
      <c r="N818" s="15" t="s">
        <v>1934</v>
      </c>
      <c r="O818" s="15"/>
      <c r="P818" s="15"/>
      <c r="Q818" s="15" t="b">
        <v>0</v>
      </c>
    </row>
    <row r="819" spans="1:17" ht="15" hidden="1" customHeight="1">
      <c r="A819" s="15">
        <v>3738</v>
      </c>
      <c r="B819" s="15">
        <v>818</v>
      </c>
      <c r="C819" s="15">
        <v>0</v>
      </c>
      <c r="D819" s="15">
        <v>193</v>
      </c>
      <c r="E819" s="15" t="b">
        <v>0</v>
      </c>
      <c r="F819" s="15" t="b">
        <v>0</v>
      </c>
      <c r="G819" s="33" t="s">
        <v>206</v>
      </c>
      <c r="H819" s="15" t="s">
        <v>1930</v>
      </c>
      <c r="I819" s="33" t="s">
        <v>216</v>
      </c>
      <c r="J819" s="15"/>
      <c r="K819" s="15"/>
      <c r="L819" s="120" t="s">
        <v>220</v>
      </c>
      <c r="M819" s="15" t="s">
        <v>1935</v>
      </c>
      <c r="N819" s="15" t="s">
        <v>1936</v>
      </c>
      <c r="O819" s="15"/>
      <c r="P819" s="15"/>
      <c r="Q819" s="15" t="b">
        <v>0</v>
      </c>
    </row>
    <row r="820" spans="1:17" ht="15" hidden="1" customHeight="1">
      <c r="A820" s="15">
        <v>3739</v>
      </c>
      <c r="B820" s="15">
        <v>819</v>
      </c>
      <c r="C820" s="15">
        <v>0</v>
      </c>
      <c r="D820" s="15">
        <v>193</v>
      </c>
      <c r="E820" s="15" t="b">
        <v>0</v>
      </c>
      <c r="F820" s="15" t="b">
        <v>0</v>
      </c>
      <c r="G820" s="33" t="s">
        <v>206</v>
      </c>
      <c r="H820" s="15" t="s">
        <v>1937</v>
      </c>
      <c r="I820" s="33" t="s">
        <v>208</v>
      </c>
      <c r="J820" s="15"/>
      <c r="K820" s="15"/>
      <c r="L820" s="120" t="s">
        <v>220</v>
      </c>
      <c r="M820" s="15" t="s">
        <v>1938</v>
      </c>
      <c r="N820" s="15" t="s">
        <v>1939</v>
      </c>
      <c r="O820" s="15"/>
      <c r="P820" s="15"/>
      <c r="Q820" s="15" t="b">
        <v>0</v>
      </c>
    </row>
    <row r="821" spans="1:17" ht="15" hidden="1" customHeight="1">
      <c r="A821" s="15">
        <v>3740</v>
      </c>
      <c r="B821" s="15">
        <v>820</v>
      </c>
      <c r="C821" s="15">
        <v>0</v>
      </c>
      <c r="D821" s="15">
        <v>193</v>
      </c>
      <c r="E821" s="15" t="b">
        <v>0</v>
      </c>
      <c r="F821" s="15" t="b">
        <v>0</v>
      </c>
      <c r="G821" s="33" t="s">
        <v>206</v>
      </c>
      <c r="H821" s="15" t="s">
        <v>1937</v>
      </c>
      <c r="I821" s="33" t="s">
        <v>213</v>
      </c>
      <c r="J821" s="15"/>
      <c r="K821" s="15"/>
      <c r="L821" s="120" t="s">
        <v>220</v>
      </c>
      <c r="M821" s="15" t="s">
        <v>1940</v>
      </c>
      <c r="N821" s="15" t="s">
        <v>1941</v>
      </c>
      <c r="O821" s="15"/>
      <c r="P821" s="15"/>
      <c r="Q821" s="15" t="b">
        <v>0</v>
      </c>
    </row>
    <row r="822" spans="1:17" ht="15" hidden="1" customHeight="1">
      <c r="A822" s="15">
        <v>3741</v>
      </c>
      <c r="B822" s="15">
        <v>821</v>
      </c>
      <c r="C822" s="15">
        <v>0</v>
      </c>
      <c r="D822" s="15">
        <v>193</v>
      </c>
      <c r="E822" s="15" t="b">
        <v>0</v>
      </c>
      <c r="F822" s="15" t="b">
        <v>0</v>
      </c>
      <c r="G822" s="33" t="s">
        <v>206</v>
      </c>
      <c r="H822" s="15" t="s">
        <v>1937</v>
      </c>
      <c r="I822" s="33" t="s">
        <v>216</v>
      </c>
      <c r="J822" s="15"/>
      <c r="K822" s="15"/>
      <c r="L822" s="120" t="s">
        <v>220</v>
      </c>
      <c r="M822" s="15" t="s">
        <v>1942</v>
      </c>
      <c r="N822" s="15" t="s">
        <v>1943</v>
      </c>
      <c r="O822" s="15"/>
      <c r="P822" s="15"/>
      <c r="Q822" s="15" t="b">
        <v>0</v>
      </c>
    </row>
    <row r="823" spans="1:17" ht="15" hidden="1" customHeight="1">
      <c r="A823" s="15">
        <v>3742</v>
      </c>
      <c r="B823" s="15">
        <v>822</v>
      </c>
      <c r="C823" s="15">
        <v>0</v>
      </c>
      <c r="D823" s="15">
        <v>193</v>
      </c>
      <c r="E823" s="15" t="b">
        <v>0</v>
      </c>
      <c r="F823" s="15" t="b">
        <v>0</v>
      </c>
      <c r="G823" s="33" t="s">
        <v>206</v>
      </c>
      <c r="H823" s="15" t="s">
        <v>1944</v>
      </c>
      <c r="I823" s="33" t="s">
        <v>208</v>
      </c>
      <c r="J823" s="15"/>
      <c r="K823" s="15"/>
      <c r="L823" s="120" t="s">
        <v>220</v>
      </c>
      <c r="M823" s="15" t="s">
        <v>1945</v>
      </c>
      <c r="N823" s="15" t="s">
        <v>1946</v>
      </c>
      <c r="O823" s="15"/>
      <c r="P823" s="15"/>
      <c r="Q823" s="15" t="b">
        <v>0</v>
      </c>
    </row>
    <row r="824" spans="1:17" ht="15" hidden="1" customHeight="1">
      <c r="A824" s="15">
        <v>3743</v>
      </c>
      <c r="B824" s="15">
        <v>823</v>
      </c>
      <c r="C824" s="15">
        <v>0</v>
      </c>
      <c r="D824" s="15">
        <v>193</v>
      </c>
      <c r="E824" s="15" t="b">
        <v>0</v>
      </c>
      <c r="F824" s="15" t="b">
        <v>0</v>
      </c>
      <c r="G824" s="33" t="s">
        <v>206</v>
      </c>
      <c r="H824" s="15" t="s">
        <v>1944</v>
      </c>
      <c r="I824" s="33" t="s">
        <v>213</v>
      </c>
      <c r="J824" s="15"/>
      <c r="K824" s="15"/>
      <c r="L824" s="120" t="s">
        <v>220</v>
      </c>
      <c r="M824" s="15" t="s">
        <v>1947</v>
      </c>
      <c r="N824" s="15" t="s">
        <v>1948</v>
      </c>
      <c r="O824" s="15"/>
      <c r="P824" s="15"/>
      <c r="Q824" s="15" t="b">
        <v>0</v>
      </c>
    </row>
    <row r="825" spans="1:17" ht="15" hidden="1" customHeight="1">
      <c r="A825" s="15">
        <v>3744</v>
      </c>
      <c r="B825" s="15">
        <v>824</v>
      </c>
      <c r="C825" s="15">
        <v>0</v>
      </c>
      <c r="D825" s="15">
        <v>193</v>
      </c>
      <c r="E825" s="15" t="b">
        <v>0</v>
      </c>
      <c r="F825" s="15" t="b">
        <v>0</v>
      </c>
      <c r="G825" s="33" t="s">
        <v>206</v>
      </c>
      <c r="H825" s="15" t="s">
        <v>1944</v>
      </c>
      <c r="I825" s="33" t="s">
        <v>216</v>
      </c>
      <c r="J825" s="15"/>
      <c r="K825" s="15"/>
      <c r="L825" s="120" t="s">
        <v>220</v>
      </c>
      <c r="M825" s="15" t="s">
        <v>1949</v>
      </c>
      <c r="N825" s="15" t="s">
        <v>1950</v>
      </c>
      <c r="O825" s="15"/>
      <c r="P825" s="15"/>
      <c r="Q825" s="15" t="b">
        <v>0</v>
      </c>
    </row>
    <row r="826" spans="1:17" ht="15" hidden="1" customHeight="1">
      <c r="A826" s="15">
        <v>3745</v>
      </c>
      <c r="B826" s="15">
        <v>825</v>
      </c>
      <c r="C826" s="15">
        <v>0</v>
      </c>
      <c r="D826" s="15">
        <v>193</v>
      </c>
      <c r="E826" s="15" t="b">
        <v>0</v>
      </c>
      <c r="F826" s="15" t="b">
        <v>0</v>
      </c>
      <c r="G826" s="33" t="s">
        <v>206</v>
      </c>
      <c r="H826" s="15" t="s">
        <v>1951</v>
      </c>
      <c r="I826" s="33" t="s">
        <v>208</v>
      </c>
      <c r="J826" s="15"/>
      <c r="K826" s="15"/>
      <c r="L826" s="120" t="s">
        <v>220</v>
      </c>
      <c r="M826" s="15" t="s">
        <v>1952</v>
      </c>
      <c r="N826" s="15" t="s">
        <v>1953</v>
      </c>
      <c r="O826" s="15"/>
      <c r="P826" s="15"/>
      <c r="Q826" s="15" t="b">
        <v>0</v>
      </c>
    </row>
    <row r="827" spans="1:17" ht="15" hidden="1" customHeight="1">
      <c r="A827" s="15">
        <v>3746</v>
      </c>
      <c r="B827" s="15">
        <v>826</v>
      </c>
      <c r="C827" s="15">
        <v>0</v>
      </c>
      <c r="D827" s="15">
        <v>193</v>
      </c>
      <c r="E827" s="15" t="b">
        <v>0</v>
      </c>
      <c r="F827" s="15" t="b">
        <v>0</v>
      </c>
      <c r="G827" s="33" t="s">
        <v>206</v>
      </c>
      <c r="H827" s="15" t="s">
        <v>1951</v>
      </c>
      <c r="I827" s="33" t="s">
        <v>213</v>
      </c>
      <c r="J827" s="15"/>
      <c r="K827" s="15"/>
      <c r="L827" s="120" t="s">
        <v>220</v>
      </c>
      <c r="M827" s="15" t="s">
        <v>1954</v>
      </c>
      <c r="N827" s="15" t="s">
        <v>1955</v>
      </c>
      <c r="O827" s="15"/>
      <c r="P827" s="15"/>
      <c r="Q827" s="15" t="b">
        <v>0</v>
      </c>
    </row>
    <row r="828" spans="1:17" ht="15" hidden="1" customHeight="1">
      <c r="A828" s="15">
        <v>3747</v>
      </c>
      <c r="B828" s="15">
        <v>827</v>
      </c>
      <c r="C828" s="15">
        <v>0</v>
      </c>
      <c r="D828" s="15">
        <v>193</v>
      </c>
      <c r="E828" s="15" t="b">
        <v>0</v>
      </c>
      <c r="F828" s="15" t="b">
        <v>0</v>
      </c>
      <c r="G828" s="33" t="s">
        <v>206</v>
      </c>
      <c r="H828" s="15" t="s">
        <v>1951</v>
      </c>
      <c r="I828" s="33" t="s">
        <v>216</v>
      </c>
      <c r="J828" s="15"/>
      <c r="K828" s="15"/>
      <c r="L828" s="120" t="s">
        <v>220</v>
      </c>
      <c r="M828" s="15" t="s">
        <v>1956</v>
      </c>
      <c r="N828" s="15" t="s">
        <v>1957</v>
      </c>
      <c r="O828" s="15"/>
      <c r="P828" s="15"/>
      <c r="Q828" s="15" t="b">
        <v>0</v>
      </c>
    </row>
    <row r="829" spans="1:17" ht="15" hidden="1" customHeight="1">
      <c r="A829" s="15">
        <v>3748</v>
      </c>
      <c r="B829" s="15">
        <v>828</v>
      </c>
      <c r="C829" s="15">
        <v>0</v>
      </c>
      <c r="D829" s="15">
        <v>193</v>
      </c>
      <c r="E829" s="15" t="b">
        <v>0</v>
      </c>
      <c r="F829" s="15" t="b">
        <v>0</v>
      </c>
      <c r="G829" s="33" t="s">
        <v>206</v>
      </c>
      <c r="H829" s="15" t="s">
        <v>1958</v>
      </c>
      <c r="I829" s="33" t="s">
        <v>208</v>
      </c>
      <c r="J829" s="15"/>
      <c r="K829" s="15"/>
      <c r="L829" s="120" t="s">
        <v>220</v>
      </c>
      <c r="M829" s="15" t="s">
        <v>1959</v>
      </c>
      <c r="N829" s="15" t="s">
        <v>1960</v>
      </c>
      <c r="O829" s="15"/>
      <c r="P829" s="15"/>
      <c r="Q829" s="15" t="b">
        <v>0</v>
      </c>
    </row>
    <row r="830" spans="1:17" ht="15" hidden="1" customHeight="1">
      <c r="A830" s="15">
        <v>3749</v>
      </c>
      <c r="B830" s="15">
        <v>829</v>
      </c>
      <c r="C830" s="15">
        <v>0</v>
      </c>
      <c r="D830" s="15">
        <v>193</v>
      </c>
      <c r="E830" s="15" t="b">
        <v>0</v>
      </c>
      <c r="F830" s="15" t="b">
        <v>0</v>
      </c>
      <c r="G830" s="33" t="s">
        <v>206</v>
      </c>
      <c r="H830" s="15" t="s">
        <v>1958</v>
      </c>
      <c r="I830" s="33" t="s">
        <v>213</v>
      </c>
      <c r="J830" s="15"/>
      <c r="K830" s="15"/>
      <c r="L830" s="120" t="s">
        <v>220</v>
      </c>
      <c r="M830" s="15" t="s">
        <v>1961</v>
      </c>
      <c r="N830" s="15" t="s">
        <v>1962</v>
      </c>
      <c r="O830" s="15"/>
      <c r="P830" s="15"/>
      <c r="Q830" s="15" t="b">
        <v>0</v>
      </c>
    </row>
    <row r="831" spans="1:17" ht="15" hidden="1" customHeight="1">
      <c r="A831" s="15">
        <v>3750</v>
      </c>
      <c r="B831" s="15">
        <v>830</v>
      </c>
      <c r="C831" s="15">
        <v>0</v>
      </c>
      <c r="D831" s="15">
        <v>193</v>
      </c>
      <c r="E831" s="15" t="b">
        <v>0</v>
      </c>
      <c r="F831" s="15" t="b">
        <v>0</v>
      </c>
      <c r="G831" s="33" t="s">
        <v>206</v>
      </c>
      <c r="H831" s="15" t="s">
        <v>1958</v>
      </c>
      <c r="I831" s="33" t="s">
        <v>216</v>
      </c>
      <c r="J831" s="15"/>
      <c r="K831" s="15"/>
      <c r="L831" s="120" t="s">
        <v>220</v>
      </c>
      <c r="M831" s="15" t="s">
        <v>1963</v>
      </c>
      <c r="N831" s="15" t="s">
        <v>1964</v>
      </c>
      <c r="O831" s="15"/>
      <c r="P831" s="15"/>
      <c r="Q831" s="15" t="b">
        <v>0</v>
      </c>
    </row>
    <row r="832" spans="1:17" ht="15" hidden="1" customHeight="1">
      <c r="A832" s="15">
        <v>3751</v>
      </c>
      <c r="B832" s="15">
        <v>831</v>
      </c>
      <c r="C832" s="15">
        <v>0</v>
      </c>
      <c r="D832" s="15">
        <v>193</v>
      </c>
      <c r="E832" s="15" t="b">
        <v>0</v>
      </c>
      <c r="F832" s="15" t="b">
        <v>0</v>
      </c>
      <c r="G832" s="33" t="s">
        <v>206</v>
      </c>
      <c r="H832" s="15" t="s">
        <v>1965</v>
      </c>
      <c r="I832" s="33" t="s">
        <v>208</v>
      </c>
      <c r="J832" s="15"/>
      <c r="K832" s="15"/>
      <c r="L832" s="120" t="s">
        <v>220</v>
      </c>
      <c r="M832" s="15" t="s">
        <v>1966</v>
      </c>
      <c r="N832" s="15" t="s">
        <v>1967</v>
      </c>
      <c r="O832" s="15"/>
      <c r="P832" s="15"/>
      <c r="Q832" s="15" t="b">
        <v>0</v>
      </c>
    </row>
    <row r="833" spans="1:17" ht="15" hidden="1" customHeight="1">
      <c r="A833" s="15">
        <v>3752</v>
      </c>
      <c r="B833" s="15">
        <v>832</v>
      </c>
      <c r="C833" s="15">
        <v>0</v>
      </c>
      <c r="D833" s="15">
        <v>193</v>
      </c>
      <c r="E833" s="15" t="b">
        <v>0</v>
      </c>
      <c r="F833" s="15" t="b">
        <v>0</v>
      </c>
      <c r="G833" s="33" t="s">
        <v>206</v>
      </c>
      <c r="H833" s="15" t="s">
        <v>1965</v>
      </c>
      <c r="I833" s="33" t="s">
        <v>213</v>
      </c>
      <c r="J833" s="15"/>
      <c r="K833" s="15"/>
      <c r="L833" s="120" t="s">
        <v>220</v>
      </c>
      <c r="M833" s="15" t="s">
        <v>1968</v>
      </c>
      <c r="N833" s="15" t="s">
        <v>1969</v>
      </c>
      <c r="O833" s="15"/>
      <c r="P833" s="15"/>
      <c r="Q833" s="15" t="b">
        <v>0</v>
      </c>
    </row>
    <row r="834" spans="1:17" ht="15" hidden="1" customHeight="1">
      <c r="A834" s="15">
        <v>3753</v>
      </c>
      <c r="B834" s="15">
        <v>833</v>
      </c>
      <c r="C834" s="15">
        <v>0</v>
      </c>
      <c r="D834" s="15">
        <v>193</v>
      </c>
      <c r="E834" s="15" t="b">
        <v>0</v>
      </c>
      <c r="F834" s="15" t="b">
        <v>0</v>
      </c>
      <c r="G834" s="33" t="s">
        <v>206</v>
      </c>
      <c r="H834" s="15" t="s">
        <v>1965</v>
      </c>
      <c r="I834" s="33" t="s">
        <v>216</v>
      </c>
      <c r="J834" s="15"/>
      <c r="K834" s="15"/>
      <c r="L834" s="120" t="s">
        <v>220</v>
      </c>
      <c r="M834" s="15" t="s">
        <v>1970</v>
      </c>
      <c r="N834" s="15" t="s">
        <v>1971</v>
      </c>
      <c r="O834" s="15"/>
      <c r="P834" s="15"/>
      <c r="Q834" s="15" t="b">
        <v>0</v>
      </c>
    </row>
    <row r="835" spans="1:17" ht="15" hidden="1" customHeight="1">
      <c r="A835" s="15">
        <v>3754</v>
      </c>
      <c r="B835" s="15">
        <v>834</v>
      </c>
      <c r="C835" s="15">
        <v>0</v>
      </c>
      <c r="D835" s="15">
        <v>193</v>
      </c>
      <c r="E835" s="15" t="b">
        <v>0</v>
      </c>
      <c r="F835" s="15" t="b">
        <v>0</v>
      </c>
      <c r="G835" s="33" t="s">
        <v>206</v>
      </c>
      <c r="H835" s="15" t="s">
        <v>1972</v>
      </c>
      <c r="I835" s="33" t="s">
        <v>208</v>
      </c>
      <c r="J835" s="15"/>
      <c r="K835" s="15"/>
      <c r="L835" s="120" t="s">
        <v>220</v>
      </c>
      <c r="M835" s="15" t="s">
        <v>1973</v>
      </c>
      <c r="N835" s="15" t="s">
        <v>1974</v>
      </c>
      <c r="O835" s="15"/>
      <c r="P835" s="15"/>
      <c r="Q835" s="15" t="b">
        <v>0</v>
      </c>
    </row>
    <row r="836" spans="1:17" ht="15" hidden="1" customHeight="1">
      <c r="A836" s="15">
        <v>3755</v>
      </c>
      <c r="B836" s="15">
        <v>835</v>
      </c>
      <c r="C836" s="15">
        <v>0</v>
      </c>
      <c r="D836" s="15">
        <v>193</v>
      </c>
      <c r="E836" s="15" t="b">
        <v>0</v>
      </c>
      <c r="F836" s="15" t="b">
        <v>0</v>
      </c>
      <c r="G836" s="33" t="s">
        <v>206</v>
      </c>
      <c r="H836" s="15" t="s">
        <v>1972</v>
      </c>
      <c r="I836" s="33" t="s">
        <v>213</v>
      </c>
      <c r="J836" s="15"/>
      <c r="K836" s="15"/>
      <c r="L836" s="120" t="s">
        <v>220</v>
      </c>
      <c r="M836" s="15" t="s">
        <v>1975</v>
      </c>
      <c r="N836" s="15" t="s">
        <v>1976</v>
      </c>
      <c r="O836" s="15"/>
      <c r="P836" s="15"/>
      <c r="Q836" s="15" t="b">
        <v>0</v>
      </c>
    </row>
    <row r="837" spans="1:17" ht="15" hidden="1" customHeight="1">
      <c r="A837" s="15">
        <v>3756</v>
      </c>
      <c r="B837" s="15">
        <v>836</v>
      </c>
      <c r="C837" s="15">
        <v>0</v>
      </c>
      <c r="D837" s="15">
        <v>193</v>
      </c>
      <c r="E837" s="15" t="b">
        <v>0</v>
      </c>
      <c r="F837" s="15" t="b">
        <v>0</v>
      </c>
      <c r="G837" s="33" t="s">
        <v>206</v>
      </c>
      <c r="H837" s="15" t="s">
        <v>1972</v>
      </c>
      <c r="I837" s="33" t="s">
        <v>216</v>
      </c>
      <c r="J837" s="15"/>
      <c r="K837" s="15"/>
      <c r="L837" s="120" t="s">
        <v>220</v>
      </c>
      <c r="M837" s="15" t="s">
        <v>1977</v>
      </c>
      <c r="N837" s="15" t="s">
        <v>1978</v>
      </c>
      <c r="O837" s="15"/>
      <c r="P837" s="15"/>
      <c r="Q837" s="15" t="b">
        <v>0</v>
      </c>
    </row>
    <row r="838" spans="1:17" ht="15" hidden="1" customHeight="1">
      <c r="A838" s="15">
        <v>3757</v>
      </c>
      <c r="B838" s="15">
        <v>837</v>
      </c>
      <c r="C838" s="15">
        <v>0</v>
      </c>
      <c r="D838" s="15">
        <v>193</v>
      </c>
      <c r="E838" s="15" t="b">
        <v>0</v>
      </c>
      <c r="F838" s="15" t="b">
        <v>0</v>
      </c>
      <c r="G838" s="33" t="s">
        <v>206</v>
      </c>
      <c r="H838" s="15" t="s">
        <v>1979</v>
      </c>
      <c r="I838" s="33" t="s">
        <v>208</v>
      </c>
      <c r="J838" s="15"/>
      <c r="K838" s="15"/>
      <c r="L838" s="120" t="s">
        <v>220</v>
      </c>
      <c r="M838" s="15" t="s">
        <v>1980</v>
      </c>
      <c r="N838" s="15" t="s">
        <v>1981</v>
      </c>
      <c r="O838" s="15"/>
      <c r="P838" s="15"/>
      <c r="Q838" s="15" t="b">
        <v>0</v>
      </c>
    </row>
    <row r="839" spans="1:17" ht="15" hidden="1" customHeight="1">
      <c r="A839" s="15">
        <v>3758</v>
      </c>
      <c r="B839" s="15">
        <v>838</v>
      </c>
      <c r="C839" s="15">
        <v>0</v>
      </c>
      <c r="D839" s="15">
        <v>193</v>
      </c>
      <c r="E839" s="15" t="b">
        <v>0</v>
      </c>
      <c r="F839" s="15" t="b">
        <v>0</v>
      </c>
      <c r="G839" s="33" t="s">
        <v>206</v>
      </c>
      <c r="H839" s="15" t="s">
        <v>1979</v>
      </c>
      <c r="I839" s="33" t="s">
        <v>213</v>
      </c>
      <c r="J839" s="15"/>
      <c r="K839" s="15"/>
      <c r="L839" s="120" t="s">
        <v>220</v>
      </c>
      <c r="M839" s="15" t="s">
        <v>1982</v>
      </c>
      <c r="N839" s="15" t="s">
        <v>1983</v>
      </c>
      <c r="O839" s="15"/>
      <c r="P839" s="15"/>
      <c r="Q839" s="15" t="b">
        <v>0</v>
      </c>
    </row>
    <row r="840" spans="1:17" ht="15" hidden="1" customHeight="1">
      <c r="A840" s="15">
        <v>3759</v>
      </c>
      <c r="B840" s="15">
        <v>839</v>
      </c>
      <c r="C840" s="15">
        <v>0</v>
      </c>
      <c r="D840" s="15">
        <v>193</v>
      </c>
      <c r="E840" s="15" t="b">
        <v>0</v>
      </c>
      <c r="F840" s="15" t="b">
        <v>0</v>
      </c>
      <c r="G840" s="33" t="s">
        <v>206</v>
      </c>
      <c r="H840" s="15" t="s">
        <v>1979</v>
      </c>
      <c r="I840" s="33" t="s">
        <v>216</v>
      </c>
      <c r="J840" s="15"/>
      <c r="K840" s="15"/>
      <c r="L840" s="120" t="s">
        <v>220</v>
      </c>
      <c r="M840" s="15" t="s">
        <v>1984</v>
      </c>
      <c r="N840" s="15" t="s">
        <v>1985</v>
      </c>
      <c r="O840" s="15"/>
      <c r="P840" s="15"/>
      <c r="Q840" s="15" t="b">
        <v>0</v>
      </c>
    </row>
    <row r="841" spans="1:17" ht="15" hidden="1" customHeight="1">
      <c r="A841" s="15">
        <v>3760</v>
      </c>
      <c r="B841" s="15">
        <v>840</v>
      </c>
      <c r="C841" s="15">
        <v>0</v>
      </c>
      <c r="D841" s="15">
        <v>193</v>
      </c>
      <c r="E841" s="15" t="b">
        <v>0</v>
      </c>
      <c r="F841" s="15" t="b">
        <v>0</v>
      </c>
      <c r="G841" s="33" t="s">
        <v>206</v>
      </c>
      <c r="H841" s="15" t="s">
        <v>1986</v>
      </c>
      <c r="I841" s="33" t="s">
        <v>208</v>
      </c>
      <c r="J841" s="15"/>
      <c r="K841" s="15"/>
      <c r="L841" s="120" t="s">
        <v>220</v>
      </c>
      <c r="M841" s="15" t="s">
        <v>1987</v>
      </c>
      <c r="N841" s="15" t="s">
        <v>1988</v>
      </c>
      <c r="O841" s="15"/>
      <c r="P841" s="15"/>
      <c r="Q841" s="15" t="b">
        <v>0</v>
      </c>
    </row>
    <row r="842" spans="1:17" ht="15" hidden="1" customHeight="1">
      <c r="A842" s="15">
        <v>3761</v>
      </c>
      <c r="B842" s="15">
        <v>841</v>
      </c>
      <c r="C842" s="15">
        <v>0</v>
      </c>
      <c r="D842" s="15">
        <v>193</v>
      </c>
      <c r="E842" s="15" t="b">
        <v>0</v>
      </c>
      <c r="F842" s="15" t="b">
        <v>0</v>
      </c>
      <c r="G842" s="33" t="s">
        <v>206</v>
      </c>
      <c r="H842" s="15" t="s">
        <v>1986</v>
      </c>
      <c r="I842" s="33" t="s">
        <v>213</v>
      </c>
      <c r="J842" s="15"/>
      <c r="K842" s="15"/>
      <c r="L842" s="120" t="s">
        <v>220</v>
      </c>
      <c r="M842" s="15" t="s">
        <v>1989</v>
      </c>
      <c r="N842" s="15" t="s">
        <v>1990</v>
      </c>
      <c r="O842" s="15"/>
      <c r="P842" s="15"/>
      <c r="Q842" s="15" t="b">
        <v>0</v>
      </c>
    </row>
    <row r="843" spans="1:17" ht="15" hidden="1" customHeight="1">
      <c r="A843" s="15">
        <v>3762</v>
      </c>
      <c r="B843" s="15">
        <v>842</v>
      </c>
      <c r="C843" s="15">
        <v>0</v>
      </c>
      <c r="D843" s="15">
        <v>193</v>
      </c>
      <c r="E843" s="15" t="b">
        <v>0</v>
      </c>
      <c r="F843" s="15" t="b">
        <v>0</v>
      </c>
      <c r="G843" s="33" t="s">
        <v>206</v>
      </c>
      <c r="H843" s="15" t="s">
        <v>1986</v>
      </c>
      <c r="I843" s="33" t="s">
        <v>216</v>
      </c>
      <c r="J843" s="15"/>
      <c r="K843" s="15"/>
      <c r="L843" s="120" t="s">
        <v>220</v>
      </c>
      <c r="M843" s="15" t="s">
        <v>1991</v>
      </c>
      <c r="N843" s="15" t="s">
        <v>1992</v>
      </c>
      <c r="O843" s="15"/>
      <c r="P843" s="15"/>
      <c r="Q843" s="15" t="b">
        <v>0</v>
      </c>
    </row>
    <row r="844" spans="1:17" ht="15" hidden="1" customHeight="1">
      <c r="A844" s="15">
        <v>3763</v>
      </c>
      <c r="B844" s="15">
        <v>843</v>
      </c>
      <c r="C844" s="15">
        <v>0</v>
      </c>
      <c r="D844" s="15">
        <v>193</v>
      </c>
      <c r="E844" s="15" t="b">
        <v>0</v>
      </c>
      <c r="F844" s="15" t="b">
        <v>0</v>
      </c>
      <c r="G844" s="33" t="s">
        <v>206</v>
      </c>
      <c r="H844" s="15" t="s">
        <v>1993</v>
      </c>
      <c r="I844" s="33" t="s">
        <v>208</v>
      </c>
      <c r="J844" s="15"/>
      <c r="K844" s="15"/>
      <c r="L844" s="120" t="s">
        <v>220</v>
      </c>
      <c r="M844" s="15" t="s">
        <v>1994</v>
      </c>
      <c r="N844" s="15" t="s">
        <v>1995</v>
      </c>
      <c r="O844" s="15"/>
      <c r="P844" s="15"/>
      <c r="Q844" s="15" t="b">
        <v>0</v>
      </c>
    </row>
    <row r="845" spans="1:17" ht="15" hidden="1" customHeight="1">
      <c r="A845" s="15">
        <v>3764</v>
      </c>
      <c r="B845" s="15">
        <v>844</v>
      </c>
      <c r="C845" s="15">
        <v>0</v>
      </c>
      <c r="D845" s="15">
        <v>193</v>
      </c>
      <c r="E845" s="15" t="b">
        <v>0</v>
      </c>
      <c r="F845" s="15" t="b">
        <v>0</v>
      </c>
      <c r="G845" s="33" t="s">
        <v>206</v>
      </c>
      <c r="H845" s="15" t="s">
        <v>1993</v>
      </c>
      <c r="I845" s="33" t="s">
        <v>213</v>
      </c>
      <c r="J845" s="15"/>
      <c r="K845" s="15"/>
      <c r="L845" s="120" t="s">
        <v>220</v>
      </c>
      <c r="M845" s="15" t="s">
        <v>1996</v>
      </c>
      <c r="N845" s="15" t="s">
        <v>1997</v>
      </c>
      <c r="O845" s="15"/>
      <c r="P845" s="15"/>
      <c r="Q845" s="15" t="b">
        <v>0</v>
      </c>
    </row>
    <row r="846" spans="1:17" ht="15" hidden="1" customHeight="1">
      <c r="A846" s="15">
        <v>3765</v>
      </c>
      <c r="B846" s="15">
        <v>845</v>
      </c>
      <c r="C846" s="15">
        <v>0</v>
      </c>
      <c r="D846" s="15">
        <v>193</v>
      </c>
      <c r="E846" s="15" t="b">
        <v>0</v>
      </c>
      <c r="F846" s="15" t="b">
        <v>0</v>
      </c>
      <c r="G846" s="33" t="s">
        <v>206</v>
      </c>
      <c r="H846" s="15" t="s">
        <v>1993</v>
      </c>
      <c r="I846" s="33" t="s">
        <v>216</v>
      </c>
      <c r="J846" s="15"/>
      <c r="K846" s="15"/>
      <c r="L846" s="120" t="s">
        <v>220</v>
      </c>
      <c r="M846" s="15" t="s">
        <v>1998</v>
      </c>
      <c r="N846" s="15" t="s">
        <v>1999</v>
      </c>
      <c r="O846" s="15"/>
      <c r="P846" s="15"/>
      <c r="Q846" s="15" t="b">
        <v>0</v>
      </c>
    </row>
    <row r="847" spans="1:17" ht="15" hidden="1" customHeight="1">
      <c r="A847" s="15">
        <v>3766</v>
      </c>
      <c r="B847" s="15">
        <v>846</v>
      </c>
      <c r="C847" s="15">
        <v>0</v>
      </c>
      <c r="D847" s="15">
        <v>193</v>
      </c>
      <c r="E847" s="15" t="b">
        <v>0</v>
      </c>
      <c r="F847" s="15" t="b">
        <v>0</v>
      </c>
      <c r="G847" s="33" t="s">
        <v>206</v>
      </c>
      <c r="H847" s="15" t="s">
        <v>2000</v>
      </c>
      <c r="I847" s="33" t="s">
        <v>208</v>
      </c>
      <c r="J847" s="15"/>
      <c r="K847" s="15"/>
      <c r="L847" s="120" t="s">
        <v>220</v>
      </c>
      <c r="M847" s="15" t="s">
        <v>2001</v>
      </c>
      <c r="N847" s="15" t="s">
        <v>2002</v>
      </c>
      <c r="O847" s="15"/>
      <c r="P847" s="15"/>
      <c r="Q847" s="15" t="b">
        <v>0</v>
      </c>
    </row>
    <row r="848" spans="1:17" ht="15" hidden="1" customHeight="1">
      <c r="A848" s="15">
        <v>3767</v>
      </c>
      <c r="B848" s="15">
        <v>847</v>
      </c>
      <c r="C848" s="15">
        <v>0</v>
      </c>
      <c r="D848" s="15">
        <v>193</v>
      </c>
      <c r="E848" s="15" t="b">
        <v>0</v>
      </c>
      <c r="F848" s="15" t="b">
        <v>0</v>
      </c>
      <c r="G848" s="33" t="s">
        <v>206</v>
      </c>
      <c r="H848" s="15" t="s">
        <v>2000</v>
      </c>
      <c r="I848" s="33" t="s">
        <v>213</v>
      </c>
      <c r="J848" s="15"/>
      <c r="K848" s="15"/>
      <c r="L848" s="120" t="s">
        <v>220</v>
      </c>
      <c r="M848" s="15" t="s">
        <v>2003</v>
      </c>
      <c r="N848" s="15" t="s">
        <v>2004</v>
      </c>
      <c r="O848" s="15"/>
      <c r="P848" s="15"/>
      <c r="Q848" s="15" t="b">
        <v>0</v>
      </c>
    </row>
    <row r="849" spans="1:17" ht="15" hidden="1" customHeight="1">
      <c r="A849" s="15">
        <v>3768</v>
      </c>
      <c r="B849" s="15">
        <v>848</v>
      </c>
      <c r="C849" s="15">
        <v>0</v>
      </c>
      <c r="D849" s="15">
        <v>193</v>
      </c>
      <c r="E849" s="15" t="b">
        <v>0</v>
      </c>
      <c r="F849" s="15" t="b">
        <v>0</v>
      </c>
      <c r="G849" s="33" t="s">
        <v>206</v>
      </c>
      <c r="H849" s="15" t="s">
        <v>2000</v>
      </c>
      <c r="I849" s="33" t="s">
        <v>216</v>
      </c>
      <c r="J849" s="15"/>
      <c r="K849" s="15"/>
      <c r="L849" s="120" t="s">
        <v>220</v>
      </c>
      <c r="M849" s="15" t="s">
        <v>2005</v>
      </c>
      <c r="N849" s="15" t="s">
        <v>2006</v>
      </c>
      <c r="O849" s="15"/>
      <c r="P849" s="15"/>
      <c r="Q849" s="15" t="b">
        <v>0</v>
      </c>
    </row>
    <row r="850" spans="1:17" ht="15" hidden="1" customHeight="1">
      <c r="A850" s="15">
        <v>3769</v>
      </c>
      <c r="B850" s="15">
        <v>849</v>
      </c>
      <c r="C850" s="15">
        <v>0</v>
      </c>
      <c r="D850" s="15">
        <v>193</v>
      </c>
      <c r="E850" s="15" t="b">
        <v>0</v>
      </c>
      <c r="F850" s="15" t="b">
        <v>0</v>
      </c>
      <c r="G850" s="33" t="s">
        <v>206</v>
      </c>
      <c r="H850" s="15" t="s">
        <v>2007</v>
      </c>
      <c r="I850" s="33" t="s">
        <v>208</v>
      </c>
      <c r="J850" s="15"/>
      <c r="K850" s="15"/>
      <c r="L850" s="120" t="s">
        <v>220</v>
      </c>
      <c r="M850" s="15" t="s">
        <v>2008</v>
      </c>
      <c r="N850" s="15" t="s">
        <v>2009</v>
      </c>
      <c r="O850" s="15"/>
      <c r="P850" s="15"/>
      <c r="Q850" s="15" t="b">
        <v>0</v>
      </c>
    </row>
    <row r="851" spans="1:17" ht="15" hidden="1" customHeight="1">
      <c r="A851" s="15">
        <v>3770</v>
      </c>
      <c r="B851" s="15">
        <v>850</v>
      </c>
      <c r="C851" s="15">
        <v>0</v>
      </c>
      <c r="D851" s="15">
        <v>193</v>
      </c>
      <c r="E851" s="15" t="b">
        <v>0</v>
      </c>
      <c r="F851" s="15" t="b">
        <v>0</v>
      </c>
      <c r="G851" s="33" t="s">
        <v>206</v>
      </c>
      <c r="H851" s="15" t="s">
        <v>2007</v>
      </c>
      <c r="I851" s="33" t="s">
        <v>272</v>
      </c>
      <c r="J851" s="15"/>
      <c r="K851" s="15"/>
      <c r="L851" s="120" t="s">
        <v>220</v>
      </c>
      <c r="M851" s="15" t="s">
        <v>2010</v>
      </c>
      <c r="N851" s="15" t="s">
        <v>2011</v>
      </c>
      <c r="O851" s="15"/>
      <c r="P851" s="15"/>
      <c r="Q851" s="15" t="b">
        <v>0</v>
      </c>
    </row>
    <row r="852" spans="1:17" ht="15" hidden="1" customHeight="1">
      <c r="A852" s="15">
        <v>3771</v>
      </c>
      <c r="B852" s="15">
        <v>851</v>
      </c>
      <c r="C852" s="15">
        <v>0</v>
      </c>
      <c r="D852" s="15">
        <v>193</v>
      </c>
      <c r="E852" s="15" t="b">
        <v>0</v>
      </c>
      <c r="F852" s="15" t="b">
        <v>0</v>
      </c>
      <c r="G852" s="33" t="s">
        <v>206</v>
      </c>
      <c r="H852" s="15" t="s">
        <v>2007</v>
      </c>
      <c r="I852" s="33" t="s">
        <v>216</v>
      </c>
      <c r="J852" s="15"/>
      <c r="K852" s="15"/>
      <c r="L852" s="120" t="s">
        <v>220</v>
      </c>
      <c r="M852" s="15" t="s">
        <v>2012</v>
      </c>
      <c r="N852" s="15" t="s">
        <v>2013</v>
      </c>
      <c r="O852" s="15"/>
      <c r="P852" s="15"/>
      <c r="Q852" s="15" t="b">
        <v>0</v>
      </c>
    </row>
    <row r="853" spans="1:17" ht="15" hidden="1" customHeight="1">
      <c r="A853" s="15">
        <v>3772</v>
      </c>
      <c r="B853" s="15">
        <v>852</v>
      </c>
      <c r="C853" s="15">
        <v>0</v>
      </c>
      <c r="D853" s="15">
        <v>193</v>
      </c>
      <c r="E853" s="15" t="b">
        <v>0</v>
      </c>
      <c r="F853" s="15" t="b">
        <v>0</v>
      </c>
      <c r="G853" s="33" t="s">
        <v>206</v>
      </c>
      <c r="H853" s="15" t="s">
        <v>2014</v>
      </c>
      <c r="I853" s="33" t="s">
        <v>208</v>
      </c>
      <c r="J853" s="15"/>
      <c r="K853" s="15"/>
      <c r="L853" s="120" t="s">
        <v>220</v>
      </c>
      <c r="M853" s="15" t="s">
        <v>2015</v>
      </c>
      <c r="N853" s="15" t="s">
        <v>2016</v>
      </c>
      <c r="O853" s="15"/>
      <c r="P853" s="15"/>
      <c r="Q853" s="15" t="b">
        <v>0</v>
      </c>
    </row>
    <row r="854" spans="1:17" ht="15" hidden="1" customHeight="1">
      <c r="A854" s="15">
        <v>3773</v>
      </c>
      <c r="B854" s="15">
        <v>853</v>
      </c>
      <c r="C854" s="15">
        <v>0</v>
      </c>
      <c r="D854" s="15">
        <v>193</v>
      </c>
      <c r="E854" s="15" t="b">
        <v>0</v>
      </c>
      <c r="F854" s="15" t="b">
        <v>0</v>
      </c>
      <c r="G854" s="33" t="s">
        <v>206</v>
      </c>
      <c r="H854" s="15" t="s">
        <v>2014</v>
      </c>
      <c r="I854" s="33" t="s">
        <v>504</v>
      </c>
      <c r="J854" s="15"/>
      <c r="K854" s="15"/>
      <c r="L854" s="120" t="s">
        <v>220</v>
      </c>
      <c r="M854" s="15" t="s">
        <v>2017</v>
      </c>
      <c r="N854" s="15" t="s">
        <v>2018</v>
      </c>
      <c r="O854" s="15"/>
      <c r="P854" s="15"/>
      <c r="Q854" s="15" t="b">
        <v>0</v>
      </c>
    </row>
    <row r="855" spans="1:17" ht="15" hidden="1" customHeight="1">
      <c r="A855" s="15">
        <v>3774</v>
      </c>
      <c r="B855" s="15">
        <v>854</v>
      </c>
      <c r="C855" s="15">
        <v>0</v>
      </c>
      <c r="D855" s="15">
        <v>193</v>
      </c>
      <c r="E855" s="15" t="b">
        <v>0</v>
      </c>
      <c r="F855" s="15" t="b">
        <v>0</v>
      </c>
      <c r="G855" s="33" t="s">
        <v>206</v>
      </c>
      <c r="H855" s="15" t="s">
        <v>2014</v>
      </c>
      <c r="I855" s="33" t="s">
        <v>216</v>
      </c>
      <c r="J855" s="15"/>
      <c r="K855" s="15"/>
      <c r="L855" s="120" t="s">
        <v>220</v>
      </c>
      <c r="M855" s="15" t="s">
        <v>2019</v>
      </c>
      <c r="N855" s="15" t="s">
        <v>2020</v>
      </c>
      <c r="O855" s="15"/>
      <c r="P855" s="15"/>
      <c r="Q855" s="15" t="b">
        <v>0</v>
      </c>
    </row>
    <row r="856" spans="1:17" ht="15" hidden="1" customHeight="1">
      <c r="A856" s="15">
        <v>3775</v>
      </c>
      <c r="B856" s="15">
        <v>855</v>
      </c>
      <c r="C856" s="15">
        <v>0</v>
      </c>
      <c r="D856" s="15">
        <v>193</v>
      </c>
      <c r="E856" s="15" t="b">
        <v>0</v>
      </c>
      <c r="F856" s="15" t="b">
        <v>0</v>
      </c>
      <c r="G856" s="33" t="s">
        <v>206</v>
      </c>
      <c r="H856" s="15" t="s">
        <v>2021</v>
      </c>
      <c r="I856" s="33" t="s">
        <v>208</v>
      </c>
      <c r="J856" s="15"/>
      <c r="K856" s="15"/>
      <c r="L856" s="120" t="s">
        <v>220</v>
      </c>
      <c r="M856" s="15" t="s">
        <v>2022</v>
      </c>
      <c r="N856" s="15" t="s">
        <v>2023</v>
      </c>
      <c r="O856" s="15"/>
      <c r="P856" s="15"/>
      <c r="Q856" s="15" t="b">
        <v>0</v>
      </c>
    </row>
    <row r="857" spans="1:17" ht="15" hidden="1" customHeight="1">
      <c r="A857" s="15">
        <v>3776</v>
      </c>
      <c r="B857" s="15">
        <v>856</v>
      </c>
      <c r="C857" s="15">
        <v>0</v>
      </c>
      <c r="D857" s="15">
        <v>193</v>
      </c>
      <c r="E857" s="15" t="b">
        <v>0</v>
      </c>
      <c r="F857" s="15" t="b">
        <v>0</v>
      </c>
      <c r="G857" s="33" t="s">
        <v>206</v>
      </c>
      <c r="H857" s="15" t="s">
        <v>2021</v>
      </c>
      <c r="I857" s="33" t="s">
        <v>504</v>
      </c>
      <c r="J857" s="15"/>
      <c r="K857" s="15"/>
      <c r="L857" s="120" t="s">
        <v>220</v>
      </c>
      <c r="M857" s="15" t="s">
        <v>2024</v>
      </c>
      <c r="N857" s="15" t="s">
        <v>2025</v>
      </c>
      <c r="O857" s="15"/>
      <c r="P857" s="15"/>
      <c r="Q857" s="15" t="b">
        <v>0</v>
      </c>
    </row>
    <row r="858" spans="1:17" ht="15" hidden="1" customHeight="1">
      <c r="A858" s="15">
        <v>3777</v>
      </c>
      <c r="B858" s="15">
        <v>857</v>
      </c>
      <c r="C858" s="15">
        <v>0</v>
      </c>
      <c r="D858" s="15">
        <v>193</v>
      </c>
      <c r="E858" s="15" t="b">
        <v>0</v>
      </c>
      <c r="F858" s="15" t="b">
        <v>0</v>
      </c>
      <c r="G858" s="33" t="s">
        <v>206</v>
      </c>
      <c r="H858" s="15" t="s">
        <v>2021</v>
      </c>
      <c r="I858" s="33" t="s">
        <v>216</v>
      </c>
      <c r="J858" s="15"/>
      <c r="K858" s="15"/>
      <c r="L858" s="120" t="s">
        <v>220</v>
      </c>
      <c r="M858" s="15" t="s">
        <v>2026</v>
      </c>
      <c r="N858" s="15" t="s">
        <v>2027</v>
      </c>
      <c r="O858" s="15"/>
      <c r="P858" s="15"/>
      <c r="Q858" s="15" t="b">
        <v>0</v>
      </c>
    </row>
    <row r="859" spans="1:17" ht="15" hidden="1" customHeight="1">
      <c r="A859" s="15">
        <v>3778</v>
      </c>
      <c r="B859" s="15">
        <v>858</v>
      </c>
      <c r="C859" s="15">
        <v>0</v>
      </c>
      <c r="D859" s="15">
        <v>193</v>
      </c>
      <c r="E859" s="15" t="b">
        <v>0</v>
      </c>
      <c r="F859" s="15" t="b">
        <v>0</v>
      </c>
      <c r="G859" s="33" t="s">
        <v>206</v>
      </c>
      <c r="H859" s="15" t="s">
        <v>2028</v>
      </c>
      <c r="I859" s="33" t="s">
        <v>208</v>
      </c>
      <c r="J859" s="15"/>
      <c r="K859" s="15"/>
      <c r="L859" s="120" t="s">
        <v>220</v>
      </c>
      <c r="M859" s="15" t="s">
        <v>2029</v>
      </c>
      <c r="N859" s="15" t="s">
        <v>2030</v>
      </c>
      <c r="O859" s="15"/>
      <c r="P859" s="15"/>
      <c r="Q859" s="15" t="b">
        <v>0</v>
      </c>
    </row>
    <row r="860" spans="1:17" ht="15" hidden="1" customHeight="1">
      <c r="A860" s="15">
        <v>3779</v>
      </c>
      <c r="B860" s="15">
        <v>859</v>
      </c>
      <c r="C860" s="15">
        <v>0</v>
      </c>
      <c r="D860" s="15">
        <v>193</v>
      </c>
      <c r="E860" s="15" t="b">
        <v>0</v>
      </c>
      <c r="F860" s="15" t="b">
        <v>0</v>
      </c>
      <c r="G860" s="33" t="s">
        <v>206</v>
      </c>
      <c r="H860" s="15" t="s">
        <v>2028</v>
      </c>
      <c r="I860" s="33" t="s">
        <v>272</v>
      </c>
      <c r="J860" s="15"/>
      <c r="K860" s="15"/>
      <c r="L860" s="120" t="s">
        <v>220</v>
      </c>
      <c r="M860" s="15" t="s">
        <v>2031</v>
      </c>
      <c r="N860" s="15" t="s">
        <v>2032</v>
      </c>
      <c r="O860" s="15"/>
      <c r="P860" s="15"/>
      <c r="Q860" s="15" t="b">
        <v>0</v>
      </c>
    </row>
    <row r="861" spans="1:17" ht="15" hidden="1" customHeight="1">
      <c r="A861" s="15">
        <v>3780</v>
      </c>
      <c r="B861" s="15">
        <v>860</v>
      </c>
      <c r="C861" s="15">
        <v>0</v>
      </c>
      <c r="D861" s="15">
        <v>193</v>
      </c>
      <c r="E861" s="15" t="b">
        <v>0</v>
      </c>
      <c r="F861" s="15" t="b">
        <v>0</v>
      </c>
      <c r="G861" s="33" t="s">
        <v>206</v>
      </c>
      <c r="H861" s="15" t="s">
        <v>2028</v>
      </c>
      <c r="I861" s="33" t="s">
        <v>216</v>
      </c>
      <c r="J861" s="15"/>
      <c r="K861" s="15"/>
      <c r="L861" s="120" t="s">
        <v>220</v>
      </c>
      <c r="M861" s="15" t="s">
        <v>2033</v>
      </c>
      <c r="N861" s="15" t="s">
        <v>2034</v>
      </c>
      <c r="O861" s="15"/>
      <c r="P861" s="15"/>
      <c r="Q861" s="15" t="b">
        <v>0</v>
      </c>
    </row>
    <row r="862" spans="1:17" ht="15" hidden="1" customHeight="1">
      <c r="A862" s="15">
        <v>3781</v>
      </c>
      <c r="B862" s="15">
        <v>861</v>
      </c>
      <c r="C862" s="15">
        <v>0</v>
      </c>
      <c r="D862" s="15">
        <v>193</v>
      </c>
      <c r="E862" s="15" t="b">
        <v>0</v>
      </c>
      <c r="F862" s="15" t="b">
        <v>0</v>
      </c>
      <c r="G862" s="33" t="s">
        <v>206</v>
      </c>
      <c r="H862" s="15" t="s">
        <v>2035</v>
      </c>
      <c r="I862" s="33" t="s">
        <v>208</v>
      </c>
      <c r="J862" s="15"/>
      <c r="K862" s="15"/>
      <c r="L862" s="120" t="s">
        <v>220</v>
      </c>
      <c r="M862" s="15" t="s">
        <v>2036</v>
      </c>
      <c r="N862" s="15" t="s">
        <v>2037</v>
      </c>
      <c r="O862" s="15"/>
      <c r="P862" s="15"/>
      <c r="Q862" s="15" t="b">
        <v>0</v>
      </c>
    </row>
    <row r="863" spans="1:17" ht="15" hidden="1" customHeight="1">
      <c r="A863" s="15">
        <v>3782</v>
      </c>
      <c r="B863" s="15">
        <v>862</v>
      </c>
      <c r="C863" s="15">
        <v>0</v>
      </c>
      <c r="D863" s="15">
        <v>193</v>
      </c>
      <c r="E863" s="15" t="b">
        <v>0</v>
      </c>
      <c r="F863" s="15" t="b">
        <v>0</v>
      </c>
      <c r="G863" s="33" t="s">
        <v>206</v>
      </c>
      <c r="H863" s="15" t="s">
        <v>2035</v>
      </c>
      <c r="I863" s="33" t="s">
        <v>504</v>
      </c>
      <c r="J863" s="15"/>
      <c r="K863" s="15"/>
      <c r="L863" s="120" t="s">
        <v>220</v>
      </c>
      <c r="M863" s="15" t="s">
        <v>2038</v>
      </c>
      <c r="N863" s="15" t="s">
        <v>2039</v>
      </c>
      <c r="O863" s="15"/>
      <c r="P863" s="15"/>
      <c r="Q863" s="15" t="b">
        <v>0</v>
      </c>
    </row>
    <row r="864" spans="1:17" ht="15" hidden="1" customHeight="1">
      <c r="A864" s="15">
        <v>3783</v>
      </c>
      <c r="B864" s="15">
        <v>863</v>
      </c>
      <c r="C864" s="15">
        <v>0</v>
      </c>
      <c r="D864" s="15">
        <v>193</v>
      </c>
      <c r="E864" s="15" t="b">
        <v>0</v>
      </c>
      <c r="F864" s="15" t="b">
        <v>0</v>
      </c>
      <c r="G864" s="33" t="s">
        <v>206</v>
      </c>
      <c r="H864" s="15" t="s">
        <v>2035</v>
      </c>
      <c r="I864" s="33" t="s">
        <v>216</v>
      </c>
      <c r="J864" s="15"/>
      <c r="K864" s="15"/>
      <c r="L864" s="120" t="s">
        <v>220</v>
      </c>
      <c r="M864" s="15" t="s">
        <v>2040</v>
      </c>
      <c r="N864" s="15" t="s">
        <v>2041</v>
      </c>
      <c r="O864" s="15"/>
      <c r="P864" s="15"/>
      <c r="Q864" s="15" t="b">
        <v>0</v>
      </c>
    </row>
    <row r="865" spans="1:17" ht="15" hidden="1" customHeight="1">
      <c r="A865" s="15">
        <v>3784</v>
      </c>
      <c r="B865" s="15">
        <v>864</v>
      </c>
      <c r="C865" s="15">
        <v>0</v>
      </c>
      <c r="D865" s="15">
        <v>193</v>
      </c>
      <c r="E865" s="15" t="b">
        <v>0</v>
      </c>
      <c r="F865" s="15" t="b">
        <v>0</v>
      </c>
      <c r="G865" s="33" t="s">
        <v>206</v>
      </c>
      <c r="H865" s="15" t="s">
        <v>2042</v>
      </c>
      <c r="I865" s="33" t="s">
        <v>208</v>
      </c>
      <c r="J865" s="15"/>
      <c r="K865" s="15"/>
      <c r="L865" s="120" t="s">
        <v>220</v>
      </c>
      <c r="M865" s="15" t="s">
        <v>2043</v>
      </c>
      <c r="N865" s="15" t="s">
        <v>2044</v>
      </c>
      <c r="O865" s="15"/>
      <c r="P865" s="15"/>
      <c r="Q865" s="15" t="b">
        <v>0</v>
      </c>
    </row>
    <row r="866" spans="1:17" ht="15" hidden="1" customHeight="1">
      <c r="A866" s="15">
        <v>3785</v>
      </c>
      <c r="B866" s="15">
        <v>865</v>
      </c>
      <c r="C866" s="15">
        <v>0</v>
      </c>
      <c r="D866" s="15">
        <v>193</v>
      </c>
      <c r="E866" s="15" t="b">
        <v>0</v>
      </c>
      <c r="F866" s="15" t="b">
        <v>0</v>
      </c>
      <c r="G866" s="33" t="s">
        <v>206</v>
      </c>
      <c r="H866" s="15" t="s">
        <v>2042</v>
      </c>
      <c r="I866" s="33" t="s">
        <v>504</v>
      </c>
      <c r="J866" s="15"/>
      <c r="K866" s="15"/>
      <c r="L866" s="120" t="s">
        <v>220</v>
      </c>
      <c r="M866" s="15" t="s">
        <v>2045</v>
      </c>
      <c r="N866" s="15" t="s">
        <v>2046</v>
      </c>
      <c r="O866" s="15"/>
      <c r="P866" s="15"/>
      <c r="Q866" s="15" t="b">
        <v>0</v>
      </c>
    </row>
    <row r="867" spans="1:17" ht="15" hidden="1" customHeight="1">
      <c r="A867" s="15">
        <v>3786</v>
      </c>
      <c r="B867" s="15">
        <v>866</v>
      </c>
      <c r="C867" s="15">
        <v>0</v>
      </c>
      <c r="D867" s="15">
        <v>193</v>
      </c>
      <c r="E867" s="15" t="b">
        <v>0</v>
      </c>
      <c r="F867" s="15" t="b">
        <v>0</v>
      </c>
      <c r="G867" s="33" t="s">
        <v>206</v>
      </c>
      <c r="H867" s="15" t="s">
        <v>2042</v>
      </c>
      <c r="I867" s="33" t="s">
        <v>216</v>
      </c>
      <c r="J867" s="15"/>
      <c r="K867" s="15"/>
      <c r="L867" s="120" t="s">
        <v>220</v>
      </c>
      <c r="M867" s="15" t="s">
        <v>2047</v>
      </c>
      <c r="N867" s="15" t="s">
        <v>2048</v>
      </c>
      <c r="O867" s="15"/>
      <c r="P867" s="15"/>
      <c r="Q867" s="15" t="b">
        <v>0</v>
      </c>
    </row>
    <row r="868" spans="1:17" ht="15" hidden="1" customHeight="1">
      <c r="A868" s="15">
        <v>3787</v>
      </c>
      <c r="B868" s="15">
        <v>867</v>
      </c>
      <c r="C868" s="15">
        <v>0</v>
      </c>
      <c r="D868" s="15">
        <v>193</v>
      </c>
      <c r="E868" s="15" t="b">
        <v>0</v>
      </c>
      <c r="F868" s="15" t="b">
        <v>0</v>
      </c>
      <c r="G868" s="33" t="s">
        <v>206</v>
      </c>
      <c r="H868" s="15" t="s">
        <v>2049</v>
      </c>
      <c r="I868" s="33" t="s">
        <v>208</v>
      </c>
      <c r="J868" s="15"/>
      <c r="K868" s="15"/>
      <c r="L868" s="120" t="s">
        <v>220</v>
      </c>
      <c r="M868" s="15" t="s">
        <v>2050</v>
      </c>
      <c r="N868" s="15" t="s">
        <v>2051</v>
      </c>
      <c r="O868" s="15"/>
      <c r="P868" s="15"/>
      <c r="Q868" s="15" t="b">
        <v>0</v>
      </c>
    </row>
    <row r="869" spans="1:17" ht="15" hidden="1" customHeight="1">
      <c r="A869" s="15">
        <v>3788</v>
      </c>
      <c r="B869" s="15">
        <v>868</v>
      </c>
      <c r="C869" s="15">
        <v>0</v>
      </c>
      <c r="D869" s="15">
        <v>193</v>
      </c>
      <c r="E869" s="15" t="b">
        <v>0</v>
      </c>
      <c r="F869" s="15" t="b">
        <v>0</v>
      </c>
      <c r="G869" s="33" t="s">
        <v>206</v>
      </c>
      <c r="H869" s="15" t="s">
        <v>2049</v>
      </c>
      <c r="I869" s="33" t="s">
        <v>272</v>
      </c>
      <c r="J869" s="15"/>
      <c r="K869" s="15"/>
      <c r="L869" s="120" t="s">
        <v>220</v>
      </c>
      <c r="M869" s="15" t="s">
        <v>2052</v>
      </c>
      <c r="N869" s="15" t="s">
        <v>2053</v>
      </c>
      <c r="O869" s="15"/>
      <c r="P869" s="15"/>
      <c r="Q869" s="15" t="b">
        <v>0</v>
      </c>
    </row>
    <row r="870" spans="1:17" ht="15" hidden="1" customHeight="1">
      <c r="A870" s="15">
        <v>3789</v>
      </c>
      <c r="B870" s="15">
        <v>869</v>
      </c>
      <c r="C870" s="15">
        <v>0</v>
      </c>
      <c r="D870" s="15">
        <v>193</v>
      </c>
      <c r="E870" s="15" t="b">
        <v>0</v>
      </c>
      <c r="F870" s="15" t="b">
        <v>0</v>
      </c>
      <c r="G870" s="33" t="s">
        <v>206</v>
      </c>
      <c r="H870" s="15" t="s">
        <v>2049</v>
      </c>
      <c r="I870" s="33" t="s">
        <v>216</v>
      </c>
      <c r="J870" s="15"/>
      <c r="K870" s="15"/>
      <c r="L870" s="120" t="s">
        <v>220</v>
      </c>
      <c r="M870" s="15" t="s">
        <v>2054</v>
      </c>
      <c r="N870" s="15" t="s">
        <v>2055</v>
      </c>
      <c r="O870" s="15"/>
      <c r="P870" s="15"/>
      <c r="Q870" s="15" t="b">
        <v>0</v>
      </c>
    </row>
    <row r="871" spans="1:17" ht="15" hidden="1" customHeight="1">
      <c r="A871" s="15">
        <v>3790</v>
      </c>
      <c r="B871" s="15">
        <v>870</v>
      </c>
      <c r="C871" s="15">
        <v>0</v>
      </c>
      <c r="D871" s="15">
        <v>193</v>
      </c>
      <c r="E871" s="15" t="b">
        <v>0</v>
      </c>
      <c r="F871" s="15" t="b">
        <v>0</v>
      </c>
      <c r="G871" s="33" t="s">
        <v>206</v>
      </c>
      <c r="H871" s="15" t="s">
        <v>2056</v>
      </c>
      <c r="I871" s="33" t="s">
        <v>208</v>
      </c>
      <c r="J871" s="15"/>
      <c r="K871" s="15"/>
      <c r="L871" s="120" t="s">
        <v>220</v>
      </c>
      <c r="M871" s="15" t="s">
        <v>2057</v>
      </c>
      <c r="N871" s="15" t="s">
        <v>2058</v>
      </c>
      <c r="O871" s="15"/>
      <c r="P871" s="15"/>
      <c r="Q871" s="15" t="b">
        <v>0</v>
      </c>
    </row>
    <row r="872" spans="1:17" ht="15" hidden="1" customHeight="1">
      <c r="A872" s="15">
        <v>3791</v>
      </c>
      <c r="B872" s="15">
        <v>871</v>
      </c>
      <c r="C872" s="15">
        <v>0</v>
      </c>
      <c r="D872" s="15">
        <v>193</v>
      </c>
      <c r="E872" s="15" t="b">
        <v>0</v>
      </c>
      <c r="F872" s="15" t="b">
        <v>0</v>
      </c>
      <c r="G872" s="33" t="s">
        <v>206</v>
      </c>
      <c r="H872" s="15" t="s">
        <v>2056</v>
      </c>
      <c r="I872" s="33" t="s">
        <v>504</v>
      </c>
      <c r="J872" s="15"/>
      <c r="K872" s="15"/>
      <c r="L872" s="120" t="s">
        <v>220</v>
      </c>
      <c r="M872" s="15" t="s">
        <v>2059</v>
      </c>
      <c r="N872" s="15" t="s">
        <v>2060</v>
      </c>
      <c r="O872" s="15"/>
      <c r="P872" s="15"/>
      <c r="Q872" s="15" t="b">
        <v>0</v>
      </c>
    </row>
    <row r="873" spans="1:17" ht="15" hidden="1" customHeight="1">
      <c r="A873" s="15">
        <v>3792</v>
      </c>
      <c r="B873" s="15">
        <v>872</v>
      </c>
      <c r="C873" s="15">
        <v>0</v>
      </c>
      <c r="D873" s="15">
        <v>193</v>
      </c>
      <c r="E873" s="15" t="b">
        <v>0</v>
      </c>
      <c r="F873" s="15" t="b">
        <v>0</v>
      </c>
      <c r="G873" s="33" t="s">
        <v>206</v>
      </c>
      <c r="H873" s="15" t="s">
        <v>2056</v>
      </c>
      <c r="I873" s="33" t="s">
        <v>216</v>
      </c>
      <c r="J873" s="15"/>
      <c r="K873" s="15"/>
      <c r="L873" s="120" t="s">
        <v>220</v>
      </c>
      <c r="M873" s="15" t="s">
        <v>2061</v>
      </c>
      <c r="N873" s="15" t="s">
        <v>2062</v>
      </c>
      <c r="O873" s="15"/>
      <c r="P873" s="15"/>
      <c r="Q873" s="15" t="b">
        <v>0</v>
      </c>
    </row>
    <row r="874" spans="1:17" ht="15" hidden="1" customHeight="1">
      <c r="A874" s="15">
        <v>3793</v>
      </c>
      <c r="B874" s="15">
        <v>873</v>
      </c>
      <c r="C874" s="15">
        <v>0</v>
      </c>
      <c r="D874" s="15">
        <v>193</v>
      </c>
      <c r="E874" s="15" t="b">
        <v>0</v>
      </c>
      <c r="F874" s="15" t="b">
        <v>0</v>
      </c>
      <c r="G874" s="33" t="s">
        <v>206</v>
      </c>
      <c r="H874" s="15" t="s">
        <v>2063</v>
      </c>
      <c r="I874" s="33" t="s">
        <v>208</v>
      </c>
      <c r="J874" s="15"/>
      <c r="K874" s="15"/>
      <c r="L874" s="120" t="s">
        <v>220</v>
      </c>
      <c r="M874" s="15" t="s">
        <v>2064</v>
      </c>
      <c r="N874" s="15" t="s">
        <v>2065</v>
      </c>
      <c r="O874" s="15"/>
      <c r="P874" s="15"/>
      <c r="Q874" s="15" t="b">
        <v>0</v>
      </c>
    </row>
    <row r="875" spans="1:17" ht="15" hidden="1" customHeight="1">
      <c r="A875" s="15">
        <v>3794</v>
      </c>
      <c r="B875" s="15">
        <v>874</v>
      </c>
      <c r="C875" s="15">
        <v>0</v>
      </c>
      <c r="D875" s="15">
        <v>193</v>
      </c>
      <c r="E875" s="15" t="b">
        <v>0</v>
      </c>
      <c r="F875" s="15" t="b">
        <v>0</v>
      </c>
      <c r="G875" s="33" t="s">
        <v>206</v>
      </c>
      <c r="H875" s="15" t="s">
        <v>2063</v>
      </c>
      <c r="I875" s="33" t="s">
        <v>213</v>
      </c>
      <c r="J875" s="15"/>
      <c r="K875" s="15"/>
      <c r="L875" s="120" t="s">
        <v>220</v>
      </c>
      <c r="M875" s="15" t="s">
        <v>2066</v>
      </c>
      <c r="N875" s="15" t="s">
        <v>2067</v>
      </c>
      <c r="O875" s="15"/>
      <c r="P875" s="15"/>
      <c r="Q875" s="15" t="b">
        <v>0</v>
      </c>
    </row>
    <row r="876" spans="1:17" ht="15" hidden="1" customHeight="1">
      <c r="A876" s="15">
        <v>3795</v>
      </c>
      <c r="B876" s="15">
        <v>875</v>
      </c>
      <c r="C876" s="15">
        <v>0</v>
      </c>
      <c r="D876" s="15">
        <v>193</v>
      </c>
      <c r="E876" s="15" t="b">
        <v>0</v>
      </c>
      <c r="F876" s="15" t="b">
        <v>0</v>
      </c>
      <c r="G876" s="33" t="s">
        <v>206</v>
      </c>
      <c r="H876" s="15" t="s">
        <v>2063</v>
      </c>
      <c r="I876" s="33" t="s">
        <v>216</v>
      </c>
      <c r="J876" s="15"/>
      <c r="K876" s="15"/>
      <c r="L876" s="120" t="s">
        <v>220</v>
      </c>
      <c r="M876" s="15" t="s">
        <v>2068</v>
      </c>
      <c r="N876" s="15" t="s">
        <v>2069</v>
      </c>
      <c r="O876" s="15"/>
      <c r="P876" s="15"/>
      <c r="Q876" s="15" t="b">
        <v>0</v>
      </c>
    </row>
    <row r="877" spans="1:17" ht="15" hidden="1" customHeight="1">
      <c r="A877" s="15">
        <v>3796</v>
      </c>
      <c r="B877" s="15">
        <v>876</v>
      </c>
      <c r="C877" s="15">
        <v>0</v>
      </c>
      <c r="D877" s="15">
        <v>193</v>
      </c>
      <c r="E877" s="15" t="b">
        <v>0</v>
      </c>
      <c r="F877" s="15" t="b">
        <v>0</v>
      </c>
      <c r="G877" s="33" t="s">
        <v>206</v>
      </c>
      <c r="H877" s="15" t="s">
        <v>2070</v>
      </c>
      <c r="I877" s="33" t="s">
        <v>208</v>
      </c>
      <c r="J877" s="15"/>
      <c r="K877" s="15"/>
      <c r="L877" s="120" t="s">
        <v>220</v>
      </c>
      <c r="M877" s="15" t="s">
        <v>2071</v>
      </c>
      <c r="N877" s="15" t="s">
        <v>2072</v>
      </c>
      <c r="O877" s="15"/>
      <c r="P877" s="15"/>
      <c r="Q877" s="15" t="b">
        <v>0</v>
      </c>
    </row>
    <row r="878" spans="1:17" ht="15" hidden="1" customHeight="1">
      <c r="A878" s="15">
        <v>3797</v>
      </c>
      <c r="B878" s="15">
        <v>877</v>
      </c>
      <c r="C878" s="15">
        <v>0</v>
      </c>
      <c r="D878" s="15">
        <v>193</v>
      </c>
      <c r="E878" s="15" t="b">
        <v>0</v>
      </c>
      <c r="F878" s="15" t="b">
        <v>0</v>
      </c>
      <c r="G878" s="33" t="s">
        <v>206</v>
      </c>
      <c r="H878" s="15" t="s">
        <v>2070</v>
      </c>
      <c r="I878" s="33" t="s">
        <v>213</v>
      </c>
      <c r="J878" s="15"/>
      <c r="K878" s="15"/>
      <c r="L878" s="120" t="s">
        <v>220</v>
      </c>
      <c r="M878" s="15" t="s">
        <v>2073</v>
      </c>
      <c r="N878" s="15" t="s">
        <v>2074</v>
      </c>
      <c r="O878" s="15"/>
      <c r="P878" s="15"/>
      <c r="Q878" s="15" t="b">
        <v>0</v>
      </c>
    </row>
    <row r="879" spans="1:17" ht="15" hidden="1" customHeight="1">
      <c r="A879" s="15">
        <v>3798</v>
      </c>
      <c r="B879" s="15">
        <v>878</v>
      </c>
      <c r="C879" s="15">
        <v>0</v>
      </c>
      <c r="D879" s="15">
        <v>193</v>
      </c>
      <c r="E879" s="15" t="b">
        <v>0</v>
      </c>
      <c r="F879" s="15" t="b">
        <v>0</v>
      </c>
      <c r="G879" s="33" t="s">
        <v>206</v>
      </c>
      <c r="H879" s="15" t="s">
        <v>2070</v>
      </c>
      <c r="I879" s="33" t="s">
        <v>216</v>
      </c>
      <c r="J879" s="15"/>
      <c r="K879" s="15"/>
      <c r="L879" s="120" t="s">
        <v>220</v>
      </c>
      <c r="M879" s="15" t="s">
        <v>2075</v>
      </c>
      <c r="N879" s="15" t="s">
        <v>2076</v>
      </c>
      <c r="O879" s="15"/>
      <c r="P879" s="15"/>
      <c r="Q879" s="15" t="b">
        <v>0</v>
      </c>
    </row>
    <row r="880" spans="1:17" ht="15" hidden="1" customHeight="1">
      <c r="A880" s="15">
        <v>3799</v>
      </c>
      <c r="B880" s="15">
        <v>879</v>
      </c>
      <c r="C880" s="15">
        <v>0</v>
      </c>
      <c r="D880" s="15">
        <v>193</v>
      </c>
      <c r="E880" s="15" t="b">
        <v>0</v>
      </c>
      <c r="F880" s="15" t="b">
        <v>0</v>
      </c>
      <c r="G880" s="33" t="s">
        <v>206</v>
      </c>
      <c r="H880" s="15" t="s">
        <v>2077</v>
      </c>
      <c r="I880" s="33" t="s">
        <v>208</v>
      </c>
      <c r="J880" s="15"/>
      <c r="K880" s="15"/>
      <c r="L880" s="120" t="s">
        <v>220</v>
      </c>
      <c r="M880" s="15" t="s">
        <v>2078</v>
      </c>
      <c r="N880" s="15" t="s">
        <v>2079</v>
      </c>
      <c r="O880" s="15"/>
      <c r="P880" s="15"/>
      <c r="Q880" s="15" t="b">
        <v>0</v>
      </c>
    </row>
    <row r="881" spans="1:17" ht="15" hidden="1" customHeight="1">
      <c r="A881" s="15">
        <v>3800</v>
      </c>
      <c r="B881" s="15">
        <v>880</v>
      </c>
      <c r="C881" s="15">
        <v>0</v>
      </c>
      <c r="D881" s="15">
        <v>193</v>
      </c>
      <c r="E881" s="15" t="b">
        <v>0</v>
      </c>
      <c r="F881" s="15" t="b">
        <v>0</v>
      </c>
      <c r="G881" s="33" t="s">
        <v>206</v>
      </c>
      <c r="H881" s="15" t="s">
        <v>2077</v>
      </c>
      <c r="I881" s="33" t="s">
        <v>213</v>
      </c>
      <c r="J881" s="15"/>
      <c r="K881" s="15"/>
      <c r="L881" s="120" t="s">
        <v>220</v>
      </c>
      <c r="M881" s="15" t="s">
        <v>2080</v>
      </c>
      <c r="N881" s="15" t="s">
        <v>2081</v>
      </c>
      <c r="O881" s="15"/>
      <c r="P881" s="15"/>
      <c r="Q881" s="15" t="b">
        <v>0</v>
      </c>
    </row>
    <row r="882" spans="1:17" ht="15" hidden="1" customHeight="1">
      <c r="A882" s="15">
        <v>3801</v>
      </c>
      <c r="B882" s="15">
        <v>881</v>
      </c>
      <c r="C882" s="15">
        <v>0</v>
      </c>
      <c r="D882" s="15">
        <v>193</v>
      </c>
      <c r="E882" s="15" t="b">
        <v>0</v>
      </c>
      <c r="F882" s="15" t="b">
        <v>0</v>
      </c>
      <c r="G882" s="33" t="s">
        <v>206</v>
      </c>
      <c r="H882" s="15" t="s">
        <v>2077</v>
      </c>
      <c r="I882" s="33" t="s">
        <v>216</v>
      </c>
      <c r="J882" s="15"/>
      <c r="K882" s="15"/>
      <c r="L882" s="120" t="s">
        <v>220</v>
      </c>
      <c r="M882" s="15" t="s">
        <v>2082</v>
      </c>
      <c r="N882" s="15" t="s">
        <v>2083</v>
      </c>
      <c r="O882" s="15"/>
      <c r="P882" s="15"/>
      <c r="Q882" s="15" t="b">
        <v>0</v>
      </c>
    </row>
    <row r="883" spans="1:17" ht="15" hidden="1" customHeight="1">
      <c r="A883" s="15">
        <v>3802</v>
      </c>
      <c r="B883" s="15">
        <v>882</v>
      </c>
      <c r="C883" s="15">
        <v>0</v>
      </c>
      <c r="D883" s="15">
        <v>193</v>
      </c>
      <c r="E883" s="15" t="b">
        <v>0</v>
      </c>
      <c r="F883" s="15" t="b">
        <v>0</v>
      </c>
      <c r="G883" s="33" t="s">
        <v>206</v>
      </c>
      <c r="H883" s="15" t="s">
        <v>2084</v>
      </c>
      <c r="I883" s="33" t="s">
        <v>208</v>
      </c>
      <c r="J883" s="15"/>
      <c r="K883" s="15"/>
      <c r="L883" s="120" t="s">
        <v>220</v>
      </c>
      <c r="M883" s="15" t="s">
        <v>2085</v>
      </c>
      <c r="N883" s="15" t="s">
        <v>2086</v>
      </c>
      <c r="O883" s="15"/>
      <c r="P883" s="15"/>
      <c r="Q883" s="15" t="b">
        <v>0</v>
      </c>
    </row>
    <row r="884" spans="1:17" ht="15" hidden="1" customHeight="1">
      <c r="A884" s="15">
        <v>3803</v>
      </c>
      <c r="B884" s="15">
        <v>883</v>
      </c>
      <c r="C884" s="15">
        <v>0</v>
      </c>
      <c r="D884" s="15">
        <v>193</v>
      </c>
      <c r="E884" s="15" t="b">
        <v>0</v>
      </c>
      <c r="F884" s="15" t="b">
        <v>0</v>
      </c>
      <c r="G884" s="33" t="s">
        <v>206</v>
      </c>
      <c r="H884" s="15" t="s">
        <v>2084</v>
      </c>
      <c r="I884" s="33" t="s">
        <v>213</v>
      </c>
      <c r="J884" s="15"/>
      <c r="K884" s="15"/>
      <c r="L884" s="120" t="s">
        <v>220</v>
      </c>
      <c r="M884" s="15" t="s">
        <v>2087</v>
      </c>
      <c r="N884" s="15" t="s">
        <v>2088</v>
      </c>
      <c r="O884" s="15"/>
      <c r="P884" s="15"/>
      <c r="Q884" s="15" t="b">
        <v>0</v>
      </c>
    </row>
    <row r="885" spans="1:17" ht="15" hidden="1" customHeight="1">
      <c r="A885" s="15">
        <v>3804</v>
      </c>
      <c r="B885" s="15">
        <v>884</v>
      </c>
      <c r="C885" s="15">
        <v>0</v>
      </c>
      <c r="D885" s="15">
        <v>193</v>
      </c>
      <c r="E885" s="15" t="b">
        <v>0</v>
      </c>
      <c r="F885" s="15" t="b">
        <v>0</v>
      </c>
      <c r="G885" s="33" t="s">
        <v>206</v>
      </c>
      <c r="H885" s="15" t="s">
        <v>2084</v>
      </c>
      <c r="I885" s="33" t="s">
        <v>216</v>
      </c>
      <c r="J885" s="15"/>
      <c r="K885" s="15"/>
      <c r="L885" s="120" t="s">
        <v>220</v>
      </c>
      <c r="M885" s="15" t="s">
        <v>2089</v>
      </c>
      <c r="N885" s="15" t="s">
        <v>2090</v>
      </c>
      <c r="O885" s="15"/>
      <c r="P885" s="15"/>
      <c r="Q885" s="15" t="b">
        <v>0</v>
      </c>
    </row>
    <row r="886" spans="1:17" ht="15" hidden="1" customHeight="1">
      <c r="A886" s="15">
        <v>3805</v>
      </c>
      <c r="B886" s="15">
        <v>885</v>
      </c>
      <c r="C886" s="15">
        <v>0</v>
      </c>
      <c r="D886" s="15">
        <v>193</v>
      </c>
      <c r="E886" s="15" t="b">
        <v>0</v>
      </c>
      <c r="F886" s="15" t="b">
        <v>0</v>
      </c>
      <c r="G886" s="33" t="s">
        <v>206</v>
      </c>
      <c r="H886" s="15" t="s">
        <v>2091</v>
      </c>
      <c r="I886" s="33" t="s">
        <v>208</v>
      </c>
      <c r="J886" s="15"/>
      <c r="K886" s="15"/>
      <c r="L886" s="120" t="s">
        <v>220</v>
      </c>
      <c r="M886" s="15" t="s">
        <v>2092</v>
      </c>
      <c r="N886" s="15" t="s">
        <v>2093</v>
      </c>
      <c r="O886" s="15"/>
      <c r="P886" s="15"/>
      <c r="Q886" s="15" t="b">
        <v>0</v>
      </c>
    </row>
    <row r="887" spans="1:17" ht="15" hidden="1" customHeight="1">
      <c r="A887" s="15">
        <v>3806</v>
      </c>
      <c r="B887" s="15">
        <v>886</v>
      </c>
      <c r="C887" s="15">
        <v>0</v>
      </c>
      <c r="D887" s="15">
        <v>193</v>
      </c>
      <c r="E887" s="15" t="b">
        <v>0</v>
      </c>
      <c r="F887" s="15" t="b">
        <v>0</v>
      </c>
      <c r="G887" s="33" t="s">
        <v>206</v>
      </c>
      <c r="H887" s="15" t="s">
        <v>2091</v>
      </c>
      <c r="I887" s="33" t="s">
        <v>213</v>
      </c>
      <c r="J887" s="15"/>
      <c r="K887" s="15"/>
      <c r="L887" s="120" t="s">
        <v>220</v>
      </c>
      <c r="M887" s="15" t="s">
        <v>2094</v>
      </c>
      <c r="N887" s="15" t="s">
        <v>2095</v>
      </c>
      <c r="O887" s="15"/>
      <c r="P887" s="15"/>
      <c r="Q887" s="15" t="b">
        <v>0</v>
      </c>
    </row>
    <row r="888" spans="1:17" ht="15" hidden="1" customHeight="1">
      <c r="A888" s="15">
        <v>3807</v>
      </c>
      <c r="B888" s="15">
        <v>887</v>
      </c>
      <c r="C888" s="15">
        <v>0</v>
      </c>
      <c r="D888" s="15">
        <v>193</v>
      </c>
      <c r="E888" s="15" t="b">
        <v>0</v>
      </c>
      <c r="F888" s="15" t="b">
        <v>0</v>
      </c>
      <c r="G888" s="33" t="s">
        <v>206</v>
      </c>
      <c r="H888" s="15" t="s">
        <v>2091</v>
      </c>
      <c r="I888" s="33" t="s">
        <v>216</v>
      </c>
      <c r="J888" s="15"/>
      <c r="K888" s="15"/>
      <c r="L888" s="120" t="s">
        <v>220</v>
      </c>
      <c r="M888" s="15" t="s">
        <v>2096</v>
      </c>
      <c r="N888" s="15" t="s">
        <v>2097</v>
      </c>
      <c r="O888" s="15"/>
      <c r="P888" s="15"/>
      <c r="Q888" s="15" t="b">
        <v>0</v>
      </c>
    </row>
    <row r="889" spans="1:17" ht="15" hidden="1" customHeight="1">
      <c r="A889" s="15">
        <v>3808</v>
      </c>
      <c r="B889" s="15">
        <v>888</v>
      </c>
      <c r="C889" s="15">
        <v>0</v>
      </c>
      <c r="D889" s="15">
        <v>193</v>
      </c>
      <c r="E889" s="15" t="b">
        <v>0</v>
      </c>
      <c r="F889" s="15" t="b">
        <v>0</v>
      </c>
      <c r="G889" s="33" t="s">
        <v>206</v>
      </c>
      <c r="H889" s="15" t="s">
        <v>2098</v>
      </c>
      <c r="I889" s="33" t="s">
        <v>208</v>
      </c>
      <c r="J889" s="15"/>
      <c r="K889" s="15"/>
      <c r="L889" s="120" t="s">
        <v>220</v>
      </c>
      <c r="M889" s="15" t="s">
        <v>2099</v>
      </c>
      <c r="N889" s="15" t="s">
        <v>2100</v>
      </c>
      <c r="O889" s="15"/>
      <c r="P889" s="15"/>
      <c r="Q889" s="15" t="b">
        <v>0</v>
      </c>
    </row>
    <row r="890" spans="1:17" ht="15" hidden="1" customHeight="1">
      <c r="A890" s="15">
        <v>3809</v>
      </c>
      <c r="B890" s="15">
        <v>889</v>
      </c>
      <c r="C890" s="15">
        <v>0</v>
      </c>
      <c r="D890" s="15">
        <v>193</v>
      </c>
      <c r="E890" s="15" t="b">
        <v>0</v>
      </c>
      <c r="F890" s="15" t="b">
        <v>0</v>
      </c>
      <c r="G890" s="33" t="s">
        <v>206</v>
      </c>
      <c r="H890" s="15" t="s">
        <v>2098</v>
      </c>
      <c r="I890" s="33" t="s">
        <v>213</v>
      </c>
      <c r="J890" s="15"/>
      <c r="K890" s="15"/>
      <c r="L890" s="120" t="s">
        <v>220</v>
      </c>
      <c r="M890" s="15" t="s">
        <v>2101</v>
      </c>
      <c r="N890" s="15" t="s">
        <v>2102</v>
      </c>
      <c r="O890" s="15"/>
      <c r="P890" s="15"/>
      <c r="Q890" s="15" t="b">
        <v>0</v>
      </c>
    </row>
    <row r="891" spans="1:17" ht="15" hidden="1" customHeight="1">
      <c r="A891" s="15">
        <v>3810</v>
      </c>
      <c r="B891" s="15">
        <v>890</v>
      </c>
      <c r="C891" s="15">
        <v>0</v>
      </c>
      <c r="D891" s="15">
        <v>193</v>
      </c>
      <c r="E891" s="15" t="b">
        <v>0</v>
      </c>
      <c r="F891" s="15" t="b">
        <v>0</v>
      </c>
      <c r="G891" s="33" t="s">
        <v>206</v>
      </c>
      <c r="H891" s="15" t="s">
        <v>2098</v>
      </c>
      <c r="I891" s="33" t="s">
        <v>216</v>
      </c>
      <c r="J891" s="15"/>
      <c r="K891" s="15"/>
      <c r="L891" s="120" t="s">
        <v>220</v>
      </c>
      <c r="M891" s="15" t="s">
        <v>2103</v>
      </c>
      <c r="N891" s="15" t="s">
        <v>2104</v>
      </c>
      <c r="O891" s="15"/>
      <c r="P891" s="15"/>
      <c r="Q891" s="15" t="b">
        <v>0</v>
      </c>
    </row>
    <row r="892" spans="1:17" ht="15" hidden="1" customHeight="1">
      <c r="A892" s="15">
        <v>3811</v>
      </c>
      <c r="B892" s="15">
        <v>891</v>
      </c>
      <c r="C892" s="15">
        <v>0</v>
      </c>
      <c r="D892" s="15">
        <v>193</v>
      </c>
      <c r="E892" s="15" t="b">
        <v>0</v>
      </c>
      <c r="F892" s="15" t="b">
        <v>0</v>
      </c>
      <c r="G892" s="33" t="s">
        <v>206</v>
      </c>
      <c r="H892" s="15" t="s">
        <v>2105</v>
      </c>
      <c r="I892" s="33" t="s">
        <v>208</v>
      </c>
      <c r="J892" s="15"/>
      <c r="K892" s="15"/>
      <c r="L892" s="120" t="s">
        <v>220</v>
      </c>
      <c r="M892" s="15" t="s">
        <v>2106</v>
      </c>
      <c r="N892" s="15" t="s">
        <v>2107</v>
      </c>
      <c r="O892" s="15"/>
      <c r="P892" s="15"/>
      <c r="Q892" s="15" t="b">
        <v>0</v>
      </c>
    </row>
    <row r="893" spans="1:17" ht="15" hidden="1" customHeight="1">
      <c r="A893" s="15">
        <v>3812</v>
      </c>
      <c r="B893" s="15">
        <v>892</v>
      </c>
      <c r="C893" s="15">
        <v>0</v>
      </c>
      <c r="D893" s="15">
        <v>193</v>
      </c>
      <c r="E893" s="15" t="b">
        <v>0</v>
      </c>
      <c r="F893" s="15" t="b">
        <v>0</v>
      </c>
      <c r="G893" s="33" t="s">
        <v>206</v>
      </c>
      <c r="H893" s="15" t="s">
        <v>2105</v>
      </c>
      <c r="I893" s="33" t="s">
        <v>213</v>
      </c>
      <c r="J893" s="15"/>
      <c r="K893" s="15"/>
      <c r="L893" s="120" t="s">
        <v>220</v>
      </c>
      <c r="M893" s="15" t="s">
        <v>2108</v>
      </c>
      <c r="N893" s="15" t="s">
        <v>2109</v>
      </c>
      <c r="O893" s="15"/>
      <c r="P893" s="15"/>
      <c r="Q893" s="15" t="b">
        <v>0</v>
      </c>
    </row>
    <row r="894" spans="1:17" ht="15" hidden="1" customHeight="1">
      <c r="A894" s="15">
        <v>3813</v>
      </c>
      <c r="B894" s="15">
        <v>893</v>
      </c>
      <c r="C894" s="15">
        <v>0</v>
      </c>
      <c r="D894" s="15">
        <v>193</v>
      </c>
      <c r="E894" s="15" t="b">
        <v>0</v>
      </c>
      <c r="F894" s="15" t="b">
        <v>0</v>
      </c>
      <c r="G894" s="33" t="s">
        <v>206</v>
      </c>
      <c r="H894" s="15" t="s">
        <v>2105</v>
      </c>
      <c r="I894" s="33" t="s">
        <v>216</v>
      </c>
      <c r="J894" s="15"/>
      <c r="K894" s="15"/>
      <c r="L894" s="120" t="s">
        <v>220</v>
      </c>
      <c r="M894" s="15" t="s">
        <v>2110</v>
      </c>
      <c r="N894" s="15" t="s">
        <v>2111</v>
      </c>
      <c r="O894" s="15"/>
      <c r="P894" s="15"/>
      <c r="Q894" s="15" t="b">
        <v>0</v>
      </c>
    </row>
    <row r="895" spans="1:17" ht="15" hidden="1" customHeight="1">
      <c r="A895" s="15">
        <v>3814</v>
      </c>
      <c r="B895" s="15">
        <v>894</v>
      </c>
      <c r="C895" s="15">
        <v>0</v>
      </c>
      <c r="D895" s="15">
        <v>193</v>
      </c>
      <c r="E895" s="15" t="b">
        <v>0</v>
      </c>
      <c r="F895" s="15" t="b">
        <v>0</v>
      </c>
      <c r="G895" s="33" t="s">
        <v>206</v>
      </c>
      <c r="H895" s="15" t="s">
        <v>2112</v>
      </c>
      <c r="I895" s="33" t="s">
        <v>208</v>
      </c>
      <c r="J895" s="15"/>
      <c r="K895" s="15"/>
      <c r="L895" s="120" t="s">
        <v>220</v>
      </c>
      <c r="M895" s="15" t="s">
        <v>2113</v>
      </c>
      <c r="N895" s="15" t="s">
        <v>2114</v>
      </c>
      <c r="O895" s="15"/>
      <c r="P895" s="15"/>
      <c r="Q895" s="15" t="b">
        <v>0</v>
      </c>
    </row>
    <row r="896" spans="1:17" ht="15" hidden="1" customHeight="1">
      <c r="A896" s="15">
        <v>3815</v>
      </c>
      <c r="B896" s="15">
        <v>895</v>
      </c>
      <c r="C896" s="15">
        <v>0</v>
      </c>
      <c r="D896" s="15">
        <v>193</v>
      </c>
      <c r="E896" s="15" t="b">
        <v>0</v>
      </c>
      <c r="F896" s="15" t="b">
        <v>0</v>
      </c>
      <c r="G896" s="33" t="s">
        <v>206</v>
      </c>
      <c r="H896" s="15" t="s">
        <v>2112</v>
      </c>
      <c r="I896" s="33" t="s">
        <v>213</v>
      </c>
      <c r="J896" s="15"/>
      <c r="K896" s="15"/>
      <c r="L896" s="120" t="s">
        <v>220</v>
      </c>
      <c r="M896" s="15" t="s">
        <v>2115</v>
      </c>
      <c r="N896" s="15" t="s">
        <v>2116</v>
      </c>
      <c r="O896" s="15"/>
      <c r="P896" s="15"/>
      <c r="Q896" s="15" t="b">
        <v>0</v>
      </c>
    </row>
    <row r="897" spans="1:17" ht="15" hidden="1" customHeight="1">
      <c r="A897" s="15">
        <v>3816</v>
      </c>
      <c r="B897" s="15">
        <v>896</v>
      </c>
      <c r="C897" s="15">
        <v>0</v>
      </c>
      <c r="D897" s="15">
        <v>193</v>
      </c>
      <c r="E897" s="15" t="b">
        <v>0</v>
      </c>
      <c r="F897" s="15" t="b">
        <v>0</v>
      </c>
      <c r="G897" s="33" t="s">
        <v>206</v>
      </c>
      <c r="H897" s="15" t="s">
        <v>2112</v>
      </c>
      <c r="I897" s="33" t="s">
        <v>216</v>
      </c>
      <c r="J897" s="15"/>
      <c r="K897" s="15"/>
      <c r="L897" s="120" t="s">
        <v>220</v>
      </c>
      <c r="M897" s="15" t="s">
        <v>2117</v>
      </c>
      <c r="N897" s="15" t="s">
        <v>2118</v>
      </c>
      <c r="O897" s="15"/>
      <c r="P897" s="15"/>
      <c r="Q897" s="15" t="b">
        <v>0</v>
      </c>
    </row>
    <row r="898" spans="1:17" ht="15" hidden="1" customHeight="1">
      <c r="A898" s="15">
        <v>3817</v>
      </c>
      <c r="B898" s="15">
        <v>897</v>
      </c>
      <c r="C898" s="15">
        <v>0</v>
      </c>
      <c r="D898" s="15">
        <v>193</v>
      </c>
      <c r="E898" s="15" t="b">
        <v>0</v>
      </c>
      <c r="F898" s="15" t="b">
        <v>0</v>
      </c>
      <c r="G898" s="33" t="s">
        <v>206</v>
      </c>
      <c r="H898" s="15" t="s">
        <v>2119</v>
      </c>
      <c r="I898" s="33" t="s">
        <v>208</v>
      </c>
      <c r="J898" s="15"/>
      <c r="K898" s="15"/>
      <c r="L898" s="120" t="s">
        <v>220</v>
      </c>
      <c r="M898" s="15" t="s">
        <v>2120</v>
      </c>
      <c r="N898" s="15" t="s">
        <v>2121</v>
      </c>
      <c r="O898" s="15"/>
      <c r="P898" s="15"/>
      <c r="Q898" s="15" t="b">
        <v>0</v>
      </c>
    </row>
    <row r="899" spans="1:17" ht="15" hidden="1" customHeight="1">
      <c r="A899" s="15">
        <v>3818</v>
      </c>
      <c r="B899" s="15">
        <v>898</v>
      </c>
      <c r="C899" s="15">
        <v>0</v>
      </c>
      <c r="D899" s="15">
        <v>193</v>
      </c>
      <c r="E899" s="15" t="b">
        <v>0</v>
      </c>
      <c r="F899" s="15" t="b">
        <v>0</v>
      </c>
      <c r="G899" s="33" t="s">
        <v>206</v>
      </c>
      <c r="H899" s="15" t="s">
        <v>2119</v>
      </c>
      <c r="I899" s="33" t="s">
        <v>213</v>
      </c>
      <c r="J899" s="15"/>
      <c r="K899" s="15"/>
      <c r="L899" s="120" t="s">
        <v>220</v>
      </c>
      <c r="M899" s="15" t="s">
        <v>2122</v>
      </c>
      <c r="N899" s="15" t="s">
        <v>2123</v>
      </c>
      <c r="O899" s="15"/>
      <c r="P899" s="15"/>
      <c r="Q899" s="15" t="b">
        <v>0</v>
      </c>
    </row>
    <row r="900" spans="1:17" ht="15" hidden="1" customHeight="1">
      <c r="A900" s="15">
        <v>3819</v>
      </c>
      <c r="B900" s="15">
        <v>899</v>
      </c>
      <c r="C900" s="15">
        <v>0</v>
      </c>
      <c r="D900" s="15">
        <v>193</v>
      </c>
      <c r="E900" s="15" t="b">
        <v>0</v>
      </c>
      <c r="F900" s="15" t="b">
        <v>0</v>
      </c>
      <c r="G900" s="33" t="s">
        <v>206</v>
      </c>
      <c r="H900" s="15" t="s">
        <v>2119</v>
      </c>
      <c r="I900" s="33" t="s">
        <v>216</v>
      </c>
      <c r="J900" s="15"/>
      <c r="K900" s="15"/>
      <c r="L900" s="120" t="s">
        <v>220</v>
      </c>
      <c r="M900" s="15" t="s">
        <v>2124</v>
      </c>
      <c r="N900" s="15" t="s">
        <v>2125</v>
      </c>
      <c r="O900" s="15"/>
      <c r="P900" s="15"/>
      <c r="Q900" s="15" t="b">
        <v>0</v>
      </c>
    </row>
    <row r="901" spans="1:17" ht="15" hidden="1" customHeight="1">
      <c r="A901" s="15">
        <v>3820</v>
      </c>
      <c r="B901" s="15">
        <v>900</v>
      </c>
      <c r="C901" s="15">
        <v>0</v>
      </c>
      <c r="D901" s="15">
        <v>193</v>
      </c>
      <c r="E901" s="15" t="b">
        <v>0</v>
      </c>
      <c r="F901" s="15" t="b">
        <v>0</v>
      </c>
      <c r="G901" s="33" t="s">
        <v>206</v>
      </c>
      <c r="H901" s="15" t="s">
        <v>2126</v>
      </c>
      <c r="I901" s="33" t="s">
        <v>208</v>
      </c>
      <c r="J901" s="15"/>
      <c r="K901" s="15"/>
      <c r="L901" s="120" t="s">
        <v>220</v>
      </c>
      <c r="M901" s="15" t="s">
        <v>2127</v>
      </c>
      <c r="N901" s="15" t="s">
        <v>2128</v>
      </c>
      <c r="O901" s="15"/>
      <c r="P901" s="15"/>
      <c r="Q901" s="15" t="b">
        <v>0</v>
      </c>
    </row>
    <row r="902" spans="1:17" ht="15" hidden="1" customHeight="1">
      <c r="A902" s="15">
        <v>3821</v>
      </c>
      <c r="B902" s="15">
        <v>901</v>
      </c>
      <c r="C902" s="15">
        <v>0</v>
      </c>
      <c r="D902" s="15">
        <v>193</v>
      </c>
      <c r="E902" s="15" t="b">
        <v>0</v>
      </c>
      <c r="F902" s="15" t="b">
        <v>0</v>
      </c>
      <c r="G902" s="33" t="s">
        <v>206</v>
      </c>
      <c r="H902" s="15" t="s">
        <v>2126</v>
      </c>
      <c r="I902" s="33" t="s">
        <v>213</v>
      </c>
      <c r="J902" s="15"/>
      <c r="K902" s="15"/>
      <c r="L902" s="120" t="s">
        <v>220</v>
      </c>
      <c r="M902" s="15" t="s">
        <v>2129</v>
      </c>
      <c r="N902" s="15" t="s">
        <v>2130</v>
      </c>
      <c r="O902" s="15"/>
      <c r="P902" s="15"/>
      <c r="Q902" s="15" t="b">
        <v>0</v>
      </c>
    </row>
    <row r="903" spans="1:17" ht="15" hidden="1" customHeight="1">
      <c r="A903" s="15">
        <v>3822</v>
      </c>
      <c r="B903" s="15">
        <v>902</v>
      </c>
      <c r="C903" s="15">
        <v>0</v>
      </c>
      <c r="D903" s="15">
        <v>193</v>
      </c>
      <c r="E903" s="15" t="b">
        <v>0</v>
      </c>
      <c r="F903" s="15" t="b">
        <v>0</v>
      </c>
      <c r="G903" s="33" t="s">
        <v>206</v>
      </c>
      <c r="H903" s="15" t="s">
        <v>2126</v>
      </c>
      <c r="I903" s="33" t="s">
        <v>216</v>
      </c>
      <c r="J903" s="15"/>
      <c r="K903" s="15"/>
      <c r="L903" s="120" t="s">
        <v>220</v>
      </c>
      <c r="M903" s="15" t="s">
        <v>2131</v>
      </c>
      <c r="N903" s="15" t="s">
        <v>2132</v>
      </c>
      <c r="O903" s="15"/>
      <c r="P903" s="15"/>
      <c r="Q903" s="15" t="b">
        <v>0</v>
      </c>
    </row>
    <row r="904" spans="1:17" ht="15" hidden="1" customHeight="1">
      <c r="A904" s="15">
        <v>3823</v>
      </c>
      <c r="B904" s="15">
        <v>903</v>
      </c>
      <c r="C904" s="15">
        <v>0</v>
      </c>
      <c r="D904" s="15">
        <v>193</v>
      </c>
      <c r="E904" s="15" t="b">
        <v>0</v>
      </c>
      <c r="F904" s="15" t="b">
        <v>0</v>
      </c>
      <c r="G904" s="33" t="s">
        <v>206</v>
      </c>
      <c r="H904" s="15" t="s">
        <v>2133</v>
      </c>
      <c r="I904" s="33" t="s">
        <v>208</v>
      </c>
      <c r="J904" s="15"/>
      <c r="K904" s="15"/>
      <c r="L904" s="120" t="s">
        <v>220</v>
      </c>
      <c r="M904" s="15" t="s">
        <v>2134</v>
      </c>
      <c r="N904" s="15" t="s">
        <v>2135</v>
      </c>
      <c r="O904" s="15"/>
      <c r="P904" s="15"/>
      <c r="Q904" s="15" t="b">
        <v>0</v>
      </c>
    </row>
    <row r="905" spans="1:17" ht="15" hidden="1" customHeight="1">
      <c r="A905" s="15">
        <v>3824</v>
      </c>
      <c r="B905" s="15">
        <v>904</v>
      </c>
      <c r="C905" s="15">
        <v>0</v>
      </c>
      <c r="D905" s="15">
        <v>193</v>
      </c>
      <c r="E905" s="15" t="b">
        <v>0</v>
      </c>
      <c r="F905" s="15" t="b">
        <v>0</v>
      </c>
      <c r="G905" s="33" t="s">
        <v>206</v>
      </c>
      <c r="H905" s="15" t="s">
        <v>2133</v>
      </c>
      <c r="I905" s="33" t="s">
        <v>213</v>
      </c>
      <c r="J905" s="15"/>
      <c r="K905" s="15"/>
      <c r="L905" s="120" t="s">
        <v>220</v>
      </c>
      <c r="M905" s="15" t="s">
        <v>2136</v>
      </c>
      <c r="N905" s="15" t="s">
        <v>2137</v>
      </c>
      <c r="O905" s="15"/>
      <c r="P905" s="15"/>
      <c r="Q905" s="15" t="b">
        <v>0</v>
      </c>
    </row>
    <row r="906" spans="1:17" ht="15" hidden="1" customHeight="1">
      <c r="A906" s="15">
        <v>3825</v>
      </c>
      <c r="B906" s="15">
        <v>905</v>
      </c>
      <c r="C906" s="15">
        <v>0</v>
      </c>
      <c r="D906" s="15">
        <v>193</v>
      </c>
      <c r="E906" s="15" t="b">
        <v>0</v>
      </c>
      <c r="F906" s="15" t="b">
        <v>0</v>
      </c>
      <c r="G906" s="33" t="s">
        <v>206</v>
      </c>
      <c r="H906" s="15" t="s">
        <v>2133</v>
      </c>
      <c r="I906" s="33" t="s">
        <v>216</v>
      </c>
      <c r="J906" s="15"/>
      <c r="K906" s="15"/>
      <c r="L906" s="120" t="s">
        <v>220</v>
      </c>
      <c r="M906" s="15" t="s">
        <v>2138</v>
      </c>
      <c r="N906" s="15" t="s">
        <v>2139</v>
      </c>
      <c r="O906" s="15"/>
      <c r="P906" s="15"/>
      <c r="Q906" s="15" t="b">
        <v>0</v>
      </c>
    </row>
    <row r="907" spans="1:17" ht="15" hidden="1" customHeight="1">
      <c r="A907" s="15">
        <v>3826</v>
      </c>
      <c r="B907" s="15">
        <v>906</v>
      </c>
      <c r="C907" s="15">
        <v>0</v>
      </c>
      <c r="D907" s="15">
        <v>193</v>
      </c>
      <c r="E907" s="15" t="b">
        <v>0</v>
      </c>
      <c r="F907" s="15" t="b">
        <v>0</v>
      </c>
      <c r="G907" s="33" t="s">
        <v>206</v>
      </c>
      <c r="H907" s="15" t="s">
        <v>2140</v>
      </c>
      <c r="I907" s="33" t="s">
        <v>208</v>
      </c>
      <c r="J907" s="15"/>
      <c r="K907" s="15"/>
      <c r="L907" s="120" t="s">
        <v>220</v>
      </c>
      <c r="M907" s="15" t="s">
        <v>2141</v>
      </c>
      <c r="N907" s="15" t="s">
        <v>2142</v>
      </c>
      <c r="O907" s="15"/>
      <c r="P907" s="15"/>
      <c r="Q907" s="15" t="b">
        <v>0</v>
      </c>
    </row>
    <row r="908" spans="1:17" ht="15" hidden="1" customHeight="1">
      <c r="A908" s="15">
        <v>3827</v>
      </c>
      <c r="B908" s="15">
        <v>907</v>
      </c>
      <c r="C908" s="15">
        <v>0</v>
      </c>
      <c r="D908" s="15">
        <v>193</v>
      </c>
      <c r="E908" s="15" t="b">
        <v>0</v>
      </c>
      <c r="F908" s="15" t="b">
        <v>0</v>
      </c>
      <c r="G908" s="33" t="s">
        <v>206</v>
      </c>
      <c r="H908" s="15" t="s">
        <v>2140</v>
      </c>
      <c r="I908" s="33" t="s">
        <v>213</v>
      </c>
      <c r="J908" s="15"/>
      <c r="K908" s="15"/>
      <c r="L908" s="120" t="s">
        <v>220</v>
      </c>
      <c r="M908" s="15" t="s">
        <v>2143</v>
      </c>
      <c r="N908" s="15" t="s">
        <v>2144</v>
      </c>
      <c r="O908" s="15"/>
      <c r="P908" s="15"/>
      <c r="Q908" s="15" t="b">
        <v>0</v>
      </c>
    </row>
    <row r="909" spans="1:17" ht="15" hidden="1" customHeight="1">
      <c r="A909" s="15">
        <v>3828</v>
      </c>
      <c r="B909" s="15">
        <v>908</v>
      </c>
      <c r="C909" s="15">
        <v>0</v>
      </c>
      <c r="D909" s="15">
        <v>193</v>
      </c>
      <c r="E909" s="15" t="b">
        <v>0</v>
      </c>
      <c r="F909" s="15" t="b">
        <v>0</v>
      </c>
      <c r="G909" s="33" t="s">
        <v>206</v>
      </c>
      <c r="H909" s="15" t="s">
        <v>2140</v>
      </c>
      <c r="I909" s="33" t="s">
        <v>216</v>
      </c>
      <c r="J909" s="15"/>
      <c r="K909" s="15"/>
      <c r="L909" s="120" t="s">
        <v>220</v>
      </c>
      <c r="M909" s="15" t="s">
        <v>2145</v>
      </c>
      <c r="N909" s="15" t="s">
        <v>2146</v>
      </c>
      <c r="O909" s="15"/>
      <c r="P909" s="15"/>
      <c r="Q909" s="15" t="b">
        <v>0</v>
      </c>
    </row>
    <row r="910" spans="1:17" ht="15" hidden="1" customHeight="1">
      <c r="A910" s="15">
        <v>3829</v>
      </c>
      <c r="B910" s="15">
        <v>909</v>
      </c>
      <c r="C910" s="15">
        <v>0</v>
      </c>
      <c r="D910" s="15">
        <v>193</v>
      </c>
      <c r="E910" s="15" t="b">
        <v>0</v>
      </c>
      <c r="F910" s="15" t="b">
        <v>0</v>
      </c>
      <c r="G910" s="33" t="s">
        <v>206</v>
      </c>
      <c r="H910" s="15" t="s">
        <v>2147</v>
      </c>
      <c r="I910" s="33" t="s">
        <v>208</v>
      </c>
      <c r="J910" s="15"/>
      <c r="K910" s="15"/>
      <c r="L910" s="120" t="s">
        <v>220</v>
      </c>
      <c r="M910" s="15" t="s">
        <v>2148</v>
      </c>
      <c r="N910" s="15" t="s">
        <v>2149</v>
      </c>
      <c r="O910" s="15"/>
      <c r="P910" s="15"/>
      <c r="Q910" s="15" t="b">
        <v>0</v>
      </c>
    </row>
    <row r="911" spans="1:17" ht="15" hidden="1" customHeight="1">
      <c r="A911" s="15">
        <v>3830</v>
      </c>
      <c r="B911" s="15">
        <v>910</v>
      </c>
      <c r="C911" s="15">
        <v>0</v>
      </c>
      <c r="D911" s="15">
        <v>193</v>
      </c>
      <c r="E911" s="15" t="b">
        <v>0</v>
      </c>
      <c r="F911" s="15" t="b">
        <v>0</v>
      </c>
      <c r="G911" s="33" t="s">
        <v>206</v>
      </c>
      <c r="H911" s="15" t="s">
        <v>2147</v>
      </c>
      <c r="I911" s="33" t="s">
        <v>213</v>
      </c>
      <c r="J911" s="15"/>
      <c r="K911" s="15"/>
      <c r="L911" s="120" t="s">
        <v>220</v>
      </c>
      <c r="M911" s="15" t="s">
        <v>2150</v>
      </c>
      <c r="N911" s="15" t="s">
        <v>2151</v>
      </c>
      <c r="O911" s="15"/>
      <c r="P911" s="15"/>
      <c r="Q911" s="15" t="b">
        <v>0</v>
      </c>
    </row>
    <row r="912" spans="1:17" ht="15" hidden="1" customHeight="1">
      <c r="A912" s="15">
        <v>3831</v>
      </c>
      <c r="B912" s="15">
        <v>911</v>
      </c>
      <c r="C912" s="15">
        <v>0</v>
      </c>
      <c r="D912" s="15">
        <v>193</v>
      </c>
      <c r="E912" s="15" t="b">
        <v>0</v>
      </c>
      <c r="F912" s="15" t="b">
        <v>0</v>
      </c>
      <c r="G912" s="33" t="s">
        <v>206</v>
      </c>
      <c r="H912" s="15" t="s">
        <v>2147</v>
      </c>
      <c r="I912" s="33" t="s">
        <v>216</v>
      </c>
      <c r="J912" s="15"/>
      <c r="K912" s="15"/>
      <c r="L912" s="120" t="s">
        <v>220</v>
      </c>
      <c r="M912" s="15" t="s">
        <v>2152</v>
      </c>
      <c r="N912" s="15" t="s">
        <v>2153</v>
      </c>
      <c r="O912" s="15"/>
      <c r="P912" s="15"/>
      <c r="Q912" s="15" t="b">
        <v>0</v>
      </c>
    </row>
    <row r="913" spans="1:17" ht="15" hidden="1" customHeight="1">
      <c r="A913" s="15">
        <v>3832</v>
      </c>
      <c r="B913" s="15">
        <v>912</v>
      </c>
      <c r="C913" s="15">
        <v>0</v>
      </c>
      <c r="D913" s="15">
        <v>193</v>
      </c>
      <c r="E913" s="15" t="b">
        <v>0</v>
      </c>
      <c r="F913" s="15" t="b">
        <v>0</v>
      </c>
      <c r="G913" s="33" t="s">
        <v>206</v>
      </c>
      <c r="H913" s="15" t="s">
        <v>2154</v>
      </c>
      <c r="I913" s="33" t="s">
        <v>208</v>
      </c>
      <c r="J913" s="15"/>
      <c r="K913" s="15"/>
      <c r="L913" s="120" t="s">
        <v>220</v>
      </c>
      <c r="M913" s="15" t="s">
        <v>2155</v>
      </c>
      <c r="N913" s="15" t="s">
        <v>2156</v>
      </c>
      <c r="O913" s="15"/>
      <c r="P913" s="15"/>
      <c r="Q913" s="15" t="b">
        <v>0</v>
      </c>
    </row>
    <row r="914" spans="1:17" ht="15" hidden="1" customHeight="1">
      <c r="A914" s="15">
        <v>3833</v>
      </c>
      <c r="B914" s="15">
        <v>913</v>
      </c>
      <c r="C914" s="15">
        <v>0</v>
      </c>
      <c r="D914" s="15">
        <v>193</v>
      </c>
      <c r="E914" s="15" t="b">
        <v>0</v>
      </c>
      <c r="F914" s="15" t="b">
        <v>0</v>
      </c>
      <c r="G914" s="33" t="s">
        <v>206</v>
      </c>
      <c r="H914" s="15" t="s">
        <v>2154</v>
      </c>
      <c r="I914" s="33" t="s">
        <v>213</v>
      </c>
      <c r="J914" s="15"/>
      <c r="K914" s="15"/>
      <c r="L914" s="120" t="s">
        <v>220</v>
      </c>
      <c r="M914" s="15" t="s">
        <v>2157</v>
      </c>
      <c r="N914" s="15" t="s">
        <v>2158</v>
      </c>
      <c r="O914" s="15"/>
      <c r="P914" s="15"/>
      <c r="Q914" s="15" t="b">
        <v>0</v>
      </c>
    </row>
    <row r="915" spans="1:17" ht="15" hidden="1" customHeight="1">
      <c r="A915" s="15">
        <v>3834</v>
      </c>
      <c r="B915" s="15">
        <v>914</v>
      </c>
      <c r="C915" s="15">
        <v>0</v>
      </c>
      <c r="D915" s="15">
        <v>193</v>
      </c>
      <c r="E915" s="15" t="b">
        <v>0</v>
      </c>
      <c r="F915" s="15" t="b">
        <v>0</v>
      </c>
      <c r="G915" s="33" t="s">
        <v>206</v>
      </c>
      <c r="H915" s="15" t="s">
        <v>2154</v>
      </c>
      <c r="I915" s="33" t="s">
        <v>216</v>
      </c>
      <c r="J915" s="15"/>
      <c r="K915" s="15"/>
      <c r="L915" s="120" t="s">
        <v>220</v>
      </c>
      <c r="M915" s="15" t="s">
        <v>2159</v>
      </c>
      <c r="N915" s="15" t="s">
        <v>2160</v>
      </c>
      <c r="O915" s="15"/>
      <c r="P915" s="15"/>
      <c r="Q915" s="15" t="b">
        <v>0</v>
      </c>
    </row>
    <row r="916" spans="1:17" ht="15" hidden="1" customHeight="1">
      <c r="A916" s="15">
        <v>3835</v>
      </c>
      <c r="B916" s="15">
        <v>915</v>
      </c>
      <c r="C916" s="15">
        <v>0</v>
      </c>
      <c r="D916" s="15">
        <v>193</v>
      </c>
      <c r="E916" s="15" t="b">
        <v>0</v>
      </c>
      <c r="F916" s="15" t="b">
        <v>0</v>
      </c>
      <c r="G916" s="33" t="s">
        <v>206</v>
      </c>
      <c r="H916" s="15" t="s">
        <v>2161</v>
      </c>
      <c r="I916" s="33" t="s">
        <v>208</v>
      </c>
      <c r="J916" s="15"/>
      <c r="K916" s="15"/>
      <c r="L916" s="120" t="s">
        <v>220</v>
      </c>
      <c r="M916" s="15" t="s">
        <v>2162</v>
      </c>
      <c r="N916" s="15" t="s">
        <v>2163</v>
      </c>
      <c r="O916" s="15"/>
      <c r="P916" s="15"/>
      <c r="Q916" s="15" t="b">
        <v>0</v>
      </c>
    </row>
    <row r="917" spans="1:17" ht="15" hidden="1" customHeight="1">
      <c r="A917" s="15">
        <v>3836</v>
      </c>
      <c r="B917" s="15">
        <v>916</v>
      </c>
      <c r="C917" s="15">
        <v>0</v>
      </c>
      <c r="D917" s="15">
        <v>193</v>
      </c>
      <c r="E917" s="15" t="b">
        <v>0</v>
      </c>
      <c r="F917" s="15" t="b">
        <v>0</v>
      </c>
      <c r="G917" s="33" t="s">
        <v>206</v>
      </c>
      <c r="H917" s="15" t="s">
        <v>2161</v>
      </c>
      <c r="I917" s="33" t="s">
        <v>213</v>
      </c>
      <c r="J917" s="15"/>
      <c r="K917" s="15"/>
      <c r="L917" s="120" t="s">
        <v>220</v>
      </c>
      <c r="M917" s="15" t="s">
        <v>2164</v>
      </c>
      <c r="N917" s="15" t="s">
        <v>2165</v>
      </c>
      <c r="O917" s="15"/>
      <c r="P917" s="15"/>
      <c r="Q917" s="15" t="b">
        <v>0</v>
      </c>
    </row>
    <row r="918" spans="1:17" ht="15" hidden="1" customHeight="1">
      <c r="A918" s="15">
        <v>3837</v>
      </c>
      <c r="B918" s="15">
        <v>917</v>
      </c>
      <c r="C918" s="15">
        <v>0</v>
      </c>
      <c r="D918" s="15">
        <v>193</v>
      </c>
      <c r="E918" s="15" t="b">
        <v>0</v>
      </c>
      <c r="F918" s="15" t="b">
        <v>0</v>
      </c>
      <c r="G918" s="33" t="s">
        <v>206</v>
      </c>
      <c r="H918" s="15" t="s">
        <v>2161</v>
      </c>
      <c r="I918" s="33" t="s">
        <v>216</v>
      </c>
      <c r="J918" s="15"/>
      <c r="K918" s="15"/>
      <c r="L918" s="120" t="s">
        <v>220</v>
      </c>
      <c r="M918" s="15" t="s">
        <v>2166</v>
      </c>
      <c r="N918" s="15" t="s">
        <v>2167</v>
      </c>
      <c r="O918" s="15"/>
      <c r="P918" s="15"/>
      <c r="Q918" s="15" t="b">
        <v>0</v>
      </c>
    </row>
    <row r="919" spans="1:17" ht="15" hidden="1" customHeight="1">
      <c r="A919" s="15">
        <v>3838</v>
      </c>
      <c r="B919" s="15">
        <v>918</v>
      </c>
      <c r="C919" s="15">
        <v>0</v>
      </c>
      <c r="D919" s="15">
        <v>193</v>
      </c>
      <c r="E919" s="15" t="b">
        <v>0</v>
      </c>
      <c r="F919" s="15" t="b">
        <v>0</v>
      </c>
      <c r="G919" s="33" t="s">
        <v>206</v>
      </c>
      <c r="H919" s="15" t="s">
        <v>2168</v>
      </c>
      <c r="I919" s="33" t="s">
        <v>208</v>
      </c>
      <c r="J919" s="15"/>
      <c r="K919" s="15"/>
      <c r="L919" s="120" t="s">
        <v>220</v>
      </c>
      <c r="M919" s="15" t="s">
        <v>2169</v>
      </c>
      <c r="N919" s="15" t="s">
        <v>2170</v>
      </c>
      <c r="O919" s="15"/>
      <c r="P919" s="15"/>
      <c r="Q919" s="15" t="b">
        <v>0</v>
      </c>
    </row>
    <row r="920" spans="1:17" ht="15" hidden="1" customHeight="1">
      <c r="A920" s="15">
        <v>3839</v>
      </c>
      <c r="B920" s="15">
        <v>919</v>
      </c>
      <c r="C920" s="15">
        <v>0</v>
      </c>
      <c r="D920" s="15">
        <v>193</v>
      </c>
      <c r="E920" s="15" t="b">
        <v>0</v>
      </c>
      <c r="F920" s="15" t="b">
        <v>0</v>
      </c>
      <c r="G920" s="33" t="s">
        <v>206</v>
      </c>
      <c r="H920" s="15" t="s">
        <v>2168</v>
      </c>
      <c r="I920" s="33" t="s">
        <v>213</v>
      </c>
      <c r="J920" s="15"/>
      <c r="K920" s="15"/>
      <c r="L920" s="120" t="s">
        <v>220</v>
      </c>
      <c r="M920" s="15" t="s">
        <v>2171</v>
      </c>
      <c r="N920" s="15" t="s">
        <v>2172</v>
      </c>
      <c r="O920" s="15"/>
      <c r="P920" s="15"/>
      <c r="Q920" s="15" t="b">
        <v>0</v>
      </c>
    </row>
    <row r="921" spans="1:17" ht="15" hidden="1" customHeight="1">
      <c r="A921" s="15">
        <v>3840</v>
      </c>
      <c r="B921" s="15">
        <v>920</v>
      </c>
      <c r="C921" s="15">
        <v>0</v>
      </c>
      <c r="D921" s="15">
        <v>193</v>
      </c>
      <c r="E921" s="15" t="b">
        <v>0</v>
      </c>
      <c r="F921" s="15" t="b">
        <v>0</v>
      </c>
      <c r="G921" s="33" t="s">
        <v>206</v>
      </c>
      <c r="H921" s="15" t="s">
        <v>2168</v>
      </c>
      <c r="I921" s="33" t="s">
        <v>216</v>
      </c>
      <c r="J921" s="15"/>
      <c r="K921" s="15"/>
      <c r="L921" s="120" t="s">
        <v>220</v>
      </c>
      <c r="M921" s="15" t="s">
        <v>2173</v>
      </c>
      <c r="N921" s="15" t="s">
        <v>2174</v>
      </c>
      <c r="O921" s="15"/>
      <c r="P921" s="15"/>
      <c r="Q921" s="15" t="b">
        <v>0</v>
      </c>
    </row>
    <row r="922" spans="1:17" ht="15" hidden="1" customHeight="1">
      <c r="A922" s="15">
        <v>3841</v>
      </c>
      <c r="B922" s="15">
        <v>921</v>
      </c>
      <c r="C922" s="15">
        <v>0</v>
      </c>
      <c r="D922" s="15">
        <v>193</v>
      </c>
      <c r="E922" s="15" t="b">
        <v>0</v>
      </c>
      <c r="F922" s="15" t="b">
        <v>0</v>
      </c>
      <c r="G922" s="33" t="s">
        <v>206</v>
      </c>
      <c r="H922" s="15" t="s">
        <v>2175</v>
      </c>
      <c r="I922" s="33" t="s">
        <v>208</v>
      </c>
      <c r="J922" s="15"/>
      <c r="K922" s="15"/>
      <c r="L922" s="120" t="s">
        <v>220</v>
      </c>
      <c r="M922" s="15" t="s">
        <v>2176</v>
      </c>
      <c r="N922" s="15" t="s">
        <v>2177</v>
      </c>
      <c r="O922" s="15"/>
      <c r="P922" s="15"/>
      <c r="Q922" s="15" t="b">
        <v>0</v>
      </c>
    </row>
    <row r="923" spans="1:17" ht="15" hidden="1" customHeight="1">
      <c r="A923" s="15">
        <v>3842</v>
      </c>
      <c r="B923" s="15">
        <v>922</v>
      </c>
      <c r="C923" s="15">
        <v>0</v>
      </c>
      <c r="D923" s="15">
        <v>193</v>
      </c>
      <c r="E923" s="15" t="b">
        <v>0</v>
      </c>
      <c r="F923" s="15" t="b">
        <v>0</v>
      </c>
      <c r="G923" s="33" t="s">
        <v>206</v>
      </c>
      <c r="H923" s="15" t="s">
        <v>2175</v>
      </c>
      <c r="I923" s="33" t="s">
        <v>213</v>
      </c>
      <c r="J923" s="15"/>
      <c r="K923" s="15"/>
      <c r="L923" s="120" t="s">
        <v>220</v>
      </c>
      <c r="M923" s="15" t="s">
        <v>2178</v>
      </c>
      <c r="N923" s="15" t="s">
        <v>2179</v>
      </c>
      <c r="O923" s="15"/>
      <c r="P923" s="15"/>
      <c r="Q923" s="15" t="b">
        <v>0</v>
      </c>
    </row>
    <row r="924" spans="1:17" ht="15" hidden="1" customHeight="1">
      <c r="A924" s="15">
        <v>3843</v>
      </c>
      <c r="B924" s="15">
        <v>923</v>
      </c>
      <c r="C924" s="15">
        <v>0</v>
      </c>
      <c r="D924" s="15">
        <v>193</v>
      </c>
      <c r="E924" s="15" t="b">
        <v>0</v>
      </c>
      <c r="F924" s="15" t="b">
        <v>0</v>
      </c>
      <c r="G924" s="33" t="s">
        <v>206</v>
      </c>
      <c r="H924" s="15" t="s">
        <v>2175</v>
      </c>
      <c r="I924" s="33" t="s">
        <v>216</v>
      </c>
      <c r="J924" s="15"/>
      <c r="K924" s="15"/>
      <c r="L924" s="120" t="s">
        <v>220</v>
      </c>
      <c r="M924" s="15" t="s">
        <v>2180</v>
      </c>
      <c r="N924" s="15" t="s">
        <v>2181</v>
      </c>
      <c r="O924" s="15"/>
      <c r="P924" s="15"/>
      <c r="Q924" s="15" t="b">
        <v>0</v>
      </c>
    </row>
    <row r="925" spans="1:17" ht="15" hidden="1" customHeight="1">
      <c r="A925" s="15">
        <v>3844</v>
      </c>
      <c r="B925" s="15">
        <v>924</v>
      </c>
      <c r="C925" s="15">
        <v>0</v>
      </c>
      <c r="D925" s="15">
        <v>193</v>
      </c>
      <c r="E925" s="15" t="b">
        <v>0</v>
      </c>
      <c r="F925" s="15" t="b">
        <v>0</v>
      </c>
      <c r="G925" s="33" t="s">
        <v>206</v>
      </c>
      <c r="H925" s="15" t="s">
        <v>2182</v>
      </c>
      <c r="I925" s="33" t="s">
        <v>208</v>
      </c>
      <c r="J925" s="15"/>
      <c r="K925" s="15"/>
      <c r="L925" s="120" t="s">
        <v>220</v>
      </c>
      <c r="M925" s="15" t="s">
        <v>2183</v>
      </c>
      <c r="N925" s="15" t="s">
        <v>2184</v>
      </c>
      <c r="O925" s="15"/>
      <c r="P925" s="15"/>
      <c r="Q925" s="15" t="b">
        <v>0</v>
      </c>
    </row>
    <row r="926" spans="1:17" ht="15" hidden="1" customHeight="1">
      <c r="A926" s="15">
        <v>3845</v>
      </c>
      <c r="B926" s="15">
        <v>925</v>
      </c>
      <c r="C926" s="15">
        <v>0</v>
      </c>
      <c r="D926" s="15">
        <v>193</v>
      </c>
      <c r="E926" s="15" t="b">
        <v>0</v>
      </c>
      <c r="F926" s="15" t="b">
        <v>0</v>
      </c>
      <c r="G926" s="33" t="s">
        <v>206</v>
      </c>
      <c r="H926" s="15" t="s">
        <v>2182</v>
      </c>
      <c r="I926" s="33" t="s">
        <v>213</v>
      </c>
      <c r="J926" s="15"/>
      <c r="K926" s="15"/>
      <c r="L926" s="120" t="s">
        <v>220</v>
      </c>
      <c r="M926" s="15" t="s">
        <v>2185</v>
      </c>
      <c r="N926" s="15" t="s">
        <v>2186</v>
      </c>
      <c r="O926" s="15"/>
      <c r="P926" s="15"/>
      <c r="Q926" s="15" t="b">
        <v>0</v>
      </c>
    </row>
    <row r="927" spans="1:17" ht="15" hidden="1" customHeight="1">
      <c r="A927" s="15">
        <v>3846</v>
      </c>
      <c r="B927" s="15">
        <v>926</v>
      </c>
      <c r="C927" s="15">
        <v>0</v>
      </c>
      <c r="D927" s="15">
        <v>193</v>
      </c>
      <c r="E927" s="15" t="b">
        <v>0</v>
      </c>
      <c r="F927" s="15" t="b">
        <v>0</v>
      </c>
      <c r="G927" s="33" t="s">
        <v>206</v>
      </c>
      <c r="H927" s="15" t="s">
        <v>2182</v>
      </c>
      <c r="I927" s="33" t="s">
        <v>216</v>
      </c>
      <c r="J927" s="15"/>
      <c r="K927" s="15"/>
      <c r="L927" s="120" t="s">
        <v>220</v>
      </c>
      <c r="M927" s="15" t="s">
        <v>2187</v>
      </c>
      <c r="N927" s="15" t="s">
        <v>2188</v>
      </c>
      <c r="O927" s="15"/>
      <c r="P927" s="15"/>
      <c r="Q927" s="15" t="b">
        <v>0</v>
      </c>
    </row>
    <row r="928" spans="1:17" ht="15" hidden="1" customHeight="1">
      <c r="A928" s="15">
        <v>3847</v>
      </c>
      <c r="B928" s="15">
        <v>927</v>
      </c>
      <c r="C928" s="15">
        <v>0</v>
      </c>
      <c r="D928" s="15">
        <v>193</v>
      </c>
      <c r="E928" s="15" t="b">
        <v>0</v>
      </c>
      <c r="F928" s="15" t="b">
        <v>0</v>
      </c>
      <c r="G928" s="33" t="s">
        <v>206</v>
      </c>
      <c r="H928" s="15" t="s">
        <v>2189</v>
      </c>
      <c r="I928" s="33" t="s">
        <v>208</v>
      </c>
      <c r="J928" s="15"/>
      <c r="K928" s="15"/>
      <c r="L928" s="120" t="s">
        <v>220</v>
      </c>
      <c r="M928" s="15" t="s">
        <v>2190</v>
      </c>
      <c r="N928" s="15" t="s">
        <v>2191</v>
      </c>
      <c r="O928" s="15"/>
      <c r="P928" s="15"/>
      <c r="Q928" s="15" t="b">
        <v>0</v>
      </c>
    </row>
    <row r="929" spans="1:17" ht="15" hidden="1" customHeight="1">
      <c r="A929" s="15">
        <v>3848</v>
      </c>
      <c r="B929" s="15">
        <v>928</v>
      </c>
      <c r="C929" s="15">
        <v>0</v>
      </c>
      <c r="D929" s="15">
        <v>193</v>
      </c>
      <c r="E929" s="15" t="b">
        <v>0</v>
      </c>
      <c r="F929" s="15" t="b">
        <v>0</v>
      </c>
      <c r="G929" s="33" t="s">
        <v>206</v>
      </c>
      <c r="H929" s="15" t="s">
        <v>2189</v>
      </c>
      <c r="I929" s="33" t="s">
        <v>213</v>
      </c>
      <c r="J929" s="15"/>
      <c r="K929" s="15"/>
      <c r="L929" s="120" t="s">
        <v>220</v>
      </c>
      <c r="M929" s="15" t="s">
        <v>2192</v>
      </c>
      <c r="N929" s="15" t="s">
        <v>2193</v>
      </c>
      <c r="O929" s="15"/>
      <c r="P929" s="15"/>
      <c r="Q929" s="15" t="b">
        <v>0</v>
      </c>
    </row>
    <row r="930" spans="1:17" ht="15" hidden="1" customHeight="1">
      <c r="A930" s="15">
        <v>3849</v>
      </c>
      <c r="B930" s="15">
        <v>929</v>
      </c>
      <c r="C930" s="15">
        <v>0</v>
      </c>
      <c r="D930" s="15">
        <v>193</v>
      </c>
      <c r="E930" s="15" t="b">
        <v>0</v>
      </c>
      <c r="F930" s="15" t="b">
        <v>0</v>
      </c>
      <c r="G930" s="33" t="s">
        <v>206</v>
      </c>
      <c r="H930" s="15" t="s">
        <v>2189</v>
      </c>
      <c r="I930" s="33" t="s">
        <v>216</v>
      </c>
      <c r="J930" s="15"/>
      <c r="K930" s="15"/>
      <c r="L930" s="120" t="s">
        <v>220</v>
      </c>
      <c r="M930" s="15" t="s">
        <v>2194</v>
      </c>
      <c r="N930" s="15" t="s">
        <v>2195</v>
      </c>
      <c r="O930" s="15"/>
      <c r="P930" s="15"/>
      <c r="Q930" s="15" t="b">
        <v>0</v>
      </c>
    </row>
    <row r="931" spans="1:17" ht="15" hidden="1" customHeight="1">
      <c r="A931" s="15">
        <v>3850</v>
      </c>
      <c r="B931" s="15">
        <v>930</v>
      </c>
      <c r="C931" s="15">
        <v>0</v>
      </c>
      <c r="D931" s="15">
        <v>193</v>
      </c>
      <c r="E931" s="15" t="b">
        <v>0</v>
      </c>
      <c r="F931" s="15" t="b">
        <v>0</v>
      </c>
      <c r="G931" s="33" t="s">
        <v>206</v>
      </c>
      <c r="H931" s="15" t="s">
        <v>2196</v>
      </c>
      <c r="I931" s="33" t="s">
        <v>208</v>
      </c>
      <c r="J931" s="15"/>
      <c r="K931" s="15"/>
      <c r="L931" s="120" t="s">
        <v>220</v>
      </c>
      <c r="M931" s="15" t="s">
        <v>2197</v>
      </c>
      <c r="N931" s="15" t="s">
        <v>2198</v>
      </c>
      <c r="O931" s="15"/>
      <c r="P931" s="15"/>
      <c r="Q931" s="15" t="b">
        <v>0</v>
      </c>
    </row>
    <row r="932" spans="1:17" ht="15" hidden="1" customHeight="1">
      <c r="A932" s="15">
        <v>3851</v>
      </c>
      <c r="B932" s="15">
        <v>931</v>
      </c>
      <c r="C932" s="15">
        <v>0</v>
      </c>
      <c r="D932" s="15">
        <v>193</v>
      </c>
      <c r="E932" s="15" t="b">
        <v>0</v>
      </c>
      <c r="F932" s="15" t="b">
        <v>0</v>
      </c>
      <c r="G932" s="33" t="s">
        <v>206</v>
      </c>
      <c r="H932" s="15" t="s">
        <v>2196</v>
      </c>
      <c r="I932" s="33" t="s">
        <v>213</v>
      </c>
      <c r="J932" s="15"/>
      <c r="K932" s="15"/>
      <c r="L932" s="120" t="s">
        <v>220</v>
      </c>
      <c r="M932" s="15" t="s">
        <v>2199</v>
      </c>
      <c r="N932" s="15" t="s">
        <v>2200</v>
      </c>
      <c r="O932" s="15"/>
      <c r="P932" s="15"/>
      <c r="Q932" s="15" t="b">
        <v>0</v>
      </c>
    </row>
    <row r="933" spans="1:17" ht="15" hidden="1" customHeight="1">
      <c r="A933" s="15">
        <v>3852</v>
      </c>
      <c r="B933" s="15">
        <v>932</v>
      </c>
      <c r="C933" s="15">
        <v>0</v>
      </c>
      <c r="D933" s="15">
        <v>193</v>
      </c>
      <c r="E933" s="15" t="b">
        <v>0</v>
      </c>
      <c r="F933" s="15" t="b">
        <v>0</v>
      </c>
      <c r="G933" s="33" t="s">
        <v>206</v>
      </c>
      <c r="H933" s="15" t="s">
        <v>2196</v>
      </c>
      <c r="I933" s="33" t="s">
        <v>216</v>
      </c>
      <c r="J933" s="15"/>
      <c r="K933" s="15"/>
      <c r="L933" s="120" t="s">
        <v>220</v>
      </c>
      <c r="M933" s="15" t="s">
        <v>2201</v>
      </c>
      <c r="N933" s="15" t="s">
        <v>2202</v>
      </c>
      <c r="O933" s="15"/>
      <c r="P933" s="15"/>
      <c r="Q933" s="15" t="b">
        <v>0</v>
      </c>
    </row>
    <row r="934" spans="1:17" ht="15" hidden="1" customHeight="1">
      <c r="A934" s="15">
        <v>3853</v>
      </c>
      <c r="B934" s="15">
        <v>933</v>
      </c>
      <c r="C934" s="15">
        <v>0</v>
      </c>
      <c r="D934" s="15">
        <v>193</v>
      </c>
      <c r="E934" s="15" t="b">
        <v>0</v>
      </c>
      <c r="F934" s="15" t="b">
        <v>0</v>
      </c>
      <c r="G934" s="33" t="s">
        <v>206</v>
      </c>
      <c r="H934" s="15" t="s">
        <v>2203</v>
      </c>
      <c r="I934" s="33" t="s">
        <v>208</v>
      </c>
      <c r="J934" s="15"/>
      <c r="K934" s="15"/>
      <c r="L934" s="120" t="s">
        <v>220</v>
      </c>
      <c r="M934" s="15" t="s">
        <v>2204</v>
      </c>
      <c r="N934" s="15" t="s">
        <v>2205</v>
      </c>
      <c r="O934" s="15"/>
      <c r="P934" s="15"/>
      <c r="Q934" s="15" t="b">
        <v>0</v>
      </c>
    </row>
    <row r="935" spans="1:17" ht="15" hidden="1" customHeight="1">
      <c r="A935" s="15">
        <v>3854</v>
      </c>
      <c r="B935" s="15">
        <v>934</v>
      </c>
      <c r="C935" s="15">
        <v>0</v>
      </c>
      <c r="D935" s="15">
        <v>193</v>
      </c>
      <c r="E935" s="15" t="b">
        <v>0</v>
      </c>
      <c r="F935" s="15" t="b">
        <v>0</v>
      </c>
      <c r="G935" s="33" t="s">
        <v>206</v>
      </c>
      <c r="H935" s="15" t="s">
        <v>2203</v>
      </c>
      <c r="I935" s="33" t="s">
        <v>213</v>
      </c>
      <c r="J935" s="15"/>
      <c r="K935" s="15"/>
      <c r="L935" s="120" t="s">
        <v>220</v>
      </c>
      <c r="M935" s="15" t="s">
        <v>2206</v>
      </c>
      <c r="N935" s="15" t="s">
        <v>2207</v>
      </c>
      <c r="O935" s="15"/>
      <c r="P935" s="15"/>
      <c r="Q935" s="15" t="b">
        <v>0</v>
      </c>
    </row>
    <row r="936" spans="1:17" ht="15" hidden="1" customHeight="1">
      <c r="A936" s="15">
        <v>3855</v>
      </c>
      <c r="B936" s="15">
        <v>935</v>
      </c>
      <c r="C936" s="15">
        <v>0</v>
      </c>
      <c r="D936" s="15">
        <v>193</v>
      </c>
      <c r="E936" s="15" t="b">
        <v>0</v>
      </c>
      <c r="F936" s="15" t="b">
        <v>0</v>
      </c>
      <c r="G936" s="33" t="s">
        <v>206</v>
      </c>
      <c r="H936" s="15" t="s">
        <v>2203</v>
      </c>
      <c r="I936" s="33" t="s">
        <v>216</v>
      </c>
      <c r="J936" s="15"/>
      <c r="K936" s="15"/>
      <c r="L936" s="120" t="s">
        <v>220</v>
      </c>
      <c r="M936" s="15" t="s">
        <v>2208</v>
      </c>
      <c r="N936" s="15" t="s">
        <v>2209</v>
      </c>
      <c r="O936" s="15"/>
      <c r="P936" s="15"/>
      <c r="Q936" s="15" t="b">
        <v>0</v>
      </c>
    </row>
    <row r="937" spans="1:17" ht="15" hidden="1" customHeight="1">
      <c r="A937" s="15">
        <v>3856</v>
      </c>
      <c r="B937" s="15">
        <v>936</v>
      </c>
      <c r="C937" s="15">
        <v>0</v>
      </c>
      <c r="D937" s="15">
        <v>193</v>
      </c>
      <c r="E937" s="15" t="b">
        <v>0</v>
      </c>
      <c r="F937" s="15" t="b">
        <v>0</v>
      </c>
      <c r="G937" s="33" t="s">
        <v>206</v>
      </c>
      <c r="H937" s="15" t="s">
        <v>2210</v>
      </c>
      <c r="I937" s="33" t="s">
        <v>208</v>
      </c>
      <c r="J937" s="15"/>
      <c r="K937" s="15"/>
      <c r="L937" s="120" t="s">
        <v>220</v>
      </c>
      <c r="M937" s="15" t="s">
        <v>2211</v>
      </c>
      <c r="N937" s="15" t="s">
        <v>2212</v>
      </c>
      <c r="O937" s="15"/>
      <c r="P937" s="15"/>
      <c r="Q937" s="15" t="b">
        <v>0</v>
      </c>
    </row>
    <row r="938" spans="1:17" ht="15" hidden="1" customHeight="1">
      <c r="A938" s="15">
        <v>3857</v>
      </c>
      <c r="B938" s="15">
        <v>937</v>
      </c>
      <c r="C938" s="15">
        <v>0</v>
      </c>
      <c r="D938" s="15">
        <v>193</v>
      </c>
      <c r="E938" s="15" t="b">
        <v>0</v>
      </c>
      <c r="F938" s="15" t="b">
        <v>0</v>
      </c>
      <c r="G938" s="33" t="s">
        <v>206</v>
      </c>
      <c r="H938" s="15" t="s">
        <v>2210</v>
      </c>
      <c r="I938" s="33" t="s">
        <v>213</v>
      </c>
      <c r="J938" s="15"/>
      <c r="K938" s="15"/>
      <c r="L938" s="120" t="s">
        <v>220</v>
      </c>
      <c r="M938" s="15" t="s">
        <v>2213</v>
      </c>
      <c r="N938" s="15" t="s">
        <v>2214</v>
      </c>
      <c r="O938" s="15"/>
      <c r="P938" s="15"/>
      <c r="Q938" s="15" t="b">
        <v>0</v>
      </c>
    </row>
    <row r="939" spans="1:17" ht="15" hidden="1" customHeight="1">
      <c r="A939" s="15">
        <v>3858</v>
      </c>
      <c r="B939" s="15">
        <v>938</v>
      </c>
      <c r="C939" s="15">
        <v>0</v>
      </c>
      <c r="D939" s="15">
        <v>193</v>
      </c>
      <c r="E939" s="15" t="b">
        <v>0</v>
      </c>
      <c r="F939" s="15" t="b">
        <v>0</v>
      </c>
      <c r="G939" s="33" t="s">
        <v>206</v>
      </c>
      <c r="H939" s="15" t="s">
        <v>2210</v>
      </c>
      <c r="I939" s="33" t="s">
        <v>216</v>
      </c>
      <c r="J939" s="15"/>
      <c r="K939" s="15"/>
      <c r="L939" s="120" t="s">
        <v>220</v>
      </c>
      <c r="M939" s="15" t="s">
        <v>2215</v>
      </c>
      <c r="N939" s="15" t="s">
        <v>2216</v>
      </c>
      <c r="O939" s="15"/>
      <c r="P939" s="15"/>
      <c r="Q939" s="15" t="b">
        <v>0</v>
      </c>
    </row>
    <row r="940" spans="1:17" ht="15" hidden="1" customHeight="1">
      <c r="A940" s="15">
        <v>3859</v>
      </c>
      <c r="B940" s="15">
        <v>939</v>
      </c>
      <c r="C940" s="15">
        <v>0</v>
      </c>
      <c r="D940" s="15">
        <v>193</v>
      </c>
      <c r="E940" s="15" t="b">
        <v>0</v>
      </c>
      <c r="F940" s="15" t="b">
        <v>0</v>
      </c>
      <c r="G940" s="33" t="s">
        <v>206</v>
      </c>
      <c r="H940" s="15" t="s">
        <v>2217</v>
      </c>
      <c r="I940" s="33" t="s">
        <v>208</v>
      </c>
      <c r="J940" s="15"/>
      <c r="K940" s="15"/>
      <c r="L940" s="120" t="s">
        <v>220</v>
      </c>
      <c r="M940" s="15" t="s">
        <v>2218</v>
      </c>
      <c r="N940" s="15" t="s">
        <v>2219</v>
      </c>
      <c r="O940" s="15"/>
      <c r="P940" s="15"/>
      <c r="Q940" s="15" t="b">
        <v>0</v>
      </c>
    </row>
    <row r="941" spans="1:17" ht="15" hidden="1" customHeight="1">
      <c r="A941" s="15">
        <v>3860</v>
      </c>
      <c r="B941" s="15">
        <v>940</v>
      </c>
      <c r="C941" s="15">
        <v>0</v>
      </c>
      <c r="D941" s="15">
        <v>193</v>
      </c>
      <c r="E941" s="15" t="b">
        <v>0</v>
      </c>
      <c r="F941" s="15" t="b">
        <v>0</v>
      </c>
      <c r="G941" s="33" t="s">
        <v>206</v>
      </c>
      <c r="H941" s="15" t="s">
        <v>2217</v>
      </c>
      <c r="I941" s="33" t="s">
        <v>213</v>
      </c>
      <c r="J941" s="15"/>
      <c r="K941" s="15"/>
      <c r="L941" s="120" t="s">
        <v>220</v>
      </c>
      <c r="M941" s="15" t="s">
        <v>2220</v>
      </c>
      <c r="N941" s="15" t="s">
        <v>2221</v>
      </c>
      <c r="O941" s="15"/>
      <c r="P941" s="15"/>
      <c r="Q941" s="15" t="b">
        <v>0</v>
      </c>
    </row>
    <row r="942" spans="1:17" ht="15" hidden="1" customHeight="1">
      <c r="A942" s="15">
        <v>3861</v>
      </c>
      <c r="B942" s="15">
        <v>941</v>
      </c>
      <c r="C942" s="15">
        <v>0</v>
      </c>
      <c r="D942" s="15">
        <v>193</v>
      </c>
      <c r="E942" s="15" t="b">
        <v>0</v>
      </c>
      <c r="F942" s="15" t="b">
        <v>0</v>
      </c>
      <c r="G942" s="33" t="s">
        <v>206</v>
      </c>
      <c r="H942" s="15" t="s">
        <v>2217</v>
      </c>
      <c r="I942" s="33" t="s">
        <v>216</v>
      </c>
      <c r="J942" s="15"/>
      <c r="K942" s="15"/>
      <c r="L942" s="120" t="s">
        <v>220</v>
      </c>
      <c r="M942" s="15" t="s">
        <v>2222</v>
      </c>
      <c r="N942" s="15" t="s">
        <v>2223</v>
      </c>
      <c r="O942" s="15"/>
      <c r="P942" s="15"/>
      <c r="Q942" s="15" t="b">
        <v>0</v>
      </c>
    </row>
    <row r="943" spans="1:17" ht="15" hidden="1" customHeight="1">
      <c r="A943" s="15">
        <v>3862</v>
      </c>
      <c r="B943" s="15">
        <v>942</v>
      </c>
      <c r="C943" s="15">
        <v>0</v>
      </c>
      <c r="D943" s="15">
        <v>193</v>
      </c>
      <c r="E943" s="15" t="b">
        <v>0</v>
      </c>
      <c r="F943" s="15" t="b">
        <v>0</v>
      </c>
      <c r="G943" s="33" t="s">
        <v>206</v>
      </c>
      <c r="H943" s="15" t="s">
        <v>2224</v>
      </c>
      <c r="I943" s="33" t="s">
        <v>208</v>
      </c>
      <c r="J943" s="15"/>
      <c r="K943" s="15"/>
      <c r="L943" s="120" t="s">
        <v>220</v>
      </c>
      <c r="M943" s="15" t="s">
        <v>2225</v>
      </c>
      <c r="N943" s="15" t="s">
        <v>2226</v>
      </c>
      <c r="O943" s="15"/>
      <c r="P943" s="15"/>
      <c r="Q943" s="15" t="b">
        <v>0</v>
      </c>
    </row>
    <row r="944" spans="1:17" ht="15" hidden="1" customHeight="1">
      <c r="A944" s="15">
        <v>3863</v>
      </c>
      <c r="B944" s="15">
        <v>943</v>
      </c>
      <c r="C944" s="15">
        <v>0</v>
      </c>
      <c r="D944" s="15">
        <v>193</v>
      </c>
      <c r="E944" s="15" t="b">
        <v>0</v>
      </c>
      <c r="F944" s="15" t="b">
        <v>0</v>
      </c>
      <c r="G944" s="33" t="s">
        <v>206</v>
      </c>
      <c r="H944" s="15" t="s">
        <v>2224</v>
      </c>
      <c r="I944" s="33" t="s">
        <v>213</v>
      </c>
      <c r="J944" s="15"/>
      <c r="K944" s="15"/>
      <c r="L944" s="120" t="s">
        <v>220</v>
      </c>
      <c r="M944" s="15" t="s">
        <v>2227</v>
      </c>
      <c r="N944" s="15" t="s">
        <v>2228</v>
      </c>
      <c r="O944" s="15"/>
      <c r="P944" s="15"/>
      <c r="Q944" s="15" t="b">
        <v>0</v>
      </c>
    </row>
    <row r="945" spans="1:17" ht="15" hidden="1" customHeight="1">
      <c r="A945" s="15">
        <v>3864</v>
      </c>
      <c r="B945" s="15">
        <v>944</v>
      </c>
      <c r="C945" s="15">
        <v>0</v>
      </c>
      <c r="D945" s="15">
        <v>193</v>
      </c>
      <c r="E945" s="15" t="b">
        <v>0</v>
      </c>
      <c r="F945" s="15" t="b">
        <v>0</v>
      </c>
      <c r="G945" s="33" t="s">
        <v>206</v>
      </c>
      <c r="H945" s="15" t="s">
        <v>2224</v>
      </c>
      <c r="I945" s="33" t="s">
        <v>216</v>
      </c>
      <c r="J945" s="15"/>
      <c r="K945" s="15"/>
      <c r="L945" s="120" t="s">
        <v>220</v>
      </c>
      <c r="M945" s="15" t="s">
        <v>2229</v>
      </c>
      <c r="N945" s="15" t="s">
        <v>2230</v>
      </c>
      <c r="O945" s="15"/>
      <c r="P945" s="15"/>
      <c r="Q945" s="15" t="b">
        <v>0</v>
      </c>
    </row>
    <row r="946" spans="1:17" ht="15" hidden="1" customHeight="1">
      <c r="A946" s="15">
        <v>3865</v>
      </c>
      <c r="B946" s="15">
        <v>945</v>
      </c>
      <c r="C946" s="15">
        <v>0</v>
      </c>
      <c r="D946" s="15">
        <v>193</v>
      </c>
      <c r="E946" s="15" t="b">
        <v>0</v>
      </c>
      <c r="F946" s="15" t="b">
        <v>0</v>
      </c>
      <c r="G946" s="33" t="s">
        <v>206</v>
      </c>
      <c r="H946" s="15" t="s">
        <v>2231</v>
      </c>
      <c r="I946" s="33" t="s">
        <v>208</v>
      </c>
      <c r="J946" s="15"/>
      <c r="K946" s="15"/>
      <c r="L946" s="120" t="s">
        <v>220</v>
      </c>
      <c r="M946" s="15" t="s">
        <v>2232</v>
      </c>
      <c r="N946" s="15" t="s">
        <v>2233</v>
      </c>
      <c r="O946" s="15"/>
      <c r="P946" s="15"/>
      <c r="Q946" s="15" t="b">
        <v>0</v>
      </c>
    </row>
    <row r="947" spans="1:17" ht="15" hidden="1" customHeight="1">
      <c r="A947" s="15">
        <v>3866</v>
      </c>
      <c r="B947" s="15">
        <v>946</v>
      </c>
      <c r="C947" s="15">
        <v>0</v>
      </c>
      <c r="D947" s="15">
        <v>193</v>
      </c>
      <c r="E947" s="15" t="b">
        <v>0</v>
      </c>
      <c r="F947" s="15" t="b">
        <v>0</v>
      </c>
      <c r="G947" s="33" t="s">
        <v>206</v>
      </c>
      <c r="H947" s="15" t="s">
        <v>2231</v>
      </c>
      <c r="I947" s="33" t="s">
        <v>213</v>
      </c>
      <c r="J947" s="15"/>
      <c r="K947" s="15"/>
      <c r="L947" s="120" t="s">
        <v>220</v>
      </c>
      <c r="M947" s="15" t="s">
        <v>2234</v>
      </c>
      <c r="N947" s="15" t="s">
        <v>2235</v>
      </c>
      <c r="O947" s="15"/>
      <c r="P947" s="15"/>
      <c r="Q947" s="15" t="b">
        <v>0</v>
      </c>
    </row>
    <row r="948" spans="1:17" ht="15" hidden="1" customHeight="1">
      <c r="A948" s="15">
        <v>3867</v>
      </c>
      <c r="B948" s="15">
        <v>947</v>
      </c>
      <c r="C948" s="15">
        <v>0</v>
      </c>
      <c r="D948" s="15">
        <v>193</v>
      </c>
      <c r="E948" s="15" t="b">
        <v>0</v>
      </c>
      <c r="F948" s="15" t="b">
        <v>0</v>
      </c>
      <c r="G948" s="33" t="s">
        <v>206</v>
      </c>
      <c r="H948" s="15" t="s">
        <v>2231</v>
      </c>
      <c r="I948" s="33" t="s">
        <v>216</v>
      </c>
      <c r="J948" s="15"/>
      <c r="K948" s="15"/>
      <c r="L948" s="120" t="s">
        <v>220</v>
      </c>
      <c r="M948" s="15" t="s">
        <v>2236</v>
      </c>
      <c r="N948" s="15" t="s">
        <v>2237</v>
      </c>
      <c r="O948" s="15"/>
      <c r="P948" s="15"/>
      <c r="Q948" s="15" t="b">
        <v>0</v>
      </c>
    </row>
    <row r="949" spans="1:17" ht="15" hidden="1" customHeight="1">
      <c r="A949" s="15">
        <v>3868</v>
      </c>
      <c r="B949" s="15">
        <v>948</v>
      </c>
      <c r="C949" s="15">
        <v>0</v>
      </c>
      <c r="D949" s="15">
        <v>193</v>
      </c>
      <c r="E949" s="15" t="b">
        <v>0</v>
      </c>
      <c r="F949" s="15" t="b">
        <v>0</v>
      </c>
      <c r="G949" s="33" t="s">
        <v>206</v>
      </c>
      <c r="H949" s="15" t="s">
        <v>2238</v>
      </c>
      <c r="I949" s="33" t="s">
        <v>208</v>
      </c>
      <c r="J949" s="15"/>
      <c r="K949" s="15"/>
      <c r="L949" s="120" t="s">
        <v>220</v>
      </c>
      <c r="M949" s="15" t="s">
        <v>2239</v>
      </c>
      <c r="N949" s="15" t="s">
        <v>2240</v>
      </c>
      <c r="O949" s="15"/>
      <c r="P949" s="15"/>
      <c r="Q949" s="15" t="b">
        <v>0</v>
      </c>
    </row>
    <row r="950" spans="1:17" ht="15" hidden="1" customHeight="1">
      <c r="A950" s="15">
        <v>3869</v>
      </c>
      <c r="B950" s="15">
        <v>949</v>
      </c>
      <c r="C950" s="15">
        <v>0</v>
      </c>
      <c r="D950" s="15">
        <v>193</v>
      </c>
      <c r="E950" s="15" t="b">
        <v>0</v>
      </c>
      <c r="F950" s="15" t="b">
        <v>0</v>
      </c>
      <c r="G950" s="33" t="s">
        <v>206</v>
      </c>
      <c r="H950" s="15" t="s">
        <v>2238</v>
      </c>
      <c r="I950" s="33" t="s">
        <v>213</v>
      </c>
      <c r="J950" s="15"/>
      <c r="K950" s="15"/>
      <c r="L950" s="120" t="s">
        <v>220</v>
      </c>
      <c r="M950" s="15" t="s">
        <v>2241</v>
      </c>
      <c r="N950" s="15" t="s">
        <v>2242</v>
      </c>
      <c r="O950" s="15"/>
      <c r="P950" s="15"/>
      <c r="Q950" s="15" t="b">
        <v>0</v>
      </c>
    </row>
    <row r="951" spans="1:17" ht="15" hidden="1" customHeight="1">
      <c r="A951" s="15">
        <v>3870</v>
      </c>
      <c r="B951" s="15">
        <v>950</v>
      </c>
      <c r="C951" s="15">
        <v>0</v>
      </c>
      <c r="D951" s="15">
        <v>193</v>
      </c>
      <c r="E951" s="15" t="b">
        <v>0</v>
      </c>
      <c r="F951" s="15" t="b">
        <v>0</v>
      </c>
      <c r="G951" s="33" t="s">
        <v>206</v>
      </c>
      <c r="H951" s="15" t="s">
        <v>2238</v>
      </c>
      <c r="I951" s="33" t="s">
        <v>216</v>
      </c>
      <c r="J951" s="15"/>
      <c r="K951" s="15"/>
      <c r="L951" s="120" t="s">
        <v>220</v>
      </c>
      <c r="M951" s="15" t="s">
        <v>2243</v>
      </c>
      <c r="N951" s="15" t="s">
        <v>2244</v>
      </c>
      <c r="O951" s="15"/>
      <c r="P951" s="15"/>
      <c r="Q951" s="15" t="b">
        <v>0</v>
      </c>
    </row>
    <row r="952" spans="1:17" ht="15" hidden="1" customHeight="1">
      <c r="A952" s="15">
        <v>3871</v>
      </c>
      <c r="B952" s="15">
        <v>951</v>
      </c>
      <c r="C952" s="15">
        <v>0</v>
      </c>
      <c r="D952" s="15">
        <v>193</v>
      </c>
      <c r="E952" s="15" t="b">
        <v>0</v>
      </c>
      <c r="F952" s="15" t="b">
        <v>0</v>
      </c>
      <c r="G952" s="33" t="s">
        <v>206</v>
      </c>
      <c r="H952" s="15" t="s">
        <v>2245</v>
      </c>
      <c r="I952" s="33" t="s">
        <v>208</v>
      </c>
      <c r="J952" s="15"/>
      <c r="K952" s="15"/>
      <c r="L952" s="120" t="s">
        <v>220</v>
      </c>
      <c r="M952" s="15" t="s">
        <v>2246</v>
      </c>
      <c r="N952" s="15" t="s">
        <v>2247</v>
      </c>
      <c r="O952" s="15"/>
      <c r="P952" s="15"/>
      <c r="Q952" s="15" t="b">
        <v>0</v>
      </c>
    </row>
    <row r="953" spans="1:17" ht="15" hidden="1" customHeight="1">
      <c r="A953" s="15">
        <v>3872</v>
      </c>
      <c r="B953" s="15">
        <v>952</v>
      </c>
      <c r="C953" s="15">
        <v>0</v>
      </c>
      <c r="D953" s="15">
        <v>193</v>
      </c>
      <c r="E953" s="15" t="b">
        <v>0</v>
      </c>
      <c r="F953" s="15" t="b">
        <v>0</v>
      </c>
      <c r="G953" s="33" t="s">
        <v>206</v>
      </c>
      <c r="H953" s="15" t="s">
        <v>2245</v>
      </c>
      <c r="I953" s="33" t="s">
        <v>213</v>
      </c>
      <c r="J953" s="15"/>
      <c r="K953" s="15"/>
      <c r="L953" s="120" t="s">
        <v>220</v>
      </c>
      <c r="M953" s="15" t="s">
        <v>2248</v>
      </c>
      <c r="N953" s="15" t="s">
        <v>2249</v>
      </c>
      <c r="O953" s="15"/>
      <c r="P953" s="15"/>
      <c r="Q953" s="15" t="b">
        <v>0</v>
      </c>
    </row>
    <row r="954" spans="1:17" ht="15" hidden="1" customHeight="1">
      <c r="A954" s="15">
        <v>3873</v>
      </c>
      <c r="B954" s="15">
        <v>953</v>
      </c>
      <c r="C954" s="15">
        <v>0</v>
      </c>
      <c r="D954" s="15">
        <v>193</v>
      </c>
      <c r="E954" s="15" t="b">
        <v>0</v>
      </c>
      <c r="F954" s="15" t="b">
        <v>0</v>
      </c>
      <c r="G954" s="33" t="s">
        <v>206</v>
      </c>
      <c r="H954" s="15" t="s">
        <v>2245</v>
      </c>
      <c r="I954" s="33" t="s">
        <v>216</v>
      </c>
      <c r="J954" s="15"/>
      <c r="K954" s="15"/>
      <c r="L954" s="120" t="s">
        <v>220</v>
      </c>
      <c r="M954" s="15" t="s">
        <v>2250</v>
      </c>
      <c r="N954" s="15" t="s">
        <v>2251</v>
      </c>
      <c r="O954" s="15"/>
      <c r="P954" s="15"/>
      <c r="Q954" s="15" t="b">
        <v>0</v>
      </c>
    </row>
    <row r="955" spans="1:17" ht="15" hidden="1" customHeight="1">
      <c r="A955" s="15">
        <v>3874</v>
      </c>
      <c r="B955" s="15">
        <v>954</v>
      </c>
      <c r="C955" s="15">
        <v>0</v>
      </c>
      <c r="D955" s="15">
        <v>193</v>
      </c>
      <c r="E955" s="15" t="b">
        <v>0</v>
      </c>
      <c r="F955" s="15" t="b">
        <v>0</v>
      </c>
      <c r="G955" s="33" t="s">
        <v>206</v>
      </c>
      <c r="H955" s="15" t="s">
        <v>2252</v>
      </c>
      <c r="I955" s="33" t="s">
        <v>208</v>
      </c>
      <c r="J955" s="15"/>
      <c r="K955" s="15"/>
      <c r="L955" s="120" t="s">
        <v>220</v>
      </c>
      <c r="M955" s="15" t="s">
        <v>2253</v>
      </c>
      <c r="N955" s="15" t="s">
        <v>2254</v>
      </c>
      <c r="O955" s="15"/>
      <c r="P955" s="15"/>
      <c r="Q955" s="15" t="b">
        <v>0</v>
      </c>
    </row>
    <row r="956" spans="1:17" ht="15" hidden="1" customHeight="1">
      <c r="A956" s="15">
        <v>3875</v>
      </c>
      <c r="B956" s="15">
        <v>955</v>
      </c>
      <c r="C956" s="15">
        <v>0</v>
      </c>
      <c r="D956" s="15">
        <v>193</v>
      </c>
      <c r="E956" s="15" t="b">
        <v>0</v>
      </c>
      <c r="F956" s="15" t="b">
        <v>0</v>
      </c>
      <c r="G956" s="33" t="s">
        <v>206</v>
      </c>
      <c r="H956" s="15" t="s">
        <v>2252</v>
      </c>
      <c r="I956" s="33" t="s">
        <v>213</v>
      </c>
      <c r="J956" s="15"/>
      <c r="K956" s="15"/>
      <c r="L956" s="120" t="s">
        <v>220</v>
      </c>
      <c r="M956" s="15" t="s">
        <v>2255</v>
      </c>
      <c r="N956" s="15" t="s">
        <v>2256</v>
      </c>
      <c r="O956" s="15"/>
      <c r="P956" s="15"/>
      <c r="Q956" s="15" t="b">
        <v>0</v>
      </c>
    </row>
    <row r="957" spans="1:17" ht="15" hidden="1" customHeight="1">
      <c r="A957" s="15">
        <v>3876</v>
      </c>
      <c r="B957" s="15">
        <v>956</v>
      </c>
      <c r="C957" s="15">
        <v>0</v>
      </c>
      <c r="D957" s="15">
        <v>193</v>
      </c>
      <c r="E957" s="15" t="b">
        <v>0</v>
      </c>
      <c r="F957" s="15" t="b">
        <v>0</v>
      </c>
      <c r="G957" s="33" t="s">
        <v>206</v>
      </c>
      <c r="H957" s="15" t="s">
        <v>2252</v>
      </c>
      <c r="I957" s="33" t="s">
        <v>216</v>
      </c>
      <c r="J957" s="15"/>
      <c r="K957" s="15"/>
      <c r="L957" s="120" t="s">
        <v>220</v>
      </c>
      <c r="M957" s="15" t="s">
        <v>2257</v>
      </c>
      <c r="N957" s="15" t="s">
        <v>2258</v>
      </c>
      <c r="O957" s="15"/>
      <c r="P957" s="15"/>
      <c r="Q957" s="15" t="b">
        <v>0</v>
      </c>
    </row>
    <row r="958" spans="1:17" ht="15" hidden="1" customHeight="1">
      <c r="A958" s="15">
        <v>3877</v>
      </c>
      <c r="B958" s="15">
        <v>957</v>
      </c>
      <c r="C958" s="15">
        <v>0</v>
      </c>
      <c r="D958" s="15">
        <v>193</v>
      </c>
      <c r="E958" s="15" t="b">
        <v>0</v>
      </c>
      <c r="F958" s="15" t="b">
        <v>0</v>
      </c>
      <c r="G958" s="33" t="s">
        <v>206</v>
      </c>
      <c r="H958" s="15" t="s">
        <v>2259</v>
      </c>
      <c r="I958" s="33" t="s">
        <v>208</v>
      </c>
      <c r="J958" s="15"/>
      <c r="K958" s="15"/>
      <c r="L958" s="120" t="s">
        <v>220</v>
      </c>
      <c r="M958" s="15" t="s">
        <v>2260</v>
      </c>
      <c r="N958" s="15" t="s">
        <v>2261</v>
      </c>
      <c r="O958" s="15"/>
      <c r="P958" s="15"/>
      <c r="Q958" s="15" t="b">
        <v>0</v>
      </c>
    </row>
    <row r="959" spans="1:17" ht="15" hidden="1" customHeight="1">
      <c r="A959" s="15">
        <v>3878</v>
      </c>
      <c r="B959" s="15">
        <v>958</v>
      </c>
      <c r="C959" s="15">
        <v>0</v>
      </c>
      <c r="D959" s="15">
        <v>193</v>
      </c>
      <c r="E959" s="15" t="b">
        <v>0</v>
      </c>
      <c r="F959" s="15" t="b">
        <v>0</v>
      </c>
      <c r="G959" s="33" t="s">
        <v>206</v>
      </c>
      <c r="H959" s="15" t="s">
        <v>2259</v>
      </c>
      <c r="I959" s="33" t="s">
        <v>213</v>
      </c>
      <c r="J959" s="15"/>
      <c r="K959" s="15"/>
      <c r="L959" s="120" t="s">
        <v>220</v>
      </c>
      <c r="M959" s="15" t="s">
        <v>2262</v>
      </c>
      <c r="N959" s="15" t="s">
        <v>2263</v>
      </c>
      <c r="O959" s="15"/>
      <c r="P959" s="15"/>
      <c r="Q959" s="15" t="b">
        <v>0</v>
      </c>
    </row>
    <row r="960" spans="1:17" ht="15" hidden="1" customHeight="1">
      <c r="A960" s="15">
        <v>3879</v>
      </c>
      <c r="B960" s="15">
        <v>959</v>
      </c>
      <c r="C960" s="15">
        <v>0</v>
      </c>
      <c r="D960" s="15">
        <v>193</v>
      </c>
      <c r="E960" s="15" t="b">
        <v>0</v>
      </c>
      <c r="F960" s="15" t="b">
        <v>0</v>
      </c>
      <c r="G960" s="33" t="s">
        <v>206</v>
      </c>
      <c r="H960" s="15" t="s">
        <v>2259</v>
      </c>
      <c r="I960" s="33" t="s">
        <v>216</v>
      </c>
      <c r="J960" s="15"/>
      <c r="K960" s="15"/>
      <c r="L960" s="120" t="s">
        <v>220</v>
      </c>
      <c r="M960" s="15" t="s">
        <v>2264</v>
      </c>
      <c r="N960" s="15" t="s">
        <v>2265</v>
      </c>
      <c r="O960" s="15"/>
      <c r="P960" s="15"/>
      <c r="Q960" s="15" t="b">
        <v>0</v>
      </c>
    </row>
    <row r="961" spans="1:17" ht="15" hidden="1" customHeight="1">
      <c r="A961" s="15">
        <v>3880</v>
      </c>
      <c r="B961" s="15">
        <v>960</v>
      </c>
      <c r="C961" s="15">
        <v>0</v>
      </c>
      <c r="D961" s="15">
        <v>193</v>
      </c>
      <c r="E961" s="15" t="b">
        <v>0</v>
      </c>
      <c r="F961" s="15" t="b">
        <v>0</v>
      </c>
      <c r="G961" s="33" t="s">
        <v>206</v>
      </c>
      <c r="H961" s="15" t="s">
        <v>2266</v>
      </c>
      <c r="I961" s="33" t="s">
        <v>208</v>
      </c>
      <c r="J961" s="15"/>
      <c r="K961" s="15"/>
      <c r="L961" s="120" t="s">
        <v>220</v>
      </c>
      <c r="M961" s="15" t="s">
        <v>2267</v>
      </c>
      <c r="N961" s="15" t="s">
        <v>2268</v>
      </c>
      <c r="O961" s="15"/>
      <c r="P961" s="15"/>
      <c r="Q961" s="15" t="b">
        <v>0</v>
      </c>
    </row>
    <row r="962" spans="1:17" ht="15" hidden="1" customHeight="1">
      <c r="A962" s="15">
        <v>3881</v>
      </c>
      <c r="B962" s="15">
        <v>961</v>
      </c>
      <c r="C962" s="15">
        <v>0</v>
      </c>
      <c r="D962" s="15">
        <v>193</v>
      </c>
      <c r="E962" s="15" t="b">
        <v>0</v>
      </c>
      <c r="F962" s="15" t="b">
        <v>0</v>
      </c>
      <c r="G962" s="33" t="s">
        <v>206</v>
      </c>
      <c r="H962" s="15" t="s">
        <v>2266</v>
      </c>
      <c r="I962" s="33" t="s">
        <v>213</v>
      </c>
      <c r="J962" s="15"/>
      <c r="K962" s="15"/>
      <c r="L962" s="120" t="s">
        <v>220</v>
      </c>
      <c r="M962" s="15" t="s">
        <v>2269</v>
      </c>
      <c r="N962" s="15" t="s">
        <v>2270</v>
      </c>
      <c r="O962" s="15"/>
      <c r="P962" s="15"/>
      <c r="Q962" s="15" t="b">
        <v>0</v>
      </c>
    </row>
    <row r="963" spans="1:17" ht="15" hidden="1" customHeight="1">
      <c r="A963" s="15">
        <v>3882</v>
      </c>
      <c r="B963" s="15">
        <v>962</v>
      </c>
      <c r="C963" s="15">
        <v>0</v>
      </c>
      <c r="D963" s="15">
        <v>193</v>
      </c>
      <c r="E963" s="15" t="b">
        <v>0</v>
      </c>
      <c r="F963" s="15" t="b">
        <v>0</v>
      </c>
      <c r="G963" s="33" t="s">
        <v>206</v>
      </c>
      <c r="H963" s="15" t="s">
        <v>2266</v>
      </c>
      <c r="I963" s="33" t="s">
        <v>216</v>
      </c>
      <c r="J963" s="15"/>
      <c r="K963" s="15"/>
      <c r="L963" s="120" t="s">
        <v>220</v>
      </c>
      <c r="M963" s="15" t="s">
        <v>2271</v>
      </c>
      <c r="N963" s="15" t="s">
        <v>2272</v>
      </c>
      <c r="O963" s="15"/>
      <c r="P963" s="15"/>
      <c r="Q963" s="15" t="b">
        <v>0</v>
      </c>
    </row>
    <row r="964" spans="1:17" ht="15" hidden="1" customHeight="1">
      <c r="A964" s="15">
        <v>3883</v>
      </c>
      <c r="B964" s="15">
        <v>963</v>
      </c>
      <c r="C964" s="15">
        <v>0</v>
      </c>
      <c r="D964" s="15">
        <v>193</v>
      </c>
      <c r="E964" s="15" t="b">
        <v>0</v>
      </c>
      <c r="F964" s="15" t="b">
        <v>0</v>
      </c>
      <c r="G964" s="33" t="s">
        <v>206</v>
      </c>
      <c r="H964" s="15" t="s">
        <v>2273</v>
      </c>
      <c r="I964" s="33" t="s">
        <v>208</v>
      </c>
      <c r="J964" s="15"/>
      <c r="K964" s="15"/>
      <c r="L964" s="120" t="s">
        <v>220</v>
      </c>
      <c r="M964" s="15" t="s">
        <v>2274</v>
      </c>
      <c r="N964" s="15" t="s">
        <v>2275</v>
      </c>
      <c r="O964" s="15"/>
      <c r="P964" s="15"/>
      <c r="Q964" s="15" t="b">
        <v>0</v>
      </c>
    </row>
    <row r="965" spans="1:17" ht="15" hidden="1" customHeight="1">
      <c r="A965" s="15">
        <v>3884</v>
      </c>
      <c r="B965" s="15">
        <v>964</v>
      </c>
      <c r="C965" s="15">
        <v>0</v>
      </c>
      <c r="D965" s="15">
        <v>193</v>
      </c>
      <c r="E965" s="15" t="b">
        <v>0</v>
      </c>
      <c r="F965" s="15" t="b">
        <v>0</v>
      </c>
      <c r="G965" s="33" t="s">
        <v>206</v>
      </c>
      <c r="H965" s="15" t="s">
        <v>2273</v>
      </c>
      <c r="I965" s="33" t="s">
        <v>213</v>
      </c>
      <c r="J965" s="15"/>
      <c r="K965" s="15"/>
      <c r="L965" s="120" t="s">
        <v>220</v>
      </c>
      <c r="M965" s="15" t="s">
        <v>2276</v>
      </c>
      <c r="N965" s="15" t="s">
        <v>2277</v>
      </c>
      <c r="O965" s="15"/>
      <c r="P965" s="15"/>
      <c r="Q965" s="15" t="b">
        <v>0</v>
      </c>
    </row>
    <row r="966" spans="1:17" ht="15" hidden="1" customHeight="1">
      <c r="A966" s="15">
        <v>3885</v>
      </c>
      <c r="B966" s="15">
        <v>965</v>
      </c>
      <c r="C966" s="15">
        <v>0</v>
      </c>
      <c r="D966" s="15">
        <v>193</v>
      </c>
      <c r="E966" s="15" t="b">
        <v>0</v>
      </c>
      <c r="F966" s="15" t="b">
        <v>0</v>
      </c>
      <c r="G966" s="33" t="s">
        <v>206</v>
      </c>
      <c r="H966" s="15" t="s">
        <v>2273</v>
      </c>
      <c r="I966" s="33" t="s">
        <v>216</v>
      </c>
      <c r="J966" s="15"/>
      <c r="K966" s="15"/>
      <c r="L966" s="120" t="s">
        <v>220</v>
      </c>
      <c r="M966" s="15" t="s">
        <v>2278</v>
      </c>
      <c r="N966" s="15" t="s">
        <v>2279</v>
      </c>
      <c r="O966" s="15"/>
      <c r="P966" s="15"/>
      <c r="Q966" s="15" t="b">
        <v>0</v>
      </c>
    </row>
    <row r="967" spans="1:17" ht="15" hidden="1" customHeight="1">
      <c r="A967" s="15">
        <v>3886</v>
      </c>
      <c r="B967" s="15">
        <v>966</v>
      </c>
      <c r="C967" s="15">
        <v>0</v>
      </c>
      <c r="D967" s="15">
        <v>193</v>
      </c>
      <c r="E967" s="15" t="b">
        <v>0</v>
      </c>
      <c r="F967" s="15" t="b">
        <v>0</v>
      </c>
      <c r="G967" s="33" t="s">
        <v>206</v>
      </c>
      <c r="H967" s="15" t="s">
        <v>2280</v>
      </c>
      <c r="I967" s="33" t="s">
        <v>208</v>
      </c>
      <c r="J967" s="15"/>
      <c r="K967" s="15"/>
      <c r="L967" s="120" t="s">
        <v>220</v>
      </c>
      <c r="M967" s="15" t="s">
        <v>2281</v>
      </c>
      <c r="N967" s="15" t="s">
        <v>2282</v>
      </c>
      <c r="O967" s="15"/>
      <c r="P967" s="15"/>
      <c r="Q967" s="15" t="b">
        <v>0</v>
      </c>
    </row>
    <row r="968" spans="1:17" ht="15" hidden="1" customHeight="1">
      <c r="A968" s="15">
        <v>3887</v>
      </c>
      <c r="B968" s="15">
        <v>967</v>
      </c>
      <c r="C968" s="15">
        <v>0</v>
      </c>
      <c r="D968" s="15">
        <v>193</v>
      </c>
      <c r="E968" s="15" t="b">
        <v>0</v>
      </c>
      <c r="F968" s="15" t="b">
        <v>0</v>
      </c>
      <c r="G968" s="33" t="s">
        <v>206</v>
      </c>
      <c r="H968" s="15" t="s">
        <v>2280</v>
      </c>
      <c r="I968" s="33" t="s">
        <v>213</v>
      </c>
      <c r="J968" s="15"/>
      <c r="K968" s="15"/>
      <c r="L968" s="120" t="s">
        <v>220</v>
      </c>
      <c r="M968" s="15" t="s">
        <v>2283</v>
      </c>
      <c r="N968" s="15" t="s">
        <v>2284</v>
      </c>
      <c r="O968" s="15"/>
      <c r="P968" s="15"/>
      <c r="Q968" s="15" t="b">
        <v>0</v>
      </c>
    </row>
    <row r="969" spans="1:17" ht="15" hidden="1" customHeight="1">
      <c r="A969" s="15">
        <v>3888</v>
      </c>
      <c r="B969" s="15">
        <v>968</v>
      </c>
      <c r="C969" s="15">
        <v>0</v>
      </c>
      <c r="D969" s="15">
        <v>193</v>
      </c>
      <c r="E969" s="15" t="b">
        <v>0</v>
      </c>
      <c r="F969" s="15" t="b">
        <v>0</v>
      </c>
      <c r="G969" s="33" t="s">
        <v>206</v>
      </c>
      <c r="H969" s="15" t="s">
        <v>2280</v>
      </c>
      <c r="I969" s="33" t="s">
        <v>216</v>
      </c>
      <c r="J969" s="15"/>
      <c r="K969" s="15"/>
      <c r="L969" s="120" t="s">
        <v>220</v>
      </c>
      <c r="M969" s="15" t="s">
        <v>2285</v>
      </c>
      <c r="N969" s="15" t="s">
        <v>2286</v>
      </c>
      <c r="O969" s="15"/>
      <c r="P969" s="15"/>
      <c r="Q969" s="15" t="b">
        <v>0</v>
      </c>
    </row>
    <row r="970" spans="1:17" ht="15" hidden="1" customHeight="1">
      <c r="A970" s="15">
        <v>3889</v>
      </c>
      <c r="B970" s="15">
        <v>969</v>
      </c>
      <c r="C970" s="15">
        <v>0</v>
      </c>
      <c r="D970" s="15">
        <v>193</v>
      </c>
      <c r="E970" s="15" t="b">
        <v>0</v>
      </c>
      <c r="F970" s="15" t="b">
        <v>0</v>
      </c>
      <c r="G970" s="33" t="s">
        <v>206</v>
      </c>
      <c r="H970" s="15" t="s">
        <v>2287</v>
      </c>
      <c r="I970" s="33" t="s">
        <v>208</v>
      </c>
      <c r="J970" s="15"/>
      <c r="K970" s="15"/>
      <c r="L970" s="120" t="s">
        <v>220</v>
      </c>
      <c r="M970" s="15" t="s">
        <v>2288</v>
      </c>
      <c r="N970" s="15" t="s">
        <v>2289</v>
      </c>
      <c r="O970" s="15"/>
      <c r="P970" s="15"/>
      <c r="Q970" s="15" t="b">
        <v>0</v>
      </c>
    </row>
    <row r="971" spans="1:17" ht="15" hidden="1" customHeight="1">
      <c r="A971" s="15">
        <v>3890</v>
      </c>
      <c r="B971" s="15">
        <v>970</v>
      </c>
      <c r="C971" s="15">
        <v>0</v>
      </c>
      <c r="D971" s="15">
        <v>193</v>
      </c>
      <c r="E971" s="15" t="b">
        <v>0</v>
      </c>
      <c r="F971" s="15" t="b">
        <v>0</v>
      </c>
      <c r="G971" s="33" t="s">
        <v>206</v>
      </c>
      <c r="H971" s="15" t="s">
        <v>2287</v>
      </c>
      <c r="I971" s="33" t="s">
        <v>213</v>
      </c>
      <c r="J971" s="15"/>
      <c r="K971" s="15"/>
      <c r="L971" s="120" t="s">
        <v>220</v>
      </c>
      <c r="M971" s="15" t="s">
        <v>2290</v>
      </c>
      <c r="N971" s="15" t="s">
        <v>2291</v>
      </c>
      <c r="O971" s="15"/>
      <c r="P971" s="15"/>
      <c r="Q971" s="15" t="b">
        <v>0</v>
      </c>
    </row>
    <row r="972" spans="1:17" ht="15" hidden="1" customHeight="1">
      <c r="A972" s="15">
        <v>3891</v>
      </c>
      <c r="B972" s="15">
        <v>971</v>
      </c>
      <c r="C972" s="15">
        <v>0</v>
      </c>
      <c r="D972" s="15">
        <v>193</v>
      </c>
      <c r="E972" s="15" t="b">
        <v>0</v>
      </c>
      <c r="F972" s="15" t="b">
        <v>0</v>
      </c>
      <c r="G972" s="33" t="s">
        <v>206</v>
      </c>
      <c r="H972" s="15" t="s">
        <v>2287</v>
      </c>
      <c r="I972" s="33" t="s">
        <v>216</v>
      </c>
      <c r="J972" s="15"/>
      <c r="K972" s="15"/>
      <c r="L972" s="120" t="s">
        <v>220</v>
      </c>
      <c r="M972" s="15" t="s">
        <v>2292</v>
      </c>
      <c r="N972" s="15" t="s">
        <v>2293</v>
      </c>
      <c r="O972" s="15"/>
      <c r="P972" s="15"/>
      <c r="Q972" s="15" t="b">
        <v>0</v>
      </c>
    </row>
    <row r="973" spans="1:17" ht="15" hidden="1" customHeight="1">
      <c r="A973" s="15">
        <v>3892</v>
      </c>
      <c r="B973" s="15">
        <v>972</v>
      </c>
      <c r="C973" s="15">
        <v>0</v>
      </c>
      <c r="D973" s="15">
        <v>193</v>
      </c>
      <c r="E973" s="15" t="b">
        <v>0</v>
      </c>
      <c r="F973" s="15" t="b">
        <v>0</v>
      </c>
      <c r="G973" s="33" t="s">
        <v>206</v>
      </c>
      <c r="H973" s="15" t="s">
        <v>2294</v>
      </c>
      <c r="I973" s="33" t="s">
        <v>208</v>
      </c>
      <c r="J973" s="15"/>
      <c r="K973" s="15"/>
      <c r="L973" s="120" t="s">
        <v>220</v>
      </c>
      <c r="M973" s="15" t="s">
        <v>2295</v>
      </c>
      <c r="N973" s="15" t="s">
        <v>2296</v>
      </c>
      <c r="O973" s="15"/>
      <c r="P973" s="15"/>
      <c r="Q973" s="15" t="b">
        <v>0</v>
      </c>
    </row>
    <row r="974" spans="1:17" ht="15" hidden="1" customHeight="1">
      <c r="A974" s="15">
        <v>3893</v>
      </c>
      <c r="B974" s="15">
        <v>973</v>
      </c>
      <c r="C974" s="15">
        <v>0</v>
      </c>
      <c r="D974" s="15">
        <v>193</v>
      </c>
      <c r="E974" s="15" t="b">
        <v>0</v>
      </c>
      <c r="F974" s="15" t="b">
        <v>0</v>
      </c>
      <c r="G974" s="33" t="s">
        <v>206</v>
      </c>
      <c r="H974" s="15" t="s">
        <v>2294</v>
      </c>
      <c r="I974" s="33" t="s">
        <v>213</v>
      </c>
      <c r="J974" s="15"/>
      <c r="K974" s="15"/>
      <c r="L974" s="120" t="s">
        <v>220</v>
      </c>
      <c r="M974" s="15" t="s">
        <v>2297</v>
      </c>
      <c r="N974" s="15" t="s">
        <v>2298</v>
      </c>
      <c r="O974" s="15"/>
      <c r="P974" s="15"/>
      <c r="Q974" s="15" t="b">
        <v>0</v>
      </c>
    </row>
    <row r="975" spans="1:17" ht="15" hidden="1" customHeight="1">
      <c r="A975" s="15">
        <v>3894</v>
      </c>
      <c r="B975" s="15">
        <v>974</v>
      </c>
      <c r="C975" s="15">
        <v>0</v>
      </c>
      <c r="D975" s="15">
        <v>193</v>
      </c>
      <c r="E975" s="15" t="b">
        <v>0</v>
      </c>
      <c r="F975" s="15" t="b">
        <v>0</v>
      </c>
      <c r="G975" s="33" t="s">
        <v>206</v>
      </c>
      <c r="H975" s="15" t="s">
        <v>2294</v>
      </c>
      <c r="I975" s="33" t="s">
        <v>216</v>
      </c>
      <c r="J975" s="15"/>
      <c r="K975" s="15"/>
      <c r="L975" s="120" t="s">
        <v>220</v>
      </c>
      <c r="M975" s="15" t="s">
        <v>2299</v>
      </c>
      <c r="N975" s="15" t="s">
        <v>2300</v>
      </c>
      <c r="O975" s="15"/>
      <c r="P975" s="15"/>
      <c r="Q975" s="15" t="b">
        <v>0</v>
      </c>
    </row>
    <row r="976" spans="1:17" ht="15" hidden="1" customHeight="1">
      <c r="A976" s="15">
        <v>3895</v>
      </c>
      <c r="B976" s="15">
        <v>975</v>
      </c>
      <c r="C976" s="15">
        <v>0</v>
      </c>
      <c r="D976" s="15">
        <v>193</v>
      </c>
      <c r="E976" s="15" t="b">
        <v>0</v>
      </c>
      <c r="F976" s="15" t="b">
        <v>0</v>
      </c>
      <c r="G976" s="33" t="s">
        <v>206</v>
      </c>
      <c r="H976" s="15" t="s">
        <v>2301</v>
      </c>
      <c r="I976" s="33" t="s">
        <v>208</v>
      </c>
      <c r="J976" s="15"/>
      <c r="K976" s="15"/>
      <c r="L976" s="120" t="s">
        <v>220</v>
      </c>
      <c r="M976" s="15" t="s">
        <v>2302</v>
      </c>
      <c r="N976" s="15" t="s">
        <v>2303</v>
      </c>
      <c r="O976" s="15"/>
      <c r="P976" s="15"/>
      <c r="Q976" s="15" t="b">
        <v>0</v>
      </c>
    </row>
    <row r="977" spans="1:17" ht="15" hidden="1" customHeight="1">
      <c r="A977" s="15">
        <v>3896</v>
      </c>
      <c r="B977" s="15">
        <v>976</v>
      </c>
      <c r="C977" s="15">
        <v>0</v>
      </c>
      <c r="D977" s="15">
        <v>193</v>
      </c>
      <c r="E977" s="15" t="b">
        <v>0</v>
      </c>
      <c r="F977" s="15" t="b">
        <v>0</v>
      </c>
      <c r="G977" s="33" t="s">
        <v>206</v>
      </c>
      <c r="H977" s="15" t="s">
        <v>2301</v>
      </c>
      <c r="I977" s="33" t="s">
        <v>213</v>
      </c>
      <c r="J977" s="15"/>
      <c r="K977" s="15"/>
      <c r="L977" s="120" t="s">
        <v>220</v>
      </c>
      <c r="M977" s="15" t="s">
        <v>2304</v>
      </c>
      <c r="N977" s="15" t="s">
        <v>2305</v>
      </c>
      <c r="O977" s="15"/>
      <c r="P977" s="15"/>
      <c r="Q977" s="15" t="b">
        <v>0</v>
      </c>
    </row>
    <row r="978" spans="1:17" ht="15" hidden="1" customHeight="1">
      <c r="A978" s="15">
        <v>3897</v>
      </c>
      <c r="B978" s="15">
        <v>977</v>
      </c>
      <c r="C978" s="15">
        <v>0</v>
      </c>
      <c r="D978" s="15">
        <v>193</v>
      </c>
      <c r="E978" s="15" t="b">
        <v>0</v>
      </c>
      <c r="F978" s="15" t="b">
        <v>0</v>
      </c>
      <c r="G978" s="33" t="s">
        <v>206</v>
      </c>
      <c r="H978" s="15" t="s">
        <v>2301</v>
      </c>
      <c r="I978" s="33" t="s">
        <v>216</v>
      </c>
      <c r="J978" s="15"/>
      <c r="K978" s="15"/>
      <c r="L978" s="120" t="s">
        <v>220</v>
      </c>
      <c r="M978" s="15" t="s">
        <v>2306</v>
      </c>
      <c r="N978" s="15" t="s">
        <v>2307</v>
      </c>
      <c r="O978" s="15"/>
      <c r="P978" s="15"/>
      <c r="Q978" s="15" t="b">
        <v>0</v>
      </c>
    </row>
    <row r="979" spans="1:17" ht="15" hidden="1" customHeight="1">
      <c r="A979" s="15">
        <v>3898</v>
      </c>
      <c r="B979" s="15">
        <v>978</v>
      </c>
      <c r="C979" s="15">
        <v>0</v>
      </c>
      <c r="D979" s="15">
        <v>193</v>
      </c>
      <c r="E979" s="15" t="b">
        <v>0</v>
      </c>
      <c r="F979" s="15" t="b">
        <v>0</v>
      </c>
      <c r="G979" s="33" t="s">
        <v>206</v>
      </c>
      <c r="H979" s="15" t="s">
        <v>2308</v>
      </c>
      <c r="I979" s="33" t="s">
        <v>208</v>
      </c>
      <c r="J979" s="15"/>
      <c r="K979" s="15"/>
      <c r="L979" s="120" t="s">
        <v>220</v>
      </c>
      <c r="M979" s="15" t="s">
        <v>2309</v>
      </c>
      <c r="N979" s="15" t="s">
        <v>2310</v>
      </c>
      <c r="O979" s="15"/>
      <c r="P979" s="15"/>
      <c r="Q979" s="15" t="b">
        <v>0</v>
      </c>
    </row>
    <row r="980" spans="1:17" ht="15" hidden="1" customHeight="1">
      <c r="A980" s="15">
        <v>3899</v>
      </c>
      <c r="B980" s="15">
        <v>979</v>
      </c>
      <c r="C980" s="15">
        <v>0</v>
      </c>
      <c r="D980" s="15">
        <v>193</v>
      </c>
      <c r="E980" s="15" t="b">
        <v>0</v>
      </c>
      <c r="F980" s="15" t="b">
        <v>0</v>
      </c>
      <c r="G980" s="33" t="s">
        <v>206</v>
      </c>
      <c r="H980" s="15" t="s">
        <v>2308</v>
      </c>
      <c r="I980" s="33" t="s">
        <v>213</v>
      </c>
      <c r="J980" s="15"/>
      <c r="K980" s="15"/>
      <c r="L980" s="120" t="s">
        <v>220</v>
      </c>
      <c r="M980" s="15" t="s">
        <v>2311</v>
      </c>
      <c r="N980" s="15" t="s">
        <v>2312</v>
      </c>
      <c r="O980" s="15"/>
      <c r="P980" s="15"/>
      <c r="Q980" s="15" t="b">
        <v>0</v>
      </c>
    </row>
    <row r="981" spans="1:17" ht="15" hidden="1" customHeight="1">
      <c r="A981" s="15">
        <v>3900</v>
      </c>
      <c r="B981" s="15">
        <v>980</v>
      </c>
      <c r="C981" s="15">
        <v>0</v>
      </c>
      <c r="D981" s="15">
        <v>193</v>
      </c>
      <c r="E981" s="15" t="b">
        <v>0</v>
      </c>
      <c r="F981" s="15" t="b">
        <v>0</v>
      </c>
      <c r="G981" s="33" t="s">
        <v>206</v>
      </c>
      <c r="H981" s="15" t="s">
        <v>2308</v>
      </c>
      <c r="I981" s="33" t="s">
        <v>216</v>
      </c>
      <c r="J981" s="15"/>
      <c r="K981" s="15"/>
      <c r="L981" s="120" t="s">
        <v>220</v>
      </c>
      <c r="M981" s="15" t="s">
        <v>2313</v>
      </c>
      <c r="N981" s="15" t="s">
        <v>2314</v>
      </c>
      <c r="O981" s="15"/>
      <c r="P981" s="15"/>
      <c r="Q981" s="15" t="b">
        <v>0</v>
      </c>
    </row>
    <row r="982" spans="1:17" ht="15" hidden="1" customHeight="1">
      <c r="A982" s="15">
        <v>3901</v>
      </c>
      <c r="B982" s="15">
        <v>981</v>
      </c>
      <c r="C982" s="15">
        <v>0</v>
      </c>
      <c r="D982" s="15">
        <v>193</v>
      </c>
      <c r="E982" s="15" t="b">
        <v>0</v>
      </c>
      <c r="F982" s="15" t="b">
        <v>0</v>
      </c>
      <c r="G982" s="33" t="s">
        <v>206</v>
      </c>
      <c r="H982" s="15" t="s">
        <v>2315</v>
      </c>
      <c r="I982" s="33" t="s">
        <v>208</v>
      </c>
      <c r="J982" s="15"/>
      <c r="K982" s="15"/>
      <c r="L982" s="120" t="s">
        <v>220</v>
      </c>
      <c r="M982" s="15" t="s">
        <v>2316</v>
      </c>
      <c r="N982" s="15" t="s">
        <v>2317</v>
      </c>
      <c r="O982" s="15"/>
      <c r="P982" s="15"/>
      <c r="Q982" s="15" t="b">
        <v>0</v>
      </c>
    </row>
    <row r="983" spans="1:17" ht="15" hidden="1" customHeight="1">
      <c r="A983" s="15">
        <v>3902</v>
      </c>
      <c r="B983" s="15">
        <v>982</v>
      </c>
      <c r="C983" s="15">
        <v>0</v>
      </c>
      <c r="D983" s="15">
        <v>193</v>
      </c>
      <c r="E983" s="15" t="b">
        <v>0</v>
      </c>
      <c r="F983" s="15" t="b">
        <v>0</v>
      </c>
      <c r="G983" s="33" t="s">
        <v>206</v>
      </c>
      <c r="H983" s="15" t="s">
        <v>2315</v>
      </c>
      <c r="I983" s="33" t="s">
        <v>213</v>
      </c>
      <c r="J983" s="15"/>
      <c r="K983" s="15"/>
      <c r="L983" s="120" t="s">
        <v>220</v>
      </c>
      <c r="M983" s="15" t="s">
        <v>2318</v>
      </c>
      <c r="N983" s="15" t="s">
        <v>2319</v>
      </c>
      <c r="O983" s="15"/>
      <c r="P983" s="15"/>
      <c r="Q983" s="15" t="b">
        <v>0</v>
      </c>
    </row>
    <row r="984" spans="1:17" ht="15" hidden="1" customHeight="1">
      <c r="A984" s="15">
        <v>3903</v>
      </c>
      <c r="B984" s="15">
        <v>983</v>
      </c>
      <c r="C984" s="15">
        <v>0</v>
      </c>
      <c r="D984" s="15">
        <v>193</v>
      </c>
      <c r="E984" s="15" t="b">
        <v>0</v>
      </c>
      <c r="F984" s="15" t="b">
        <v>0</v>
      </c>
      <c r="G984" s="33" t="s">
        <v>206</v>
      </c>
      <c r="H984" s="15" t="s">
        <v>2315</v>
      </c>
      <c r="I984" s="33" t="s">
        <v>216</v>
      </c>
      <c r="J984" s="15"/>
      <c r="K984" s="15"/>
      <c r="L984" s="120" t="s">
        <v>220</v>
      </c>
      <c r="M984" s="15" t="s">
        <v>2320</v>
      </c>
      <c r="N984" s="15" t="s">
        <v>2321</v>
      </c>
      <c r="O984" s="15"/>
      <c r="P984" s="15"/>
      <c r="Q984" s="15" t="b">
        <v>0</v>
      </c>
    </row>
    <row r="985" spans="1:17" ht="15" hidden="1" customHeight="1">
      <c r="A985" s="15">
        <v>3904</v>
      </c>
      <c r="B985" s="15">
        <v>984</v>
      </c>
      <c r="C985" s="15">
        <v>0</v>
      </c>
      <c r="D985" s="15">
        <v>193</v>
      </c>
      <c r="E985" s="15" t="b">
        <v>0</v>
      </c>
      <c r="F985" s="15" t="b">
        <v>0</v>
      </c>
      <c r="G985" s="33" t="s">
        <v>206</v>
      </c>
      <c r="H985" s="15" t="s">
        <v>2322</v>
      </c>
      <c r="I985" s="33" t="s">
        <v>208</v>
      </c>
      <c r="J985" s="15"/>
      <c r="K985" s="15"/>
      <c r="L985" s="120" t="s">
        <v>220</v>
      </c>
      <c r="M985" s="15" t="s">
        <v>2323</v>
      </c>
      <c r="N985" s="15" t="s">
        <v>2324</v>
      </c>
      <c r="O985" s="15"/>
      <c r="P985" s="15"/>
      <c r="Q985" s="15" t="b">
        <v>0</v>
      </c>
    </row>
    <row r="986" spans="1:17" ht="15" hidden="1" customHeight="1">
      <c r="A986" s="15">
        <v>3905</v>
      </c>
      <c r="B986" s="15">
        <v>985</v>
      </c>
      <c r="C986" s="15">
        <v>0</v>
      </c>
      <c r="D986" s="15">
        <v>193</v>
      </c>
      <c r="E986" s="15" t="b">
        <v>0</v>
      </c>
      <c r="F986" s="15" t="b">
        <v>0</v>
      </c>
      <c r="G986" s="33" t="s">
        <v>206</v>
      </c>
      <c r="H986" s="15" t="s">
        <v>2322</v>
      </c>
      <c r="I986" s="33" t="s">
        <v>213</v>
      </c>
      <c r="J986" s="15"/>
      <c r="K986" s="15"/>
      <c r="L986" s="120" t="s">
        <v>220</v>
      </c>
      <c r="M986" s="15" t="s">
        <v>2325</v>
      </c>
      <c r="N986" s="15" t="s">
        <v>2326</v>
      </c>
      <c r="O986" s="15"/>
      <c r="P986" s="15"/>
      <c r="Q986" s="15" t="b">
        <v>0</v>
      </c>
    </row>
    <row r="987" spans="1:17" ht="15" hidden="1" customHeight="1">
      <c r="A987" s="15">
        <v>3906</v>
      </c>
      <c r="B987" s="15">
        <v>986</v>
      </c>
      <c r="C987" s="15">
        <v>0</v>
      </c>
      <c r="D987" s="15">
        <v>193</v>
      </c>
      <c r="E987" s="15" t="b">
        <v>0</v>
      </c>
      <c r="F987" s="15" t="b">
        <v>0</v>
      </c>
      <c r="G987" s="33" t="s">
        <v>206</v>
      </c>
      <c r="H987" s="15" t="s">
        <v>2322</v>
      </c>
      <c r="I987" s="33" t="s">
        <v>216</v>
      </c>
      <c r="J987" s="15"/>
      <c r="K987" s="15"/>
      <c r="L987" s="120" t="s">
        <v>220</v>
      </c>
      <c r="M987" s="15" t="s">
        <v>2327</v>
      </c>
      <c r="N987" s="15" t="s">
        <v>2328</v>
      </c>
      <c r="O987" s="15"/>
      <c r="P987" s="15"/>
      <c r="Q987" s="15" t="b">
        <v>0</v>
      </c>
    </row>
    <row r="988" spans="1:17" ht="15" hidden="1" customHeight="1">
      <c r="A988" s="15">
        <v>3907</v>
      </c>
      <c r="B988" s="15">
        <v>987</v>
      </c>
      <c r="C988" s="15">
        <v>0</v>
      </c>
      <c r="D988" s="15">
        <v>193</v>
      </c>
      <c r="E988" s="15" t="b">
        <v>0</v>
      </c>
      <c r="F988" s="15" t="b">
        <v>0</v>
      </c>
      <c r="G988" s="33" t="s">
        <v>206</v>
      </c>
      <c r="H988" s="15" t="s">
        <v>2329</v>
      </c>
      <c r="I988" s="33" t="s">
        <v>208</v>
      </c>
      <c r="J988" s="15"/>
      <c r="K988" s="15"/>
      <c r="L988" s="120" t="s">
        <v>220</v>
      </c>
      <c r="M988" s="15" t="s">
        <v>2330</v>
      </c>
      <c r="N988" s="15" t="s">
        <v>2331</v>
      </c>
      <c r="O988" s="15"/>
      <c r="P988" s="15"/>
      <c r="Q988" s="15" t="b">
        <v>0</v>
      </c>
    </row>
    <row r="989" spans="1:17" ht="15" hidden="1" customHeight="1">
      <c r="A989" s="15">
        <v>3908</v>
      </c>
      <c r="B989" s="15">
        <v>988</v>
      </c>
      <c r="C989" s="15">
        <v>0</v>
      </c>
      <c r="D989" s="15">
        <v>193</v>
      </c>
      <c r="E989" s="15" t="b">
        <v>0</v>
      </c>
      <c r="F989" s="15" t="b">
        <v>0</v>
      </c>
      <c r="G989" s="33" t="s">
        <v>206</v>
      </c>
      <c r="H989" s="15" t="s">
        <v>2329</v>
      </c>
      <c r="I989" s="33" t="s">
        <v>213</v>
      </c>
      <c r="J989" s="15"/>
      <c r="K989" s="15"/>
      <c r="L989" s="120" t="s">
        <v>220</v>
      </c>
      <c r="M989" s="15" t="s">
        <v>2332</v>
      </c>
      <c r="N989" s="15" t="s">
        <v>2333</v>
      </c>
      <c r="O989" s="15"/>
      <c r="P989" s="15"/>
      <c r="Q989" s="15" t="b">
        <v>0</v>
      </c>
    </row>
    <row r="990" spans="1:17" ht="15" hidden="1" customHeight="1">
      <c r="A990" s="15">
        <v>3909</v>
      </c>
      <c r="B990" s="15">
        <v>989</v>
      </c>
      <c r="C990" s="15">
        <v>0</v>
      </c>
      <c r="D990" s="15">
        <v>193</v>
      </c>
      <c r="E990" s="15" t="b">
        <v>0</v>
      </c>
      <c r="F990" s="15" t="b">
        <v>0</v>
      </c>
      <c r="G990" s="33" t="s">
        <v>206</v>
      </c>
      <c r="H990" s="15" t="s">
        <v>2329</v>
      </c>
      <c r="I990" s="33" t="s">
        <v>216</v>
      </c>
      <c r="J990" s="15"/>
      <c r="K990" s="15"/>
      <c r="L990" s="120" t="s">
        <v>220</v>
      </c>
      <c r="M990" s="15" t="s">
        <v>2334</v>
      </c>
      <c r="N990" s="15" t="s">
        <v>2335</v>
      </c>
      <c r="O990" s="15"/>
      <c r="P990" s="15"/>
      <c r="Q990" s="15" t="b">
        <v>0</v>
      </c>
    </row>
    <row r="991" spans="1:17" ht="15" hidden="1" customHeight="1">
      <c r="A991" s="15">
        <v>3910</v>
      </c>
      <c r="B991" s="15">
        <v>990</v>
      </c>
      <c r="C991" s="15">
        <v>0</v>
      </c>
      <c r="D991" s="15">
        <v>193</v>
      </c>
      <c r="E991" s="15" t="b">
        <v>0</v>
      </c>
      <c r="F991" s="15" t="b">
        <v>0</v>
      </c>
      <c r="G991" s="33" t="s">
        <v>206</v>
      </c>
      <c r="H991" s="15" t="s">
        <v>2336</v>
      </c>
      <c r="I991" s="33" t="s">
        <v>208</v>
      </c>
      <c r="J991" s="15"/>
      <c r="K991" s="15"/>
      <c r="L991" s="120" t="s">
        <v>220</v>
      </c>
      <c r="M991" s="15" t="s">
        <v>2337</v>
      </c>
      <c r="N991" s="15" t="s">
        <v>2338</v>
      </c>
      <c r="O991" s="15"/>
      <c r="P991" s="15"/>
      <c r="Q991" s="15" t="b">
        <v>0</v>
      </c>
    </row>
    <row r="992" spans="1:17" ht="15" hidden="1" customHeight="1">
      <c r="A992" s="15">
        <v>3911</v>
      </c>
      <c r="B992" s="15">
        <v>991</v>
      </c>
      <c r="C992" s="15">
        <v>0</v>
      </c>
      <c r="D992" s="15">
        <v>193</v>
      </c>
      <c r="E992" s="15" t="b">
        <v>0</v>
      </c>
      <c r="F992" s="15" t="b">
        <v>0</v>
      </c>
      <c r="G992" s="33" t="s">
        <v>206</v>
      </c>
      <c r="H992" s="15" t="s">
        <v>2336</v>
      </c>
      <c r="I992" s="33" t="s">
        <v>213</v>
      </c>
      <c r="J992" s="15"/>
      <c r="K992" s="15"/>
      <c r="L992" s="120" t="s">
        <v>220</v>
      </c>
      <c r="M992" s="15" t="s">
        <v>2339</v>
      </c>
      <c r="N992" s="15" t="s">
        <v>2340</v>
      </c>
      <c r="O992" s="15"/>
      <c r="P992" s="15"/>
      <c r="Q992" s="15" t="b">
        <v>0</v>
      </c>
    </row>
    <row r="993" spans="1:17" ht="15" hidden="1" customHeight="1">
      <c r="A993" s="15">
        <v>3912</v>
      </c>
      <c r="B993" s="15">
        <v>992</v>
      </c>
      <c r="C993" s="15">
        <v>0</v>
      </c>
      <c r="D993" s="15">
        <v>193</v>
      </c>
      <c r="E993" s="15" t="b">
        <v>0</v>
      </c>
      <c r="F993" s="15" t="b">
        <v>0</v>
      </c>
      <c r="G993" s="33" t="s">
        <v>206</v>
      </c>
      <c r="H993" s="15" t="s">
        <v>2336</v>
      </c>
      <c r="I993" s="33" t="s">
        <v>216</v>
      </c>
      <c r="J993" s="15"/>
      <c r="K993" s="15"/>
      <c r="L993" s="120" t="s">
        <v>220</v>
      </c>
      <c r="M993" s="15" t="s">
        <v>2341</v>
      </c>
      <c r="N993" s="15" t="s">
        <v>2342</v>
      </c>
      <c r="O993" s="15"/>
      <c r="P993" s="15"/>
      <c r="Q993" s="15" t="b">
        <v>0</v>
      </c>
    </row>
    <row r="994" spans="1:17" ht="15" hidden="1" customHeight="1">
      <c r="A994" s="15">
        <v>3913</v>
      </c>
      <c r="B994" s="15">
        <v>993</v>
      </c>
      <c r="C994" s="15">
        <v>0</v>
      </c>
      <c r="D994" s="15">
        <v>193</v>
      </c>
      <c r="E994" s="15" t="b">
        <v>0</v>
      </c>
      <c r="F994" s="15" t="b">
        <v>0</v>
      </c>
      <c r="G994" s="33" t="s">
        <v>206</v>
      </c>
      <c r="H994" s="15" t="s">
        <v>2343</v>
      </c>
      <c r="I994" s="33" t="s">
        <v>208</v>
      </c>
      <c r="J994" s="15"/>
      <c r="K994" s="15"/>
      <c r="L994" s="120" t="s">
        <v>220</v>
      </c>
      <c r="M994" s="15" t="s">
        <v>2344</v>
      </c>
      <c r="N994" s="15" t="s">
        <v>2345</v>
      </c>
      <c r="O994" s="15"/>
      <c r="P994" s="15"/>
      <c r="Q994" s="15" t="b">
        <v>0</v>
      </c>
    </row>
    <row r="995" spans="1:17" ht="15" hidden="1" customHeight="1">
      <c r="A995" s="15">
        <v>3914</v>
      </c>
      <c r="B995" s="15">
        <v>994</v>
      </c>
      <c r="C995" s="15">
        <v>0</v>
      </c>
      <c r="D995" s="15">
        <v>193</v>
      </c>
      <c r="E995" s="15" t="b">
        <v>0</v>
      </c>
      <c r="F995" s="15" t="b">
        <v>0</v>
      </c>
      <c r="G995" s="33" t="s">
        <v>206</v>
      </c>
      <c r="H995" s="15" t="s">
        <v>2343</v>
      </c>
      <c r="I995" s="33" t="s">
        <v>213</v>
      </c>
      <c r="J995" s="15"/>
      <c r="K995" s="15"/>
      <c r="L995" s="120" t="s">
        <v>220</v>
      </c>
      <c r="M995" s="15" t="s">
        <v>2346</v>
      </c>
      <c r="N995" s="15" t="s">
        <v>2347</v>
      </c>
      <c r="O995" s="15"/>
      <c r="P995" s="15"/>
      <c r="Q995" s="15" t="b">
        <v>0</v>
      </c>
    </row>
    <row r="996" spans="1:17" ht="15" hidden="1" customHeight="1">
      <c r="A996" s="15">
        <v>3915</v>
      </c>
      <c r="B996" s="15">
        <v>995</v>
      </c>
      <c r="C996" s="15">
        <v>0</v>
      </c>
      <c r="D996" s="15">
        <v>193</v>
      </c>
      <c r="E996" s="15" t="b">
        <v>0</v>
      </c>
      <c r="F996" s="15" t="b">
        <v>0</v>
      </c>
      <c r="G996" s="33" t="s">
        <v>206</v>
      </c>
      <c r="H996" s="15" t="s">
        <v>2343</v>
      </c>
      <c r="I996" s="33" t="s">
        <v>216</v>
      </c>
      <c r="J996" s="15"/>
      <c r="K996" s="15"/>
      <c r="L996" s="120" t="s">
        <v>220</v>
      </c>
      <c r="M996" s="15" t="s">
        <v>2348</v>
      </c>
      <c r="N996" s="15" t="s">
        <v>2349</v>
      </c>
      <c r="O996" s="15"/>
      <c r="P996" s="15"/>
      <c r="Q996" s="15" t="b">
        <v>0</v>
      </c>
    </row>
    <row r="997" spans="1:17" ht="15" hidden="1" customHeight="1">
      <c r="A997" s="15">
        <v>3916</v>
      </c>
      <c r="B997" s="15">
        <v>996</v>
      </c>
      <c r="C997" s="15">
        <v>0</v>
      </c>
      <c r="D997" s="15">
        <v>193</v>
      </c>
      <c r="E997" s="15" t="b">
        <v>0</v>
      </c>
      <c r="F997" s="15" t="b">
        <v>0</v>
      </c>
      <c r="G997" s="33" t="s">
        <v>206</v>
      </c>
      <c r="H997" s="15" t="s">
        <v>2350</v>
      </c>
      <c r="I997" s="33" t="s">
        <v>208</v>
      </c>
      <c r="J997" s="15"/>
      <c r="K997" s="15"/>
      <c r="L997" s="120" t="s">
        <v>220</v>
      </c>
      <c r="M997" s="15" t="s">
        <v>2351</v>
      </c>
      <c r="N997" s="15" t="s">
        <v>2352</v>
      </c>
      <c r="O997" s="15"/>
      <c r="P997" s="15"/>
      <c r="Q997" s="15" t="b">
        <v>0</v>
      </c>
    </row>
    <row r="998" spans="1:17" ht="15" hidden="1" customHeight="1">
      <c r="A998" s="15">
        <v>3917</v>
      </c>
      <c r="B998" s="15">
        <v>997</v>
      </c>
      <c r="C998" s="15">
        <v>0</v>
      </c>
      <c r="D998" s="15">
        <v>193</v>
      </c>
      <c r="E998" s="15" t="b">
        <v>0</v>
      </c>
      <c r="F998" s="15" t="b">
        <v>0</v>
      </c>
      <c r="G998" s="33" t="s">
        <v>206</v>
      </c>
      <c r="H998" s="15" t="s">
        <v>2350</v>
      </c>
      <c r="I998" s="33" t="s">
        <v>213</v>
      </c>
      <c r="J998" s="15"/>
      <c r="K998" s="15"/>
      <c r="L998" s="120" t="s">
        <v>220</v>
      </c>
      <c r="M998" s="15" t="s">
        <v>2353</v>
      </c>
      <c r="N998" s="15" t="s">
        <v>2354</v>
      </c>
      <c r="O998" s="15"/>
      <c r="P998" s="15"/>
      <c r="Q998" s="15" t="b">
        <v>0</v>
      </c>
    </row>
    <row r="999" spans="1:17" ht="15" hidden="1" customHeight="1">
      <c r="A999" s="15">
        <v>3918</v>
      </c>
      <c r="B999" s="15">
        <v>998</v>
      </c>
      <c r="C999" s="15">
        <v>0</v>
      </c>
      <c r="D999" s="15">
        <v>193</v>
      </c>
      <c r="E999" s="15" t="b">
        <v>0</v>
      </c>
      <c r="F999" s="15" t="b">
        <v>0</v>
      </c>
      <c r="G999" s="33" t="s">
        <v>206</v>
      </c>
      <c r="H999" s="15" t="s">
        <v>2350</v>
      </c>
      <c r="I999" s="33" t="s">
        <v>216</v>
      </c>
      <c r="J999" s="15"/>
      <c r="K999" s="15"/>
      <c r="L999" s="120" t="s">
        <v>220</v>
      </c>
      <c r="M999" s="15" t="s">
        <v>2355</v>
      </c>
      <c r="N999" s="15" t="s">
        <v>2356</v>
      </c>
      <c r="O999" s="15"/>
      <c r="P999" s="15"/>
      <c r="Q999" s="15" t="b">
        <v>0</v>
      </c>
    </row>
    <row r="1000" spans="1:17" ht="15" hidden="1" customHeight="1">
      <c r="A1000" s="15">
        <v>3919</v>
      </c>
      <c r="B1000" s="15">
        <v>999</v>
      </c>
      <c r="C1000" s="15">
        <v>0</v>
      </c>
      <c r="D1000" s="15">
        <v>193</v>
      </c>
      <c r="E1000" s="15" t="b">
        <v>0</v>
      </c>
      <c r="F1000" s="15" t="b">
        <v>0</v>
      </c>
      <c r="G1000" s="33" t="s">
        <v>206</v>
      </c>
      <c r="H1000" s="15" t="s">
        <v>2357</v>
      </c>
      <c r="I1000" s="33" t="s">
        <v>208</v>
      </c>
      <c r="J1000" s="15"/>
      <c r="K1000" s="15"/>
      <c r="L1000" s="120" t="s">
        <v>220</v>
      </c>
      <c r="M1000" s="15" t="s">
        <v>2358</v>
      </c>
      <c r="N1000" s="15" t="s">
        <v>2359</v>
      </c>
      <c r="O1000" s="15"/>
      <c r="P1000" s="15"/>
      <c r="Q1000" s="15" t="b">
        <v>0</v>
      </c>
    </row>
    <row r="1001" spans="1:17" ht="15" hidden="1" customHeight="1">
      <c r="A1001" s="15">
        <v>3920</v>
      </c>
      <c r="B1001" s="15">
        <v>1000</v>
      </c>
      <c r="C1001" s="15">
        <v>0</v>
      </c>
      <c r="D1001" s="15">
        <v>193</v>
      </c>
      <c r="E1001" s="15" t="b">
        <v>0</v>
      </c>
      <c r="F1001" s="15" t="b">
        <v>0</v>
      </c>
      <c r="G1001" s="33" t="s">
        <v>206</v>
      </c>
      <c r="H1001" s="15" t="s">
        <v>2357</v>
      </c>
      <c r="I1001" s="33" t="s">
        <v>213</v>
      </c>
      <c r="J1001" s="15"/>
      <c r="K1001" s="15"/>
      <c r="L1001" s="120" t="s">
        <v>220</v>
      </c>
      <c r="M1001" s="15" t="s">
        <v>2360</v>
      </c>
      <c r="N1001" s="15" t="s">
        <v>2361</v>
      </c>
      <c r="O1001" s="15"/>
      <c r="P1001" s="15"/>
      <c r="Q1001" s="15" t="b">
        <v>0</v>
      </c>
    </row>
    <row r="1002" spans="1:17" ht="15" hidden="1" customHeight="1">
      <c r="A1002" s="15">
        <v>3921</v>
      </c>
      <c r="B1002" s="15">
        <v>1001</v>
      </c>
      <c r="C1002" s="15">
        <v>0</v>
      </c>
      <c r="D1002" s="15">
        <v>193</v>
      </c>
      <c r="E1002" s="15" t="b">
        <v>0</v>
      </c>
      <c r="F1002" s="15" t="b">
        <v>0</v>
      </c>
      <c r="G1002" s="33" t="s">
        <v>206</v>
      </c>
      <c r="H1002" s="15" t="s">
        <v>2357</v>
      </c>
      <c r="I1002" s="33" t="s">
        <v>216</v>
      </c>
      <c r="J1002" s="15"/>
      <c r="K1002" s="15"/>
      <c r="L1002" s="120" t="s">
        <v>220</v>
      </c>
      <c r="M1002" s="15" t="s">
        <v>2362</v>
      </c>
      <c r="N1002" s="15" t="s">
        <v>2363</v>
      </c>
      <c r="O1002" s="15"/>
      <c r="P1002" s="15"/>
      <c r="Q1002" s="15" t="b">
        <v>0</v>
      </c>
    </row>
    <row r="1003" spans="1:17" ht="15" hidden="1" customHeight="1">
      <c r="A1003" s="15">
        <v>3922</v>
      </c>
      <c r="B1003" s="15">
        <v>1002</v>
      </c>
      <c r="C1003" s="15">
        <v>0</v>
      </c>
      <c r="D1003" s="15">
        <v>193</v>
      </c>
      <c r="E1003" s="15" t="b">
        <v>0</v>
      </c>
      <c r="F1003" s="15" t="b">
        <v>0</v>
      </c>
      <c r="G1003" s="33" t="s">
        <v>206</v>
      </c>
      <c r="H1003" s="15" t="s">
        <v>2364</v>
      </c>
      <c r="I1003" s="33" t="s">
        <v>208</v>
      </c>
      <c r="J1003" s="15"/>
      <c r="K1003" s="15"/>
      <c r="L1003" s="120" t="s">
        <v>220</v>
      </c>
      <c r="M1003" s="15" t="s">
        <v>2365</v>
      </c>
      <c r="N1003" s="15" t="s">
        <v>2366</v>
      </c>
      <c r="O1003" s="15"/>
      <c r="P1003" s="15"/>
      <c r="Q1003" s="15" t="b">
        <v>0</v>
      </c>
    </row>
    <row r="1004" spans="1:17" ht="15" hidden="1" customHeight="1">
      <c r="A1004" s="15">
        <v>3923</v>
      </c>
      <c r="B1004" s="15">
        <v>1003</v>
      </c>
      <c r="C1004" s="15">
        <v>0</v>
      </c>
      <c r="D1004" s="15">
        <v>193</v>
      </c>
      <c r="E1004" s="15" t="b">
        <v>0</v>
      </c>
      <c r="F1004" s="15" t="b">
        <v>0</v>
      </c>
      <c r="G1004" s="33" t="s">
        <v>206</v>
      </c>
      <c r="H1004" s="15" t="s">
        <v>2364</v>
      </c>
      <c r="I1004" s="33" t="s">
        <v>213</v>
      </c>
      <c r="J1004" s="15"/>
      <c r="K1004" s="15"/>
      <c r="L1004" s="120" t="s">
        <v>220</v>
      </c>
      <c r="M1004" s="15" t="s">
        <v>2367</v>
      </c>
      <c r="N1004" s="15" t="s">
        <v>2368</v>
      </c>
      <c r="O1004" s="15"/>
      <c r="P1004" s="15"/>
      <c r="Q1004" s="15" t="b">
        <v>0</v>
      </c>
    </row>
    <row r="1005" spans="1:17" ht="15" hidden="1" customHeight="1">
      <c r="A1005" s="15">
        <v>3924</v>
      </c>
      <c r="B1005" s="15">
        <v>1004</v>
      </c>
      <c r="C1005" s="15">
        <v>0</v>
      </c>
      <c r="D1005" s="15">
        <v>193</v>
      </c>
      <c r="E1005" s="15" t="b">
        <v>0</v>
      </c>
      <c r="F1005" s="15" t="b">
        <v>0</v>
      </c>
      <c r="G1005" s="33" t="s">
        <v>206</v>
      </c>
      <c r="H1005" s="15" t="s">
        <v>2364</v>
      </c>
      <c r="I1005" s="33" t="s">
        <v>216</v>
      </c>
      <c r="J1005" s="15"/>
      <c r="K1005" s="15"/>
      <c r="L1005" s="120" t="s">
        <v>220</v>
      </c>
      <c r="M1005" s="15" t="s">
        <v>2369</v>
      </c>
      <c r="N1005" s="15" t="s">
        <v>2370</v>
      </c>
      <c r="O1005" s="15"/>
      <c r="P1005" s="15"/>
      <c r="Q1005" s="15" t="b">
        <v>0</v>
      </c>
    </row>
    <row r="1006" spans="1:17" ht="15" hidden="1" customHeight="1">
      <c r="A1006" s="15">
        <v>3925</v>
      </c>
      <c r="B1006" s="15">
        <v>1005</v>
      </c>
      <c r="C1006" s="15">
        <v>0</v>
      </c>
      <c r="D1006" s="15">
        <v>193</v>
      </c>
      <c r="E1006" s="15" t="b">
        <v>0</v>
      </c>
      <c r="F1006" s="15" t="b">
        <v>0</v>
      </c>
      <c r="G1006" s="33" t="s">
        <v>206</v>
      </c>
      <c r="H1006" s="15" t="s">
        <v>2371</v>
      </c>
      <c r="I1006" s="33" t="s">
        <v>208</v>
      </c>
      <c r="J1006" s="15"/>
      <c r="K1006" s="15"/>
      <c r="L1006" s="120" t="s">
        <v>220</v>
      </c>
      <c r="M1006" s="15" t="s">
        <v>2372</v>
      </c>
      <c r="N1006" s="15" t="s">
        <v>2373</v>
      </c>
      <c r="O1006" s="15"/>
      <c r="P1006" s="15"/>
      <c r="Q1006" s="15" t="b">
        <v>0</v>
      </c>
    </row>
    <row r="1007" spans="1:17" ht="15" hidden="1" customHeight="1">
      <c r="A1007" s="15">
        <v>3926</v>
      </c>
      <c r="B1007" s="15">
        <v>1006</v>
      </c>
      <c r="C1007" s="15">
        <v>0</v>
      </c>
      <c r="D1007" s="15">
        <v>193</v>
      </c>
      <c r="E1007" s="15" t="b">
        <v>0</v>
      </c>
      <c r="F1007" s="15" t="b">
        <v>0</v>
      </c>
      <c r="G1007" s="33" t="s">
        <v>206</v>
      </c>
      <c r="H1007" s="15" t="s">
        <v>2371</v>
      </c>
      <c r="I1007" s="33" t="s">
        <v>213</v>
      </c>
      <c r="J1007" s="15"/>
      <c r="K1007" s="15"/>
      <c r="L1007" s="120" t="s">
        <v>220</v>
      </c>
      <c r="M1007" s="15" t="s">
        <v>2374</v>
      </c>
      <c r="N1007" s="15" t="s">
        <v>2375</v>
      </c>
      <c r="O1007" s="15"/>
      <c r="P1007" s="15"/>
      <c r="Q1007" s="15" t="b">
        <v>0</v>
      </c>
    </row>
    <row r="1008" spans="1:17" ht="15" hidden="1" customHeight="1">
      <c r="A1008" s="15">
        <v>3927</v>
      </c>
      <c r="B1008" s="15">
        <v>1007</v>
      </c>
      <c r="C1008" s="15">
        <v>0</v>
      </c>
      <c r="D1008" s="15">
        <v>193</v>
      </c>
      <c r="E1008" s="15" t="b">
        <v>0</v>
      </c>
      <c r="F1008" s="15" t="b">
        <v>0</v>
      </c>
      <c r="G1008" s="33" t="s">
        <v>206</v>
      </c>
      <c r="H1008" s="15" t="s">
        <v>2371</v>
      </c>
      <c r="I1008" s="33" t="s">
        <v>216</v>
      </c>
      <c r="J1008" s="15"/>
      <c r="K1008" s="15"/>
      <c r="L1008" s="120" t="s">
        <v>220</v>
      </c>
      <c r="M1008" s="15" t="s">
        <v>2376</v>
      </c>
      <c r="N1008" s="15" t="s">
        <v>2377</v>
      </c>
      <c r="O1008" s="15"/>
      <c r="P1008" s="15"/>
      <c r="Q1008" s="15" t="b">
        <v>0</v>
      </c>
    </row>
    <row r="1009" spans="1:17" ht="15" hidden="1" customHeight="1">
      <c r="A1009" s="15">
        <v>3928</v>
      </c>
      <c r="B1009" s="15">
        <v>1008</v>
      </c>
      <c r="C1009" s="15">
        <v>0</v>
      </c>
      <c r="D1009" s="15">
        <v>193</v>
      </c>
      <c r="E1009" s="15" t="b">
        <v>0</v>
      </c>
      <c r="F1009" s="15" t="b">
        <v>0</v>
      </c>
      <c r="G1009" s="33" t="s">
        <v>206</v>
      </c>
      <c r="H1009" s="15" t="s">
        <v>2378</v>
      </c>
      <c r="I1009" s="33" t="s">
        <v>208</v>
      </c>
      <c r="J1009" s="15"/>
      <c r="K1009" s="15"/>
      <c r="L1009" s="120" t="s">
        <v>220</v>
      </c>
      <c r="M1009" s="15" t="s">
        <v>2379</v>
      </c>
      <c r="N1009" s="15" t="s">
        <v>2380</v>
      </c>
      <c r="O1009" s="15"/>
      <c r="P1009" s="15"/>
      <c r="Q1009" s="15" t="b">
        <v>0</v>
      </c>
    </row>
    <row r="1010" spans="1:17" ht="15" hidden="1" customHeight="1">
      <c r="A1010" s="15">
        <v>3929</v>
      </c>
      <c r="B1010" s="15">
        <v>1009</v>
      </c>
      <c r="C1010" s="15">
        <v>0</v>
      </c>
      <c r="D1010" s="15">
        <v>193</v>
      </c>
      <c r="E1010" s="15" t="b">
        <v>0</v>
      </c>
      <c r="F1010" s="15" t="b">
        <v>0</v>
      </c>
      <c r="G1010" s="33" t="s">
        <v>206</v>
      </c>
      <c r="H1010" s="15" t="s">
        <v>2378</v>
      </c>
      <c r="I1010" s="33" t="s">
        <v>213</v>
      </c>
      <c r="J1010" s="15"/>
      <c r="K1010" s="15"/>
      <c r="L1010" s="120" t="s">
        <v>220</v>
      </c>
      <c r="M1010" s="15" t="s">
        <v>2381</v>
      </c>
      <c r="N1010" s="15" t="s">
        <v>2382</v>
      </c>
      <c r="O1010" s="15"/>
      <c r="P1010" s="15"/>
      <c r="Q1010" s="15" t="b">
        <v>0</v>
      </c>
    </row>
    <row r="1011" spans="1:17" ht="15" hidden="1" customHeight="1">
      <c r="A1011" s="15">
        <v>3930</v>
      </c>
      <c r="B1011" s="15">
        <v>1010</v>
      </c>
      <c r="C1011" s="15">
        <v>0</v>
      </c>
      <c r="D1011" s="15">
        <v>193</v>
      </c>
      <c r="E1011" s="15" t="b">
        <v>0</v>
      </c>
      <c r="F1011" s="15" t="b">
        <v>0</v>
      </c>
      <c r="G1011" s="33" t="s">
        <v>206</v>
      </c>
      <c r="H1011" s="15" t="s">
        <v>2378</v>
      </c>
      <c r="I1011" s="33" t="s">
        <v>216</v>
      </c>
      <c r="J1011" s="15"/>
      <c r="K1011" s="15"/>
      <c r="L1011" s="120" t="s">
        <v>220</v>
      </c>
      <c r="M1011" s="15" t="s">
        <v>2383</v>
      </c>
      <c r="N1011" s="15" t="s">
        <v>2384</v>
      </c>
      <c r="O1011" s="15"/>
      <c r="P1011" s="15"/>
      <c r="Q1011" s="15" t="b">
        <v>0</v>
      </c>
    </row>
    <row r="1012" spans="1:17" ht="15" hidden="1" customHeight="1">
      <c r="A1012" s="15">
        <v>3931</v>
      </c>
      <c r="B1012" s="15">
        <v>1011</v>
      </c>
      <c r="C1012" s="15">
        <v>0</v>
      </c>
      <c r="D1012" s="15">
        <v>193</v>
      </c>
      <c r="E1012" s="15" t="b">
        <v>0</v>
      </c>
      <c r="F1012" s="15" t="b">
        <v>0</v>
      </c>
      <c r="G1012" s="33" t="s">
        <v>206</v>
      </c>
      <c r="H1012" s="15" t="s">
        <v>2385</v>
      </c>
      <c r="I1012" s="33" t="s">
        <v>208</v>
      </c>
      <c r="J1012" s="15"/>
      <c r="K1012" s="15"/>
      <c r="L1012" s="120" t="s">
        <v>220</v>
      </c>
      <c r="M1012" s="15" t="s">
        <v>2386</v>
      </c>
      <c r="N1012" s="15" t="s">
        <v>2387</v>
      </c>
      <c r="O1012" s="15"/>
      <c r="P1012" s="15"/>
      <c r="Q1012" s="15" t="b">
        <v>0</v>
      </c>
    </row>
    <row r="1013" spans="1:17" ht="15" hidden="1" customHeight="1">
      <c r="A1013" s="15">
        <v>3932</v>
      </c>
      <c r="B1013" s="15">
        <v>1012</v>
      </c>
      <c r="C1013" s="15">
        <v>0</v>
      </c>
      <c r="D1013" s="15">
        <v>193</v>
      </c>
      <c r="E1013" s="15" t="b">
        <v>0</v>
      </c>
      <c r="F1013" s="15" t="b">
        <v>0</v>
      </c>
      <c r="G1013" s="33" t="s">
        <v>206</v>
      </c>
      <c r="H1013" s="15" t="s">
        <v>2385</v>
      </c>
      <c r="I1013" s="33" t="s">
        <v>213</v>
      </c>
      <c r="J1013" s="15"/>
      <c r="K1013" s="15"/>
      <c r="L1013" s="120" t="s">
        <v>220</v>
      </c>
      <c r="M1013" s="15" t="s">
        <v>2388</v>
      </c>
      <c r="N1013" s="15" t="s">
        <v>2389</v>
      </c>
      <c r="O1013" s="15"/>
      <c r="P1013" s="15"/>
      <c r="Q1013" s="15" t="b">
        <v>0</v>
      </c>
    </row>
    <row r="1014" spans="1:17" ht="15" hidden="1" customHeight="1">
      <c r="A1014" s="15">
        <v>3933</v>
      </c>
      <c r="B1014" s="15">
        <v>1013</v>
      </c>
      <c r="C1014" s="15">
        <v>0</v>
      </c>
      <c r="D1014" s="15">
        <v>193</v>
      </c>
      <c r="E1014" s="15" t="b">
        <v>0</v>
      </c>
      <c r="F1014" s="15" t="b">
        <v>0</v>
      </c>
      <c r="G1014" s="33" t="s">
        <v>206</v>
      </c>
      <c r="H1014" s="15" t="s">
        <v>2385</v>
      </c>
      <c r="I1014" s="33" t="s">
        <v>216</v>
      </c>
      <c r="J1014" s="15"/>
      <c r="K1014" s="15"/>
      <c r="L1014" s="120" t="s">
        <v>220</v>
      </c>
      <c r="M1014" s="15" t="s">
        <v>2390</v>
      </c>
      <c r="N1014" s="15" t="s">
        <v>2391</v>
      </c>
      <c r="O1014" s="15"/>
      <c r="P1014" s="15"/>
      <c r="Q1014" s="15" t="b">
        <v>0</v>
      </c>
    </row>
    <row r="1015" spans="1:17" ht="15" hidden="1" customHeight="1">
      <c r="A1015" s="15">
        <v>3934</v>
      </c>
      <c r="B1015" s="15">
        <v>1014</v>
      </c>
      <c r="C1015" s="15">
        <v>0</v>
      </c>
      <c r="D1015" s="15">
        <v>193</v>
      </c>
      <c r="E1015" s="15" t="b">
        <v>0</v>
      </c>
      <c r="F1015" s="15" t="b">
        <v>0</v>
      </c>
      <c r="G1015" s="33" t="s">
        <v>206</v>
      </c>
      <c r="H1015" s="15" t="s">
        <v>2392</v>
      </c>
      <c r="I1015" s="33" t="s">
        <v>208</v>
      </c>
      <c r="J1015" s="15"/>
      <c r="K1015" s="15"/>
      <c r="L1015" s="120" t="s">
        <v>220</v>
      </c>
      <c r="M1015" s="15" t="s">
        <v>2393</v>
      </c>
      <c r="N1015" s="15" t="s">
        <v>2394</v>
      </c>
      <c r="O1015" s="15"/>
      <c r="P1015" s="15"/>
      <c r="Q1015" s="15" t="b">
        <v>0</v>
      </c>
    </row>
    <row r="1016" spans="1:17" ht="15" hidden="1" customHeight="1">
      <c r="A1016" s="15">
        <v>3935</v>
      </c>
      <c r="B1016" s="15">
        <v>1015</v>
      </c>
      <c r="C1016" s="15">
        <v>0</v>
      </c>
      <c r="D1016" s="15">
        <v>193</v>
      </c>
      <c r="E1016" s="15" t="b">
        <v>0</v>
      </c>
      <c r="F1016" s="15" t="b">
        <v>0</v>
      </c>
      <c r="G1016" s="33" t="s">
        <v>206</v>
      </c>
      <c r="H1016" s="15" t="s">
        <v>2392</v>
      </c>
      <c r="I1016" s="33" t="s">
        <v>213</v>
      </c>
      <c r="J1016" s="15"/>
      <c r="K1016" s="15"/>
      <c r="L1016" s="120" t="s">
        <v>220</v>
      </c>
      <c r="M1016" s="15" t="s">
        <v>2395</v>
      </c>
      <c r="N1016" s="15" t="s">
        <v>2396</v>
      </c>
      <c r="O1016" s="15"/>
      <c r="P1016" s="15"/>
      <c r="Q1016" s="15" t="b">
        <v>0</v>
      </c>
    </row>
    <row r="1017" spans="1:17" ht="15" hidden="1" customHeight="1">
      <c r="A1017" s="15">
        <v>3936</v>
      </c>
      <c r="B1017" s="15">
        <v>1016</v>
      </c>
      <c r="C1017" s="15">
        <v>0</v>
      </c>
      <c r="D1017" s="15">
        <v>193</v>
      </c>
      <c r="E1017" s="15" t="b">
        <v>0</v>
      </c>
      <c r="F1017" s="15" t="b">
        <v>0</v>
      </c>
      <c r="G1017" s="33" t="s">
        <v>206</v>
      </c>
      <c r="H1017" s="15" t="s">
        <v>2392</v>
      </c>
      <c r="I1017" s="33" t="s">
        <v>216</v>
      </c>
      <c r="J1017" s="15"/>
      <c r="K1017" s="15"/>
      <c r="L1017" s="120" t="s">
        <v>220</v>
      </c>
      <c r="M1017" s="15" t="s">
        <v>2397</v>
      </c>
      <c r="N1017" s="15" t="s">
        <v>2398</v>
      </c>
      <c r="O1017" s="15"/>
      <c r="P1017" s="15"/>
      <c r="Q1017" s="15" t="b">
        <v>0</v>
      </c>
    </row>
    <row r="1018" spans="1:17" ht="15" hidden="1" customHeight="1">
      <c r="A1018" s="15">
        <v>3937</v>
      </c>
      <c r="B1018" s="15">
        <v>1017</v>
      </c>
      <c r="C1018" s="15">
        <v>0</v>
      </c>
      <c r="D1018" s="15">
        <v>193</v>
      </c>
      <c r="E1018" s="15" t="b">
        <v>0</v>
      </c>
      <c r="F1018" s="15" t="b">
        <v>0</v>
      </c>
      <c r="G1018" s="33" t="s">
        <v>206</v>
      </c>
      <c r="H1018" s="15" t="s">
        <v>2399</v>
      </c>
      <c r="I1018" s="33" t="s">
        <v>208</v>
      </c>
      <c r="J1018" s="15"/>
      <c r="K1018" s="15"/>
      <c r="L1018" s="120" t="s">
        <v>220</v>
      </c>
      <c r="M1018" s="15" t="s">
        <v>2400</v>
      </c>
      <c r="N1018" s="15" t="s">
        <v>2401</v>
      </c>
      <c r="O1018" s="15"/>
      <c r="P1018" s="15"/>
      <c r="Q1018" s="15" t="b">
        <v>0</v>
      </c>
    </row>
    <row r="1019" spans="1:17" ht="15" hidden="1" customHeight="1">
      <c r="A1019" s="15">
        <v>3938</v>
      </c>
      <c r="B1019" s="15">
        <v>1018</v>
      </c>
      <c r="C1019" s="15">
        <v>0</v>
      </c>
      <c r="D1019" s="15">
        <v>193</v>
      </c>
      <c r="E1019" s="15" t="b">
        <v>0</v>
      </c>
      <c r="F1019" s="15" t="b">
        <v>0</v>
      </c>
      <c r="G1019" s="33" t="s">
        <v>206</v>
      </c>
      <c r="H1019" s="15" t="s">
        <v>2399</v>
      </c>
      <c r="I1019" s="33" t="s">
        <v>213</v>
      </c>
      <c r="J1019" s="15"/>
      <c r="K1019" s="15"/>
      <c r="L1019" s="120" t="s">
        <v>220</v>
      </c>
      <c r="M1019" s="15" t="s">
        <v>2402</v>
      </c>
      <c r="N1019" s="15" t="s">
        <v>2403</v>
      </c>
      <c r="O1019" s="15"/>
      <c r="P1019" s="15"/>
      <c r="Q1019" s="15" t="b">
        <v>0</v>
      </c>
    </row>
    <row r="1020" spans="1:17" ht="15" hidden="1" customHeight="1">
      <c r="A1020" s="15">
        <v>3939</v>
      </c>
      <c r="B1020" s="15">
        <v>1019</v>
      </c>
      <c r="C1020" s="15">
        <v>0</v>
      </c>
      <c r="D1020" s="15">
        <v>193</v>
      </c>
      <c r="E1020" s="15" t="b">
        <v>0</v>
      </c>
      <c r="F1020" s="15" t="b">
        <v>0</v>
      </c>
      <c r="G1020" s="33" t="s">
        <v>206</v>
      </c>
      <c r="H1020" s="15" t="s">
        <v>2399</v>
      </c>
      <c r="I1020" s="33" t="s">
        <v>216</v>
      </c>
      <c r="J1020" s="15"/>
      <c r="K1020" s="15"/>
      <c r="L1020" s="120" t="s">
        <v>220</v>
      </c>
      <c r="M1020" s="15" t="s">
        <v>2404</v>
      </c>
      <c r="N1020" s="15" t="s">
        <v>2405</v>
      </c>
      <c r="O1020" s="15"/>
      <c r="P1020" s="15"/>
      <c r="Q1020" s="15" t="b">
        <v>0</v>
      </c>
    </row>
    <row r="1021" spans="1:17" ht="15" hidden="1" customHeight="1">
      <c r="A1021" s="15">
        <v>3940</v>
      </c>
      <c r="B1021" s="15">
        <v>1020</v>
      </c>
      <c r="C1021" s="15">
        <v>0</v>
      </c>
      <c r="D1021" s="15">
        <v>193</v>
      </c>
      <c r="E1021" s="15" t="b">
        <v>0</v>
      </c>
      <c r="F1021" s="15" t="b">
        <v>0</v>
      </c>
      <c r="G1021" s="33" t="s">
        <v>206</v>
      </c>
      <c r="H1021" s="15" t="s">
        <v>2406</v>
      </c>
      <c r="I1021" s="33" t="s">
        <v>208</v>
      </c>
      <c r="J1021" s="15"/>
      <c r="K1021" s="15"/>
      <c r="L1021" s="120" t="s">
        <v>220</v>
      </c>
      <c r="M1021" s="15" t="s">
        <v>2407</v>
      </c>
      <c r="N1021" s="15" t="s">
        <v>2408</v>
      </c>
      <c r="O1021" s="15"/>
      <c r="P1021" s="15"/>
      <c r="Q1021" s="15" t="b">
        <v>0</v>
      </c>
    </row>
    <row r="1022" spans="1:17" ht="15" hidden="1" customHeight="1">
      <c r="A1022" s="15">
        <v>3941</v>
      </c>
      <c r="B1022" s="15">
        <v>1021</v>
      </c>
      <c r="C1022" s="15">
        <v>0</v>
      </c>
      <c r="D1022" s="15">
        <v>193</v>
      </c>
      <c r="E1022" s="15" t="b">
        <v>0</v>
      </c>
      <c r="F1022" s="15" t="b">
        <v>0</v>
      </c>
      <c r="G1022" s="33" t="s">
        <v>206</v>
      </c>
      <c r="H1022" s="15" t="s">
        <v>2406</v>
      </c>
      <c r="I1022" s="33" t="s">
        <v>213</v>
      </c>
      <c r="J1022" s="15"/>
      <c r="K1022" s="15"/>
      <c r="L1022" s="120" t="s">
        <v>220</v>
      </c>
      <c r="M1022" s="15" t="s">
        <v>2409</v>
      </c>
      <c r="N1022" s="15" t="s">
        <v>2410</v>
      </c>
      <c r="O1022" s="15"/>
      <c r="P1022" s="15"/>
      <c r="Q1022" s="15" t="b">
        <v>0</v>
      </c>
    </row>
    <row r="1023" spans="1:17" ht="15" hidden="1" customHeight="1">
      <c r="A1023" s="15">
        <v>3942</v>
      </c>
      <c r="B1023" s="15">
        <v>1022</v>
      </c>
      <c r="C1023" s="15">
        <v>0</v>
      </c>
      <c r="D1023" s="15">
        <v>193</v>
      </c>
      <c r="E1023" s="15" t="b">
        <v>0</v>
      </c>
      <c r="F1023" s="15" t="b">
        <v>0</v>
      </c>
      <c r="G1023" s="33" t="s">
        <v>206</v>
      </c>
      <c r="H1023" s="15" t="s">
        <v>2406</v>
      </c>
      <c r="I1023" s="33" t="s">
        <v>216</v>
      </c>
      <c r="J1023" s="15"/>
      <c r="K1023" s="15"/>
      <c r="L1023" s="120" t="s">
        <v>220</v>
      </c>
      <c r="M1023" s="15" t="s">
        <v>2411</v>
      </c>
      <c r="N1023" s="15" t="s">
        <v>2412</v>
      </c>
      <c r="O1023" s="15"/>
      <c r="P1023" s="15"/>
      <c r="Q1023" s="15" t="b">
        <v>0</v>
      </c>
    </row>
    <row r="1024" spans="1:17" ht="15" hidden="1" customHeight="1">
      <c r="A1024" s="15">
        <v>3943</v>
      </c>
      <c r="B1024" s="15">
        <v>1023</v>
      </c>
      <c r="C1024" s="15">
        <v>0</v>
      </c>
      <c r="D1024" s="15">
        <v>193</v>
      </c>
      <c r="E1024" s="15" t="b">
        <v>0</v>
      </c>
      <c r="F1024" s="15" t="b">
        <v>0</v>
      </c>
      <c r="G1024" s="33" t="s">
        <v>206</v>
      </c>
      <c r="H1024" s="15" t="s">
        <v>2413</v>
      </c>
      <c r="I1024" s="33" t="s">
        <v>208</v>
      </c>
      <c r="J1024" s="15"/>
      <c r="K1024" s="15"/>
      <c r="L1024" s="120" t="s">
        <v>220</v>
      </c>
      <c r="M1024" s="15" t="s">
        <v>2414</v>
      </c>
      <c r="N1024" s="15" t="s">
        <v>2415</v>
      </c>
      <c r="O1024" s="15"/>
      <c r="P1024" s="15"/>
      <c r="Q1024" s="15" t="b">
        <v>0</v>
      </c>
    </row>
    <row r="1025" spans="1:17" ht="15" hidden="1" customHeight="1">
      <c r="A1025" s="15">
        <v>3944</v>
      </c>
      <c r="B1025" s="15">
        <v>1024</v>
      </c>
      <c r="C1025" s="15">
        <v>0</v>
      </c>
      <c r="D1025" s="15">
        <v>193</v>
      </c>
      <c r="E1025" s="15" t="b">
        <v>0</v>
      </c>
      <c r="F1025" s="15" t="b">
        <v>0</v>
      </c>
      <c r="G1025" s="33" t="s">
        <v>206</v>
      </c>
      <c r="H1025" s="15" t="s">
        <v>2413</v>
      </c>
      <c r="I1025" s="33" t="s">
        <v>213</v>
      </c>
      <c r="J1025" s="15"/>
      <c r="K1025" s="15"/>
      <c r="L1025" s="120" t="s">
        <v>220</v>
      </c>
      <c r="M1025" s="15" t="s">
        <v>2416</v>
      </c>
      <c r="N1025" s="15" t="s">
        <v>2417</v>
      </c>
      <c r="O1025" s="15"/>
      <c r="P1025" s="15"/>
      <c r="Q1025" s="15" t="b">
        <v>0</v>
      </c>
    </row>
    <row r="1026" spans="1:17" ht="15" hidden="1" customHeight="1">
      <c r="A1026" s="15">
        <v>3945</v>
      </c>
      <c r="B1026" s="15">
        <v>1025</v>
      </c>
      <c r="C1026" s="15">
        <v>0</v>
      </c>
      <c r="D1026" s="15">
        <v>193</v>
      </c>
      <c r="E1026" s="15" t="b">
        <v>0</v>
      </c>
      <c r="F1026" s="15" t="b">
        <v>0</v>
      </c>
      <c r="G1026" s="33" t="s">
        <v>206</v>
      </c>
      <c r="H1026" s="15" t="s">
        <v>2413</v>
      </c>
      <c r="I1026" s="33" t="s">
        <v>216</v>
      </c>
      <c r="J1026" s="15"/>
      <c r="K1026" s="15"/>
      <c r="L1026" s="120" t="s">
        <v>220</v>
      </c>
      <c r="M1026" s="15" t="s">
        <v>2418</v>
      </c>
      <c r="N1026" s="15" t="s">
        <v>2419</v>
      </c>
      <c r="O1026" s="15"/>
      <c r="P1026" s="15"/>
      <c r="Q1026" s="15" t="b">
        <v>0</v>
      </c>
    </row>
    <row r="1027" spans="1:17" ht="15" hidden="1" customHeight="1">
      <c r="A1027" s="15">
        <v>3946</v>
      </c>
      <c r="B1027" s="15">
        <v>1026</v>
      </c>
      <c r="C1027" s="15">
        <v>0</v>
      </c>
      <c r="D1027" s="15">
        <v>193</v>
      </c>
      <c r="E1027" s="15" t="b">
        <v>0</v>
      </c>
      <c r="F1027" s="15" t="b">
        <v>0</v>
      </c>
      <c r="G1027" s="33" t="s">
        <v>206</v>
      </c>
      <c r="H1027" s="15" t="s">
        <v>2420</v>
      </c>
      <c r="I1027" s="33" t="s">
        <v>208</v>
      </c>
      <c r="J1027" s="15"/>
      <c r="K1027" s="15"/>
      <c r="L1027" s="120" t="s">
        <v>220</v>
      </c>
      <c r="M1027" s="15" t="s">
        <v>2421</v>
      </c>
      <c r="N1027" s="15" t="s">
        <v>2422</v>
      </c>
      <c r="O1027" s="15"/>
      <c r="P1027" s="15"/>
      <c r="Q1027" s="15" t="b">
        <v>0</v>
      </c>
    </row>
    <row r="1028" spans="1:17" ht="15" hidden="1" customHeight="1">
      <c r="A1028" s="15">
        <v>3947</v>
      </c>
      <c r="B1028" s="15">
        <v>1027</v>
      </c>
      <c r="C1028" s="15">
        <v>0</v>
      </c>
      <c r="D1028" s="15">
        <v>193</v>
      </c>
      <c r="E1028" s="15" t="b">
        <v>0</v>
      </c>
      <c r="F1028" s="15" t="b">
        <v>0</v>
      </c>
      <c r="G1028" s="33" t="s">
        <v>206</v>
      </c>
      <c r="H1028" s="15" t="s">
        <v>2420</v>
      </c>
      <c r="I1028" s="33" t="s">
        <v>213</v>
      </c>
      <c r="J1028" s="15"/>
      <c r="K1028" s="15"/>
      <c r="L1028" s="120" t="s">
        <v>220</v>
      </c>
      <c r="M1028" s="15" t="s">
        <v>2423</v>
      </c>
      <c r="N1028" s="15" t="s">
        <v>2424</v>
      </c>
      <c r="O1028" s="15"/>
      <c r="P1028" s="15"/>
      <c r="Q1028" s="15" t="b">
        <v>0</v>
      </c>
    </row>
    <row r="1029" spans="1:17" ht="15" hidden="1" customHeight="1">
      <c r="A1029" s="15">
        <v>3948</v>
      </c>
      <c r="B1029" s="15">
        <v>1028</v>
      </c>
      <c r="C1029" s="15">
        <v>0</v>
      </c>
      <c r="D1029" s="15">
        <v>193</v>
      </c>
      <c r="E1029" s="15" t="b">
        <v>0</v>
      </c>
      <c r="F1029" s="15" t="b">
        <v>0</v>
      </c>
      <c r="G1029" s="33" t="s">
        <v>206</v>
      </c>
      <c r="H1029" s="15" t="s">
        <v>2420</v>
      </c>
      <c r="I1029" s="33" t="s">
        <v>216</v>
      </c>
      <c r="J1029" s="15"/>
      <c r="K1029" s="15"/>
      <c r="L1029" s="120" t="s">
        <v>220</v>
      </c>
      <c r="M1029" s="15" t="s">
        <v>2425</v>
      </c>
      <c r="N1029" s="15" t="s">
        <v>2426</v>
      </c>
      <c r="O1029" s="15"/>
      <c r="P1029" s="15"/>
      <c r="Q1029" s="15" t="b">
        <v>0</v>
      </c>
    </row>
    <row r="1030" spans="1:17" ht="15" hidden="1" customHeight="1">
      <c r="A1030" s="15">
        <v>3949</v>
      </c>
      <c r="B1030" s="15">
        <v>1029</v>
      </c>
      <c r="C1030" s="15">
        <v>0</v>
      </c>
      <c r="D1030" s="15">
        <v>193</v>
      </c>
      <c r="E1030" s="15" t="b">
        <v>0</v>
      </c>
      <c r="F1030" s="15" t="b">
        <v>0</v>
      </c>
      <c r="G1030" s="33" t="s">
        <v>206</v>
      </c>
      <c r="H1030" s="15" t="s">
        <v>2427</v>
      </c>
      <c r="I1030" s="33" t="s">
        <v>208</v>
      </c>
      <c r="J1030" s="15"/>
      <c r="K1030" s="15"/>
      <c r="L1030" s="120" t="s">
        <v>220</v>
      </c>
      <c r="M1030" s="15" t="s">
        <v>2428</v>
      </c>
      <c r="N1030" s="15" t="s">
        <v>2429</v>
      </c>
      <c r="O1030" s="15"/>
      <c r="P1030" s="15"/>
      <c r="Q1030" s="15" t="b">
        <v>0</v>
      </c>
    </row>
    <row r="1031" spans="1:17" ht="15" hidden="1" customHeight="1">
      <c r="A1031" s="15">
        <v>3950</v>
      </c>
      <c r="B1031" s="15">
        <v>1030</v>
      </c>
      <c r="C1031" s="15">
        <v>0</v>
      </c>
      <c r="D1031" s="15">
        <v>193</v>
      </c>
      <c r="E1031" s="15" t="b">
        <v>0</v>
      </c>
      <c r="F1031" s="15" t="b">
        <v>0</v>
      </c>
      <c r="G1031" s="33" t="s">
        <v>206</v>
      </c>
      <c r="H1031" s="15" t="s">
        <v>2427</v>
      </c>
      <c r="I1031" s="33" t="s">
        <v>213</v>
      </c>
      <c r="J1031" s="15"/>
      <c r="K1031" s="15"/>
      <c r="L1031" s="120" t="s">
        <v>220</v>
      </c>
      <c r="M1031" s="15" t="s">
        <v>2430</v>
      </c>
      <c r="N1031" s="15" t="s">
        <v>2431</v>
      </c>
      <c r="O1031" s="15"/>
      <c r="P1031" s="15"/>
      <c r="Q1031" s="15" t="b">
        <v>0</v>
      </c>
    </row>
    <row r="1032" spans="1:17" ht="15" hidden="1" customHeight="1">
      <c r="A1032" s="15">
        <v>3951</v>
      </c>
      <c r="B1032" s="15">
        <v>1031</v>
      </c>
      <c r="C1032" s="15">
        <v>0</v>
      </c>
      <c r="D1032" s="15">
        <v>193</v>
      </c>
      <c r="E1032" s="15" t="b">
        <v>0</v>
      </c>
      <c r="F1032" s="15" t="b">
        <v>0</v>
      </c>
      <c r="G1032" s="33" t="s">
        <v>206</v>
      </c>
      <c r="H1032" s="15" t="s">
        <v>2427</v>
      </c>
      <c r="I1032" s="33" t="s">
        <v>216</v>
      </c>
      <c r="J1032" s="15"/>
      <c r="K1032" s="15"/>
      <c r="L1032" s="120" t="s">
        <v>220</v>
      </c>
      <c r="M1032" s="15" t="s">
        <v>2432</v>
      </c>
      <c r="N1032" s="15" t="s">
        <v>2433</v>
      </c>
      <c r="O1032" s="15"/>
      <c r="P1032" s="15"/>
      <c r="Q1032" s="15" t="b">
        <v>0</v>
      </c>
    </row>
    <row r="1033" spans="1:17" ht="15" hidden="1" customHeight="1">
      <c r="A1033" s="15">
        <v>3952</v>
      </c>
      <c r="B1033" s="15">
        <v>1032</v>
      </c>
      <c r="C1033" s="15">
        <v>0</v>
      </c>
      <c r="D1033" s="15">
        <v>193</v>
      </c>
      <c r="E1033" s="15" t="b">
        <v>0</v>
      </c>
      <c r="F1033" s="15" t="b">
        <v>0</v>
      </c>
      <c r="G1033" s="33" t="s">
        <v>206</v>
      </c>
      <c r="H1033" s="15" t="s">
        <v>2434</v>
      </c>
      <c r="I1033" s="33" t="s">
        <v>208</v>
      </c>
      <c r="J1033" s="15"/>
      <c r="K1033" s="15"/>
      <c r="L1033" s="120" t="s">
        <v>220</v>
      </c>
      <c r="M1033" s="15" t="s">
        <v>2435</v>
      </c>
      <c r="N1033" s="15" t="s">
        <v>2436</v>
      </c>
      <c r="O1033" s="15"/>
      <c r="P1033" s="15"/>
      <c r="Q1033" s="15" t="b">
        <v>0</v>
      </c>
    </row>
    <row r="1034" spans="1:17" ht="15" hidden="1" customHeight="1">
      <c r="A1034" s="15">
        <v>3953</v>
      </c>
      <c r="B1034" s="15">
        <v>1033</v>
      </c>
      <c r="C1034" s="15">
        <v>0</v>
      </c>
      <c r="D1034" s="15">
        <v>193</v>
      </c>
      <c r="E1034" s="15" t="b">
        <v>0</v>
      </c>
      <c r="F1034" s="15" t="b">
        <v>0</v>
      </c>
      <c r="G1034" s="33" t="s">
        <v>206</v>
      </c>
      <c r="H1034" s="15" t="s">
        <v>2434</v>
      </c>
      <c r="I1034" s="33" t="s">
        <v>213</v>
      </c>
      <c r="J1034" s="15"/>
      <c r="K1034" s="15"/>
      <c r="L1034" s="120" t="s">
        <v>220</v>
      </c>
      <c r="M1034" s="15" t="s">
        <v>2437</v>
      </c>
      <c r="N1034" s="15" t="s">
        <v>2438</v>
      </c>
      <c r="O1034" s="15"/>
      <c r="P1034" s="15"/>
      <c r="Q1034" s="15" t="b">
        <v>0</v>
      </c>
    </row>
    <row r="1035" spans="1:17" ht="15" hidden="1" customHeight="1">
      <c r="A1035" s="15">
        <v>3954</v>
      </c>
      <c r="B1035" s="15">
        <v>1034</v>
      </c>
      <c r="C1035" s="15">
        <v>0</v>
      </c>
      <c r="D1035" s="15">
        <v>193</v>
      </c>
      <c r="E1035" s="15" t="b">
        <v>0</v>
      </c>
      <c r="F1035" s="15" t="b">
        <v>0</v>
      </c>
      <c r="G1035" s="33" t="s">
        <v>206</v>
      </c>
      <c r="H1035" s="15" t="s">
        <v>2434</v>
      </c>
      <c r="I1035" s="33" t="s">
        <v>216</v>
      </c>
      <c r="J1035" s="15"/>
      <c r="K1035" s="15"/>
      <c r="L1035" s="120" t="s">
        <v>220</v>
      </c>
      <c r="M1035" s="15" t="s">
        <v>2439</v>
      </c>
      <c r="N1035" s="15" t="s">
        <v>2440</v>
      </c>
      <c r="O1035" s="15"/>
      <c r="P1035" s="15"/>
      <c r="Q1035" s="15" t="b">
        <v>0</v>
      </c>
    </row>
    <row r="1036" spans="1:17" ht="15" hidden="1" customHeight="1">
      <c r="A1036" s="15">
        <v>3955</v>
      </c>
      <c r="B1036" s="15">
        <v>1035</v>
      </c>
      <c r="C1036" s="15">
        <v>0</v>
      </c>
      <c r="D1036" s="15">
        <v>193</v>
      </c>
      <c r="E1036" s="15" t="b">
        <v>0</v>
      </c>
      <c r="F1036" s="15" t="b">
        <v>0</v>
      </c>
      <c r="G1036" s="33" t="s">
        <v>206</v>
      </c>
      <c r="H1036" s="15" t="s">
        <v>2441</v>
      </c>
      <c r="I1036" s="33" t="s">
        <v>208</v>
      </c>
      <c r="J1036" s="15"/>
      <c r="K1036" s="15"/>
      <c r="L1036" s="120" t="s">
        <v>220</v>
      </c>
      <c r="M1036" s="15" t="s">
        <v>2442</v>
      </c>
      <c r="N1036" s="15" t="s">
        <v>2443</v>
      </c>
      <c r="O1036" s="15"/>
      <c r="P1036" s="15"/>
      <c r="Q1036" s="15" t="b">
        <v>0</v>
      </c>
    </row>
    <row r="1037" spans="1:17" ht="15" hidden="1" customHeight="1">
      <c r="A1037" s="15">
        <v>3956</v>
      </c>
      <c r="B1037" s="15">
        <v>1036</v>
      </c>
      <c r="C1037" s="15">
        <v>0</v>
      </c>
      <c r="D1037" s="15">
        <v>193</v>
      </c>
      <c r="E1037" s="15" t="b">
        <v>0</v>
      </c>
      <c r="F1037" s="15" t="b">
        <v>0</v>
      </c>
      <c r="G1037" s="33" t="s">
        <v>206</v>
      </c>
      <c r="H1037" s="15" t="s">
        <v>2441</v>
      </c>
      <c r="I1037" s="33" t="s">
        <v>213</v>
      </c>
      <c r="J1037" s="15"/>
      <c r="K1037" s="15"/>
      <c r="L1037" s="120" t="s">
        <v>220</v>
      </c>
      <c r="M1037" s="15" t="s">
        <v>2444</v>
      </c>
      <c r="N1037" s="15" t="s">
        <v>2445</v>
      </c>
      <c r="O1037" s="15"/>
      <c r="P1037" s="15"/>
      <c r="Q1037" s="15" t="b">
        <v>0</v>
      </c>
    </row>
    <row r="1038" spans="1:17" ht="15" hidden="1" customHeight="1">
      <c r="A1038" s="15">
        <v>3957</v>
      </c>
      <c r="B1038" s="15">
        <v>1037</v>
      </c>
      <c r="C1038" s="15">
        <v>0</v>
      </c>
      <c r="D1038" s="15">
        <v>193</v>
      </c>
      <c r="E1038" s="15" t="b">
        <v>0</v>
      </c>
      <c r="F1038" s="15" t="b">
        <v>0</v>
      </c>
      <c r="G1038" s="33" t="s">
        <v>206</v>
      </c>
      <c r="H1038" s="15" t="s">
        <v>2441</v>
      </c>
      <c r="I1038" s="33" t="s">
        <v>216</v>
      </c>
      <c r="J1038" s="15"/>
      <c r="K1038" s="15"/>
      <c r="L1038" s="120" t="s">
        <v>220</v>
      </c>
      <c r="M1038" s="15" t="s">
        <v>2446</v>
      </c>
      <c r="N1038" s="15" t="s">
        <v>2447</v>
      </c>
      <c r="O1038" s="15"/>
      <c r="P1038" s="15"/>
      <c r="Q1038" s="15" t="b">
        <v>0</v>
      </c>
    </row>
    <row r="1039" spans="1:17" ht="15" hidden="1" customHeight="1">
      <c r="A1039" s="15">
        <v>3958</v>
      </c>
      <c r="B1039" s="15">
        <v>1038</v>
      </c>
      <c r="C1039" s="15">
        <v>0</v>
      </c>
      <c r="D1039" s="15">
        <v>193</v>
      </c>
      <c r="E1039" s="15" t="b">
        <v>0</v>
      </c>
      <c r="F1039" s="15" t="b">
        <v>0</v>
      </c>
      <c r="G1039" s="33" t="s">
        <v>206</v>
      </c>
      <c r="H1039" s="15" t="s">
        <v>2448</v>
      </c>
      <c r="I1039" s="33" t="s">
        <v>208</v>
      </c>
      <c r="J1039" s="15"/>
      <c r="K1039" s="15"/>
      <c r="L1039" s="120" t="s">
        <v>220</v>
      </c>
      <c r="M1039" s="15" t="s">
        <v>2449</v>
      </c>
      <c r="N1039" s="15" t="s">
        <v>2450</v>
      </c>
      <c r="O1039" s="15"/>
      <c r="P1039" s="15"/>
      <c r="Q1039" s="15" t="b">
        <v>0</v>
      </c>
    </row>
    <row r="1040" spans="1:17" ht="15" hidden="1" customHeight="1">
      <c r="A1040" s="15">
        <v>3959</v>
      </c>
      <c r="B1040" s="15">
        <v>1039</v>
      </c>
      <c r="C1040" s="15">
        <v>0</v>
      </c>
      <c r="D1040" s="15">
        <v>193</v>
      </c>
      <c r="E1040" s="15" t="b">
        <v>0</v>
      </c>
      <c r="F1040" s="15" t="b">
        <v>0</v>
      </c>
      <c r="G1040" s="33" t="s">
        <v>206</v>
      </c>
      <c r="H1040" s="15" t="s">
        <v>2448</v>
      </c>
      <c r="I1040" s="33" t="s">
        <v>213</v>
      </c>
      <c r="J1040" s="15"/>
      <c r="K1040" s="15"/>
      <c r="L1040" s="120" t="s">
        <v>220</v>
      </c>
      <c r="M1040" s="15" t="s">
        <v>2451</v>
      </c>
      <c r="N1040" s="15" t="s">
        <v>2452</v>
      </c>
      <c r="O1040" s="15"/>
      <c r="P1040" s="15"/>
      <c r="Q1040" s="15" t="b">
        <v>0</v>
      </c>
    </row>
    <row r="1041" spans="1:17" ht="15" hidden="1" customHeight="1">
      <c r="A1041" s="15">
        <v>3960</v>
      </c>
      <c r="B1041" s="15">
        <v>1040</v>
      </c>
      <c r="C1041" s="15">
        <v>0</v>
      </c>
      <c r="D1041" s="15">
        <v>193</v>
      </c>
      <c r="E1041" s="15" t="b">
        <v>0</v>
      </c>
      <c r="F1041" s="15" t="b">
        <v>0</v>
      </c>
      <c r="G1041" s="33" t="s">
        <v>206</v>
      </c>
      <c r="H1041" s="15" t="s">
        <v>2448</v>
      </c>
      <c r="I1041" s="33" t="s">
        <v>216</v>
      </c>
      <c r="J1041" s="15"/>
      <c r="K1041" s="15"/>
      <c r="L1041" s="120" t="s">
        <v>220</v>
      </c>
      <c r="M1041" s="15" t="s">
        <v>2453</v>
      </c>
      <c r="N1041" s="15" t="s">
        <v>2454</v>
      </c>
      <c r="O1041" s="15"/>
      <c r="P1041" s="15"/>
      <c r="Q1041" s="15" t="b">
        <v>0</v>
      </c>
    </row>
    <row r="1042" spans="1:17" ht="14.45" hidden="1">
      <c r="A1042" s="15">
        <v>2001</v>
      </c>
      <c r="B1042" s="15">
        <v>1041</v>
      </c>
      <c r="C1042" s="15">
        <v>0</v>
      </c>
      <c r="D1042" s="15">
        <v>1</v>
      </c>
      <c r="E1042" s="15" t="b">
        <v>1</v>
      </c>
      <c r="F1042" s="15" t="b">
        <v>0</v>
      </c>
      <c r="G1042" s="18" t="s">
        <v>206</v>
      </c>
      <c r="H1042" s="15" t="s">
        <v>2455</v>
      </c>
      <c r="I1042" s="18" t="s">
        <v>208</v>
      </c>
      <c r="J1042" s="15" t="s">
        <v>2456</v>
      </c>
      <c r="K1042" s="15"/>
      <c r="L1042" s="120" t="s">
        <v>2457</v>
      </c>
      <c r="M1042" s="15" t="s">
        <v>2458</v>
      </c>
      <c r="N1042" s="15"/>
      <c r="O1042" s="15"/>
      <c r="P1042" s="15" t="s">
        <v>2459</v>
      </c>
      <c r="Q1042" s="15" t="b">
        <v>0</v>
      </c>
    </row>
    <row r="1043" spans="1:17" ht="14.45">
      <c r="A1043" s="15">
        <v>2002</v>
      </c>
      <c r="B1043" s="15">
        <v>1042</v>
      </c>
      <c r="C1043" s="15">
        <v>0</v>
      </c>
      <c r="D1043" s="15">
        <v>1</v>
      </c>
      <c r="E1043" s="15" t="b">
        <v>1</v>
      </c>
      <c r="F1043" s="15" t="b">
        <v>0</v>
      </c>
      <c r="G1043" s="18" t="s">
        <v>206</v>
      </c>
      <c r="H1043" s="15" t="s">
        <v>2455</v>
      </c>
      <c r="I1043" s="18" t="s">
        <v>2460</v>
      </c>
      <c r="J1043" s="15"/>
      <c r="K1043" s="15">
        <v>133</v>
      </c>
      <c r="L1043" s="120" t="s">
        <v>2457</v>
      </c>
      <c r="M1043" s="15" t="s">
        <v>2461</v>
      </c>
      <c r="N1043" s="15"/>
      <c r="O1043" s="15"/>
      <c r="P1043" s="15" t="s">
        <v>2462</v>
      </c>
      <c r="Q1043" s="15" t="b">
        <v>0</v>
      </c>
    </row>
    <row r="1044" spans="1:17" ht="14.45" hidden="1">
      <c r="A1044" s="15">
        <v>2003</v>
      </c>
      <c r="B1044" s="15">
        <v>1043</v>
      </c>
      <c r="C1044" s="15">
        <v>0</v>
      </c>
      <c r="D1044" s="15">
        <v>1</v>
      </c>
      <c r="E1044" s="15" t="b">
        <v>1</v>
      </c>
      <c r="F1044" s="15" t="b">
        <v>0</v>
      </c>
      <c r="G1044" s="18" t="s">
        <v>206</v>
      </c>
      <c r="H1044" s="15" t="s">
        <v>2455</v>
      </c>
      <c r="I1044" s="18" t="s">
        <v>216</v>
      </c>
      <c r="J1044" s="15"/>
      <c r="K1044" s="15"/>
      <c r="L1044" s="120" t="s">
        <v>2457</v>
      </c>
      <c r="M1044" s="15" t="s">
        <v>2463</v>
      </c>
      <c r="N1044" s="15"/>
      <c r="O1044" s="15"/>
      <c r="P1044" s="15" t="s">
        <v>2464</v>
      </c>
      <c r="Q1044" s="15" t="b">
        <v>0</v>
      </c>
    </row>
    <row r="1045" spans="1:17" ht="14.45" hidden="1">
      <c r="A1045" s="15">
        <v>2004</v>
      </c>
      <c r="B1045" s="15">
        <v>1044</v>
      </c>
      <c r="C1045" s="15">
        <v>0</v>
      </c>
      <c r="D1045" s="15">
        <v>1</v>
      </c>
      <c r="E1045" s="15" t="b">
        <v>1</v>
      </c>
      <c r="F1045" s="15" t="b">
        <v>0</v>
      </c>
      <c r="G1045" s="18" t="s">
        <v>206</v>
      </c>
      <c r="H1045" s="15" t="s">
        <v>2465</v>
      </c>
      <c r="I1045" s="18" t="s">
        <v>208</v>
      </c>
      <c r="J1045" s="15"/>
      <c r="K1045" s="15"/>
      <c r="L1045" s="120" t="s">
        <v>2457</v>
      </c>
      <c r="M1045" s="15" t="s">
        <v>2466</v>
      </c>
      <c r="N1045" s="15"/>
      <c r="O1045" s="15"/>
      <c r="P1045" s="15" t="s">
        <v>2467</v>
      </c>
      <c r="Q1045" s="15" t="b">
        <v>0</v>
      </c>
    </row>
    <row r="1046" spans="1:17" ht="14.45" hidden="1">
      <c r="A1046" s="15">
        <v>2005</v>
      </c>
      <c r="B1046" s="15">
        <v>1045</v>
      </c>
      <c r="C1046" s="15">
        <v>0</v>
      </c>
      <c r="D1046" s="15">
        <v>1</v>
      </c>
      <c r="E1046" s="15" t="b">
        <v>1</v>
      </c>
      <c r="F1046" s="15" t="b">
        <v>0</v>
      </c>
      <c r="G1046" s="18" t="s">
        <v>206</v>
      </c>
      <c r="H1046" s="15" t="s">
        <v>2465</v>
      </c>
      <c r="I1046" s="18" t="s">
        <v>2468</v>
      </c>
      <c r="J1046" s="15"/>
      <c r="K1046" s="15"/>
      <c r="L1046" s="120" t="s">
        <v>2457</v>
      </c>
      <c r="M1046" s="15" t="s">
        <v>2469</v>
      </c>
      <c r="N1046" s="15"/>
      <c r="O1046" s="15"/>
      <c r="P1046" s="15" t="s">
        <v>2470</v>
      </c>
      <c r="Q1046" s="15" t="b">
        <v>0</v>
      </c>
    </row>
    <row r="1047" spans="1:17" ht="14.45" hidden="1">
      <c r="A1047" s="15">
        <v>2006</v>
      </c>
      <c r="B1047" s="15">
        <v>1046</v>
      </c>
      <c r="C1047" s="15">
        <v>0</v>
      </c>
      <c r="D1047" s="15">
        <v>1</v>
      </c>
      <c r="E1047" s="15" t="b">
        <v>1</v>
      </c>
      <c r="F1047" s="15" t="b">
        <v>0</v>
      </c>
      <c r="G1047" s="18" t="s">
        <v>206</v>
      </c>
      <c r="H1047" s="15" t="s">
        <v>2465</v>
      </c>
      <c r="I1047" s="18" t="s">
        <v>216</v>
      </c>
      <c r="J1047" s="15"/>
      <c r="K1047" s="15"/>
      <c r="L1047" s="120" t="s">
        <v>2457</v>
      </c>
      <c r="M1047" s="15" t="s">
        <v>2471</v>
      </c>
      <c r="N1047" s="15"/>
      <c r="O1047" s="15"/>
      <c r="P1047" s="15" t="s">
        <v>2472</v>
      </c>
      <c r="Q1047" s="15" t="b">
        <v>0</v>
      </c>
    </row>
    <row r="1048" spans="1:17" ht="14.45" hidden="1">
      <c r="A1048" s="15">
        <v>2007</v>
      </c>
      <c r="B1048" s="15">
        <v>1047</v>
      </c>
      <c r="C1048" s="15">
        <v>0</v>
      </c>
      <c r="D1048" s="15">
        <v>1</v>
      </c>
      <c r="E1048" s="15" t="b">
        <v>1</v>
      </c>
      <c r="F1048" s="15" t="b">
        <v>0</v>
      </c>
      <c r="G1048" s="18" t="s">
        <v>206</v>
      </c>
      <c r="H1048" s="15" t="s">
        <v>2473</v>
      </c>
      <c r="I1048" s="18" t="s">
        <v>208</v>
      </c>
      <c r="J1048" s="15"/>
      <c r="K1048" s="15"/>
      <c r="L1048" s="120" t="s">
        <v>2457</v>
      </c>
      <c r="M1048" s="15" t="s">
        <v>2474</v>
      </c>
      <c r="N1048" s="15"/>
      <c r="O1048" s="15"/>
      <c r="P1048" s="15" t="s">
        <v>2475</v>
      </c>
      <c r="Q1048" s="15" t="b">
        <v>0</v>
      </c>
    </row>
    <row r="1049" spans="1:17" ht="14.45" hidden="1">
      <c r="A1049" s="15">
        <v>2008</v>
      </c>
      <c r="B1049" s="15">
        <v>1048</v>
      </c>
      <c r="C1049" s="15">
        <v>0</v>
      </c>
      <c r="D1049" s="15">
        <v>1</v>
      </c>
      <c r="E1049" s="15" t="b">
        <v>1</v>
      </c>
      <c r="F1049" s="15" t="b">
        <v>0</v>
      </c>
      <c r="G1049" s="18" t="s">
        <v>206</v>
      </c>
      <c r="H1049" s="15" t="s">
        <v>2473</v>
      </c>
      <c r="I1049" s="18" t="s">
        <v>2468</v>
      </c>
      <c r="J1049" s="15"/>
      <c r="K1049" s="15"/>
      <c r="L1049" s="120" t="s">
        <v>2457</v>
      </c>
      <c r="M1049" s="15" t="s">
        <v>2476</v>
      </c>
      <c r="N1049" s="15"/>
      <c r="O1049" s="15"/>
      <c r="P1049" s="15" t="s">
        <v>2477</v>
      </c>
      <c r="Q1049" s="15" t="b">
        <v>0</v>
      </c>
    </row>
    <row r="1050" spans="1:17" ht="14.45" hidden="1">
      <c r="A1050" s="15">
        <v>2009</v>
      </c>
      <c r="B1050" s="15">
        <v>1049</v>
      </c>
      <c r="C1050" s="15">
        <v>0</v>
      </c>
      <c r="D1050" s="15">
        <v>1</v>
      </c>
      <c r="E1050" s="15" t="b">
        <v>1</v>
      </c>
      <c r="F1050" s="15" t="b">
        <v>0</v>
      </c>
      <c r="G1050" s="18" t="s">
        <v>206</v>
      </c>
      <c r="H1050" s="15" t="s">
        <v>2473</v>
      </c>
      <c r="I1050" s="18" t="s">
        <v>216</v>
      </c>
      <c r="J1050" s="15"/>
      <c r="K1050" s="15"/>
      <c r="L1050" s="120" t="s">
        <v>2457</v>
      </c>
      <c r="M1050" s="15" t="s">
        <v>2478</v>
      </c>
      <c r="N1050" s="15"/>
      <c r="O1050" s="15"/>
      <c r="P1050" s="15" t="s">
        <v>2479</v>
      </c>
      <c r="Q1050" s="15" t="b">
        <v>0</v>
      </c>
    </row>
    <row r="1051" spans="1:17" ht="14.45" hidden="1">
      <c r="A1051" s="15">
        <v>2010</v>
      </c>
      <c r="B1051" s="15">
        <v>1050</v>
      </c>
      <c r="C1051" s="15">
        <v>0</v>
      </c>
      <c r="D1051" s="15">
        <v>1</v>
      </c>
      <c r="E1051" s="15" t="b">
        <v>1</v>
      </c>
      <c r="F1051" s="15" t="b">
        <v>0</v>
      </c>
      <c r="G1051" s="18" t="s">
        <v>206</v>
      </c>
      <c r="H1051" s="15" t="s">
        <v>2480</v>
      </c>
      <c r="I1051" s="18" t="s">
        <v>208</v>
      </c>
      <c r="J1051" s="15"/>
      <c r="K1051" s="15"/>
      <c r="L1051" s="120" t="s">
        <v>2457</v>
      </c>
      <c r="M1051" s="15" t="s">
        <v>2481</v>
      </c>
      <c r="N1051" s="15"/>
      <c r="O1051" s="15"/>
      <c r="P1051" s="15" t="s">
        <v>2482</v>
      </c>
      <c r="Q1051" s="15" t="b">
        <v>0</v>
      </c>
    </row>
    <row r="1052" spans="1:17" ht="14.45" hidden="1">
      <c r="A1052" s="15">
        <v>2011</v>
      </c>
      <c r="B1052" s="15">
        <v>1051</v>
      </c>
      <c r="C1052" s="15">
        <v>0</v>
      </c>
      <c r="D1052" s="15">
        <v>1</v>
      </c>
      <c r="E1052" s="15" t="b">
        <v>1</v>
      </c>
      <c r="F1052" s="15" t="b">
        <v>0</v>
      </c>
      <c r="G1052" s="18" t="s">
        <v>206</v>
      </c>
      <c r="H1052" s="15" t="s">
        <v>2480</v>
      </c>
      <c r="I1052" s="18" t="s">
        <v>2460</v>
      </c>
      <c r="J1052" s="15"/>
      <c r="K1052" s="15"/>
      <c r="L1052" s="120" t="s">
        <v>2457</v>
      </c>
      <c r="M1052" s="15" t="s">
        <v>2483</v>
      </c>
      <c r="N1052" s="15"/>
      <c r="O1052" s="15"/>
      <c r="P1052" s="15" t="s">
        <v>2484</v>
      </c>
      <c r="Q1052" s="15" t="b">
        <v>0</v>
      </c>
    </row>
    <row r="1053" spans="1:17" ht="14.45" hidden="1">
      <c r="A1053" s="15">
        <v>2012</v>
      </c>
      <c r="B1053" s="15">
        <v>1052</v>
      </c>
      <c r="C1053" s="15">
        <v>0</v>
      </c>
      <c r="D1053" s="15">
        <v>1</v>
      </c>
      <c r="E1053" s="15" t="b">
        <v>1</v>
      </c>
      <c r="F1053" s="15" t="b">
        <v>0</v>
      </c>
      <c r="G1053" s="18" t="s">
        <v>206</v>
      </c>
      <c r="H1053" s="15" t="s">
        <v>2480</v>
      </c>
      <c r="I1053" s="18" t="s">
        <v>216</v>
      </c>
      <c r="J1053" s="15"/>
      <c r="K1053" s="15"/>
      <c r="L1053" s="120" t="s">
        <v>2457</v>
      </c>
      <c r="M1053" s="15" t="s">
        <v>2485</v>
      </c>
      <c r="N1053" s="15"/>
      <c r="O1053" s="15"/>
      <c r="P1053" s="15" t="s">
        <v>2486</v>
      </c>
      <c r="Q1053" s="15" t="b">
        <v>0</v>
      </c>
    </row>
    <row r="1054" spans="1:17" ht="14.45" hidden="1">
      <c r="A1054" s="15">
        <v>2013</v>
      </c>
      <c r="B1054" s="15">
        <v>1053</v>
      </c>
      <c r="C1054" s="15">
        <v>0</v>
      </c>
      <c r="D1054" s="15">
        <v>1</v>
      </c>
      <c r="E1054" s="15" t="b">
        <v>1</v>
      </c>
      <c r="F1054" s="15" t="b">
        <v>0</v>
      </c>
      <c r="G1054" s="18" t="s">
        <v>206</v>
      </c>
      <c r="H1054" s="15" t="s">
        <v>2487</v>
      </c>
      <c r="I1054" s="18" t="s">
        <v>208</v>
      </c>
      <c r="J1054" s="15"/>
      <c r="K1054" s="15"/>
      <c r="L1054" s="120" t="s">
        <v>2457</v>
      </c>
      <c r="M1054" s="15" t="s">
        <v>2488</v>
      </c>
      <c r="N1054" s="15"/>
      <c r="O1054" s="15"/>
      <c r="P1054" s="15" t="s">
        <v>2489</v>
      </c>
      <c r="Q1054" s="15" t="b">
        <v>0</v>
      </c>
    </row>
    <row r="1055" spans="1:17" ht="14.45" hidden="1">
      <c r="A1055" s="15">
        <v>2014</v>
      </c>
      <c r="B1055" s="15">
        <v>1054</v>
      </c>
      <c r="C1055" s="15">
        <v>0</v>
      </c>
      <c r="D1055" s="15">
        <v>1</v>
      </c>
      <c r="E1055" s="15" t="b">
        <v>1</v>
      </c>
      <c r="F1055" s="15" t="b">
        <v>0</v>
      </c>
      <c r="G1055" s="18" t="s">
        <v>206</v>
      </c>
      <c r="H1055" s="15" t="s">
        <v>2487</v>
      </c>
      <c r="I1055" s="18" t="s">
        <v>2468</v>
      </c>
      <c r="J1055" s="15"/>
      <c r="K1055" s="15"/>
      <c r="L1055" s="120" t="s">
        <v>2457</v>
      </c>
      <c r="M1055" s="15" t="s">
        <v>2490</v>
      </c>
      <c r="N1055" s="15"/>
      <c r="O1055" s="15"/>
      <c r="P1055" s="15" t="s">
        <v>2491</v>
      </c>
      <c r="Q1055" s="15" t="b">
        <v>0</v>
      </c>
    </row>
    <row r="1056" spans="1:17" ht="14.45" hidden="1">
      <c r="A1056" s="15">
        <v>2015</v>
      </c>
      <c r="B1056" s="15">
        <v>1055</v>
      </c>
      <c r="C1056" s="15">
        <v>0</v>
      </c>
      <c r="D1056" s="15">
        <v>1</v>
      </c>
      <c r="E1056" s="15" t="b">
        <v>1</v>
      </c>
      <c r="F1056" s="15" t="b">
        <v>0</v>
      </c>
      <c r="G1056" s="18" t="s">
        <v>206</v>
      </c>
      <c r="H1056" s="15" t="s">
        <v>2487</v>
      </c>
      <c r="I1056" s="18" t="s">
        <v>216</v>
      </c>
      <c r="J1056" s="15"/>
      <c r="K1056" s="15"/>
      <c r="L1056" s="120" t="s">
        <v>2457</v>
      </c>
      <c r="M1056" s="15" t="s">
        <v>2492</v>
      </c>
      <c r="N1056" s="15"/>
      <c r="O1056" s="15"/>
      <c r="P1056" s="15" t="s">
        <v>2493</v>
      </c>
      <c r="Q1056" s="15" t="b">
        <v>0</v>
      </c>
    </row>
    <row r="1057" spans="1:17" ht="14.45" hidden="1">
      <c r="A1057" s="15">
        <v>2016</v>
      </c>
      <c r="B1057" s="15">
        <v>1056</v>
      </c>
      <c r="C1057" s="15">
        <v>0</v>
      </c>
      <c r="D1057" s="15">
        <v>1</v>
      </c>
      <c r="E1057" s="15" t="b">
        <v>1</v>
      </c>
      <c r="F1057" s="15" t="b">
        <v>0</v>
      </c>
      <c r="G1057" s="18" t="s">
        <v>206</v>
      </c>
      <c r="H1057" s="15" t="s">
        <v>2494</v>
      </c>
      <c r="I1057" s="18" t="s">
        <v>208</v>
      </c>
      <c r="J1057" s="15"/>
      <c r="K1057" s="15"/>
      <c r="L1057" s="120" t="s">
        <v>2457</v>
      </c>
      <c r="M1057" s="15" t="s">
        <v>2495</v>
      </c>
      <c r="N1057" s="15"/>
      <c r="O1057" s="15"/>
      <c r="P1057" s="15" t="s">
        <v>2496</v>
      </c>
      <c r="Q1057" s="15" t="b">
        <v>0</v>
      </c>
    </row>
    <row r="1058" spans="1:17" ht="14.45" hidden="1">
      <c r="A1058" s="15">
        <v>2017</v>
      </c>
      <c r="B1058" s="15">
        <v>1057</v>
      </c>
      <c r="C1058" s="15">
        <v>0</v>
      </c>
      <c r="D1058" s="15">
        <v>1</v>
      </c>
      <c r="E1058" s="15" t="b">
        <v>1</v>
      </c>
      <c r="F1058" s="15" t="b">
        <v>0</v>
      </c>
      <c r="G1058" s="18" t="s">
        <v>206</v>
      </c>
      <c r="H1058" s="15" t="s">
        <v>2494</v>
      </c>
      <c r="I1058" s="18" t="s">
        <v>2468</v>
      </c>
      <c r="J1058" s="15"/>
      <c r="K1058" s="15"/>
      <c r="L1058" s="120" t="s">
        <v>2457</v>
      </c>
      <c r="M1058" s="15" t="s">
        <v>2497</v>
      </c>
      <c r="N1058" s="15"/>
      <c r="O1058" s="15"/>
      <c r="P1058" s="15" t="s">
        <v>2498</v>
      </c>
      <c r="Q1058" s="15" t="b">
        <v>0</v>
      </c>
    </row>
    <row r="1059" spans="1:17" ht="14.45" hidden="1">
      <c r="A1059" s="15">
        <v>2018</v>
      </c>
      <c r="B1059" s="15">
        <v>1058</v>
      </c>
      <c r="C1059" s="15">
        <v>0</v>
      </c>
      <c r="D1059" s="15">
        <v>1</v>
      </c>
      <c r="E1059" s="15" t="b">
        <v>1</v>
      </c>
      <c r="F1059" s="15" t="b">
        <v>0</v>
      </c>
      <c r="G1059" s="18" t="s">
        <v>206</v>
      </c>
      <c r="H1059" s="15" t="s">
        <v>2494</v>
      </c>
      <c r="I1059" s="18" t="s">
        <v>216</v>
      </c>
      <c r="J1059" s="15"/>
      <c r="K1059" s="15"/>
      <c r="L1059" s="120" t="s">
        <v>2457</v>
      </c>
      <c r="M1059" s="15" t="s">
        <v>2499</v>
      </c>
      <c r="N1059" s="15"/>
      <c r="O1059" s="15"/>
      <c r="P1059" s="15" t="s">
        <v>2500</v>
      </c>
      <c r="Q1059" s="15" t="b">
        <v>0</v>
      </c>
    </row>
    <row r="1060" spans="1:17" ht="14.45" hidden="1">
      <c r="A1060" s="15">
        <v>2019</v>
      </c>
      <c r="B1060" s="15">
        <v>1059</v>
      </c>
      <c r="C1060" s="15">
        <v>0</v>
      </c>
      <c r="D1060" s="15">
        <v>1</v>
      </c>
      <c r="E1060" s="15" t="b">
        <v>1</v>
      </c>
      <c r="F1060" s="15" t="b">
        <v>0</v>
      </c>
      <c r="G1060" s="18" t="s">
        <v>206</v>
      </c>
      <c r="H1060" s="15" t="s">
        <v>2501</v>
      </c>
      <c r="I1060" s="18" t="s">
        <v>208</v>
      </c>
      <c r="J1060" s="15"/>
      <c r="K1060" s="15"/>
      <c r="L1060" s="120" t="s">
        <v>2457</v>
      </c>
      <c r="M1060" s="15" t="s">
        <v>2502</v>
      </c>
      <c r="N1060" s="15"/>
      <c r="O1060" s="15"/>
      <c r="P1060" s="15" t="s">
        <v>2503</v>
      </c>
      <c r="Q1060" s="15" t="b">
        <v>0</v>
      </c>
    </row>
    <row r="1061" spans="1:17" ht="14.45" hidden="1">
      <c r="A1061" s="15">
        <v>2020</v>
      </c>
      <c r="B1061" s="15">
        <v>1060</v>
      </c>
      <c r="C1061" s="15">
        <v>0</v>
      </c>
      <c r="D1061" s="15">
        <v>1</v>
      </c>
      <c r="E1061" s="15" t="b">
        <v>1</v>
      </c>
      <c r="F1061" s="15" t="b">
        <v>0</v>
      </c>
      <c r="G1061" s="18" t="s">
        <v>206</v>
      </c>
      <c r="H1061" s="15" t="s">
        <v>2501</v>
      </c>
      <c r="I1061" s="18" t="s">
        <v>2460</v>
      </c>
      <c r="J1061" s="15"/>
      <c r="K1061" s="15"/>
      <c r="L1061" s="120" t="s">
        <v>2457</v>
      </c>
      <c r="M1061" s="15" t="s">
        <v>2504</v>
      </c>
      <c r="N1061" s="15"/>
      <c r="O1061" s="15"/>
      <c r="P1061" s="15" t="s">
        <v>2505</v>
      </c>
      <c r="Q1061" s="15" t="b">
        <v>0</v>
      </c>
    </row>
    <row r="1062" spans="1:17" ht="14.45" hidden="1">
      <c r="A1062" s="15">
        <v>2021</v>
      </c>
      <c r="B1062" s="15">
        <v>1061</v>
      </c>
      <c r="C1062" s="15">
        <v>0</v>
      </c>
      <c r="D1062" s="15">
        <v>1</v>
      </c>
      <c r="E1062" s="15" t="b">
        <v>1</v>
      </c>
      <c r="F1062" s="15" t="b">
        <v>0</v>
      </c>
      <c r="G1062" s="18" t="s">
        <v>206</v>
      </c>
      <c r="H1062" s="15" t="s">
        <v>2501</v>
      </c>
      <c r="I1062" s="18" t="s">
        <v>216</v>
      </c>
      <c r="J1062" s="15"/>
      <c r="K1062" s="15"/>
      <c r="L1062" s="120" t="s">
        <v>2457</v>
      </c>
      <c r="M1062" s="15" t="s">
        <v>2506</v>
      </c>
      <c r="N1062" s="15"/>
      <c r="O1062" s="15"/>
      <c r="P1062" s="15" t="s">
        <v>2507</v>
      </c>
      <c r="Q1062" s="15" t="b">
        <v>0</v>
      </c>
    </row>
    <row r="1063" spans="1:17" ht="14.45" hidden="1">
      <c r="A1063" s="15">
        <v>2022</v>
      </c>
      <c r="B1063" s="15">
        <v>1062</v>
      </c>
      <c r="C1063" s="15">
        <v>0</v>
      </c>
      <c r="D1063" s="15">
        <v>1</v>
      </c>
      <c r="E1063" s="15" t="b">
        <v>1</v>
      </c>
      <c r="F1063" s="15" t="b">
        <v>0</v>
      </c>
      <c r="G1063" s="18" t="s">
        <v>206</v>
      </c>
      <c r="H1063" s="15" t="s">
        <v>2508</v>
      </c>
      <c r="I1063" s="18" t="s">
        <v>208</v>
      </c>
      <c r="J1063" s="15"/>
      <c r="K1063" s="15"/>
      <c r="L1063" s="120" t="s">
        <v>2457</v>
      </c>
      <c r="M1063" s="15" t="s">
        <v>2509</v>
      </c>
      <c r="N1063" s="15"/>
      <c r="O1063" s="15"/>
      <c r="P1063" s="15" t="s">
        <v>2510</v>
      </c>
      <c r="Q1063" s="15" t="b">
        <v>0</v>
      </c>
    </row>
    <row r="1064" spans="1:17" ht="14.45" hidden="1">
      <c r="A1064" s="15">
        <v>2023</v>
      </c>
      <c r="B1064" s="15">
        <v>1063</v>
      </c>
      <c r="C1064" s="15">
        <v>0</v>
      </c>
      <c r="D1064" s="15">
        <v>1</v>
      </c>
      <c r="E1064" s="15" t="b">
        <v>1</v>
      </c>
      <c r="F1064" s="15" t="b">
        <v>0</v>
      </c>
      <c r="G1064" s="18" t="s">
        <v>206</v>
      </c>
      <c r="H1064" s="15" t="s">
        <v>2508</v>
      </c>
      <c r="I1064" s="18" t="s">
        <v>2468</v>
      </c>
      <c r="J1064" s="15"/>
      <c r="K1064" s="15"/>
      <c r="L1064" s="120" t="s">
        <v>2457</v>
      </c>
      <c r="M1064" s="15" t="s">
        <v>2511</v>
      </c>
      <c r="N1064" s="15"/>
      <c r="O1064" s="15"/>
      <c r="P1064" s="15"/>
      <c r="Q1064" s="15" t="b">
        <v>0</v>
      </c>
    </row>
    <row r="1065" spans="1:17" ht="14.45" hidden="1">
      <c r="A1065" s="15">
        <v>2024</v>
      </c>
      <c r="B1065" s="15">
        <v>1064</v>
      </c>
      <c r="C1065" s="15">
        <v>0</v>
      </c>
      <c r="D1065" s="15">
        <v>1</v>
      </c>
      <c r="E1065" s="15" t="b">
        <v>1</v>
      </c>
      <c r="F1065" s="15" t="b">
        <v>0</v>
      </c>
      <c r="G1065" s="18" t="s">
        <v>206</v>
      </c>
      <c r="H1065" s="15" t="s">
        <v>2508</v>
      </c>
      <c r="I1065" s="18" t="s">
        <v>216</v>
      </c>
      <c r="J1065" s="15"/>
      <c r="K1065" s="15"/>
      <c r="L1065" s="120" t="s">
        <v>2457</v>
      </c>
      <c r="M1065" s="15" t="s">
        <v>2512</v>
      </c>
      <c r="N1065" s="15"/>
      <c r="O1065" s="15"/>
      <c r="P1065" s="15" t="s">
        <v>2513</v>
      </c>
      <c r="Q1065" s="15" t="b">
        <v>0</v>
      </c>
    </row>
    <row r="1066" spans="1:17" ht="14.45" hidden="1">
      <c r="A1066" s="15">
        <v>2025</v>
      </c>
      <c r="B1066" s="15">
        <v>1065</v>
      </c>
      <c r="C1066" s="15">
        <v>0</v>
      </c>
      <c r="D1066" s="15">
        <v>1</v>
      </c>
      <c r="E1066" s="15" t="b">
        <v>1</v>
      </c>
      <c r="F1066" s="15" t="b">
        <v>0</v>
      </c>
      <c r="G1066" s="18" t="s">
        <v>206</v>
      </c>
      <c r="H1066" s="15" t="s">
        <v>2514</v>
      </c>
      <c r="I1066" s="18" t="s">
        <v>208</v>
      </c>
      <c r="J1066" s="15"/>
      <c r="K1066" s="15"/>
      <c r="L1066" s="120" t="s">
        <v>2457</v>
      </c>
      <c r="M1066" s="15" t="s">
        <v>2515</v>
      </c>
      <c r="N1066" s="15"/>
      <c r="O1066" s="15"/>
      <c r="P1066" s="15" t="s">
        <v>2516</v>
      </c>
      <c r="Q1066" s="15" t="b">
        <v>0</v>
      </c>
    </row>
    <row r="1067" spans="1:17" ht="14.45" hidden="1">
      <c r="A1067" s="15">
        <v>2026</v>
      </c>
      <c r="B1067" s="15">
        <v>1066</v>
      </c>
      <c r="C1067" s="15">
        <v>0</v>
      </c>
      <c r="D1067" s="15">
        <v>1</v>
      </c>
      <c r="E1067" s="15" t="b">
        <v>1</v>
      </c>
      <c r="F1067" s="15" t="b">
        <v>0</v>
      </c>
      <c r="G1067" s="18" t="s">
        <v>206</v>
      </c>
      <c r="H1067" s="15" t="s">
        <v>2514</v>
      </c>
      <c r="I1067" s="18" t="s">
        <v>2468</v>
      </c>
      <c r="J1067" s="15"/>
      <c r="K1067" s="15"/>
      <c r="L1067" s="120" t="s">
        <v>2457</v>
      </c>
      <c r="M1067" s="15" t="s">
        <v>2517</v>
      </c>
      <c r="N1067" s="15"/>
      <c r="O1067" s="15"/>
      <c r="P1067" s="15" t="s">
        <v>2518</v>
      </c>
      <c r="Q1067" s="15" t="b">
        <v>0</v>
      </c>
    </row>
    <row r="1068" spans="1:17" ht="14.45" hidden="1">
      <c r="A1068" s="15">
        <v>2027</v>
      </c>
      <c r="B1068" s="15">
        <v>1067</v>
      </c>
      <c r="C1068" s="15">
        <v>0</v>
      </c>
      <c r="D1068" s="15">
        <v>1</v>
      </c>
      <c r="E1068" s="15" t="b">
        <v>1</v>
      </c>
      <c r="F1068" s="15" t="b">
        <v>0</v>
      </c>
      <c r="G1068" s="18" t="s">
        <v>206</v>
      </c>
      <c r="H1068" s="15" t="s">
        <v>2514</v>
      </c>
      <c r="I1068" s="18" t="s">
        <v>216</v>
      </c>
      <c r="J1068" s="15"/>
      <c r="K1068" s="15"/>
      <c r="L1068" s="120" t="s">
        <v>2457</v>
      </c>
      <c r="M1068" s="15" t="s">
        <v>2519</v>
      </c>
      <c r="N1068" s="15"/>
      <c r="O1068" s="15"/>
      <c r="P1068" s="15" t="s">
        <v>2520</v>
      </c>
      <c r="Q1068" s="15" t="b">
        <v>0</v>
      </c>
    </row>
    <row r="1069" spans="1:17" ht="14.45" hidden="1">
      <c r="A1069" s="15">
        <v>2028</v>
      </c>
      <c r="B1069" s="15">
        <v>1068</v>
      </c>
      <c r="C1069" s="15">
        <v>0</v>
      </c>
      <c r="D1069" s="15">
        <v>1</v>
      </c>
      <c r="E1069" s="15" t="b">
        <v>1</v>
      </c>
      <c r="F1069" s="15" t="b">
        <v>0</v>
      </c>
      <c r="G1069" s="18" t="s">
        <v>206</v>
      </c>
      <c r="H1069" s="15" t="s">
        <v>2521</v>
      </c>
      <c r="I1069" s="18" t="s">
        <v>208</v>
      </c>
      <c r="J1069" s="15"/>
      <c r="K1069" s="15"/>
      <c r="L1069" s="120" t="s">
        <v>2457</v>
      </c>
      <c r="M1069" s="15" t="s">
        <v>2522</v>
      </c>
      <c r="N1069" s="15"/>
      <c r="O1069" s="15"/>
      <c r="P1069" s="15" t="s">
        <v>2523</v>
      </c>
      <c r="Q1069" s="15" t="b">
        <v>0</v>
      </c>
    </row>
    <row r="1070" spans="1:17" ht="14.45" hidden="1">
      <c r="A1070" s="15">
        <v>2029</v>
      </c>
      <c r="B1070" s="15">
        <v>1069</v>
      </c>
      <c r="C1070" s="15">
        <v>0</v>
      </c>
      <c r="D1070" s="15">
        <v>1</v>
      </c>
      <c r="E1070" s="15" t="b">
        <v>1</v>
      </c>
      <c r="F1070" s="15" t="b">
        <v>0</v>
      </c>
      <c r="G1070" s="18" t="s">
        <v>206</v>
      </c>
      <c r="H1070" s="15" t="s">
        <v>2521</v>
      </c>
      <c r="I1070" s="18" t="s">
        <v>2460</v>
      </c>
      <c r="J1070" s="15"/>
      <c r="K1070" s="15"/>
      <c r="L1070" s="120" t="s">
        <v>2457</v>
      </c>
      <c r="M1070" s="15" t="s">
        <v>2524</v>
      </c>
      <c r="N1070" s="15"/>
      <c r="O1070" s="15"/>
      <c r="P1070" s="15" t="s">
        <v>2525</v>
      </c>
      <c r="Q1070" s="15" t="b">
        <v>0</v>
      </c>
    </row>
    <row r="1071" spans="1:17" ht="14.45" hidden="1">
      <c r="A1071" s="15">
        <v>2030</v>
      </c>
      <c r="B1071" s="15">
        <v>1070</v>
      </c>
      <c r="C1071" s="15">
        <v>0</v>
      </c>
      <c r="D1071" s="15">
        <v>1</v>
      </c>
      <c r="E1071" s="15" t="b">
        <v>1</v>
      </c>
      <c r="F1071" s="15" t="b">
        <v>0</v>
      </c>
      <c r="G1071" s="18" t="s">
        <v>206</v>
      </c>
      <c r="H1071" s="15" t="s">
        <v>2521</v>
      </c>
      <c r="I1071" s="18" t="s">
        <v>216</v>
      </c>
      <c r="J1071" s="15"/>
      <c r="K1071" s="15"/>
      <c r="L1071" s="120" t="s">
        <v>2457</v>
      </c>
      <c r="M1071" s="15" t="s">
        <v>2526</v>
      </c>
      <c r="N1071" s="15"/>
      <c r="O1071" s="15"/>
      <c r="P1071" s="15" t="s">
        <v>2527</v>
      </c>
      <c r="Q1071" s="15" t="b">
        <v>0</v>
      </c>
    </row>
    <row r="1072" spans="1:17" ht="14.45" hidden="1">
      <c r="A1072" s="15">
        <v>2031</v>
      </c>
      <c r="B1072" s="15">
        <v>1071</v>
      </c>
      <c r="C1072" s="15">
        <v>0</v>
      </c>
      <c r="D1072" s="15">
        <v>1</v>
      </c>
      <c r="E1072" s="15" t="b">
        <v>1</v>
      </c>
      <c r="F1072" s="15" t="b">
        <v>0</v>
      </c>
      <c r="G1072" s="18" t="s">
        <v>206</v>
      </c>
      <c r="H1072" s="15" t="s">
        <v>2528</v>
      </c>
      <c r="I1072" s="18" t="s">
        <v>208</v>
      </c>
      <c r="J1072" s="15"/>
      <c r="K1072" s="15"/>
      <c r="L1072" s="120" t="s">
        <v>2457</v>
      </c>
      <c r="M1072" s="15" t="s">
        <v>2529</v>
      </c>
      <c r="N1072" s="15"/>
      <c r="O1072" s="15"/>
      <c r="P1072" s="15" t="s">
        <v>2530</v>
      </c>
      <c r="Q1072" s="15" t="b">
        <v>0</v>
      </c>
    </row>
    <row r="1073" spans="1:17" ht="14.45" hidden="1">
      <c r="A1073" s="15">
        <v>2032</v>
      </c>
      <c r="B1073" s="15">
        <v>1072</v>
      </c>
      <c r="C1073" s="15">
        <v>0</v>
      </c>
      <c r="D1073" s="15">
        <v>1</v>
      </c>
      <c r="E1073" s="15" t="b">
        <v>1</v>
      </c>
      <c r="F1073" s="15" t="b">
        <v>0</v>
      </c>
      <c r="G1073" s="18" t="s">
        <v>206</v>
      </c>
      <c r="H1073" s="15" t="s">
        <v>2528</v>
      </c>
      <c r="I1073" s="18" t="s">
        <v>2468</v>
      </c>
      <c r="J1073" s="15"/>
      <c r="K1073" s="15"/>
      <c r="L1073" s="120" t="s">
        <v>2457</v>
      </c>
      <c r="M1073" s="15" t="s">
        <v>2531</v>
      </c>
      <c r="N1073" s="15"/>
      <c r="O1073" s="15"/>
      <c r="P1073" s="15" t="s">
        <v>2532</v>
      </c>
      <c r="Q1073" s="15" t="b">
        <v>0</v>
      </c>
    </row>
    <row r="1074" spans="1:17" ht="14.45" hidden="1">
      <c r="A1074" s="15">
        <v>2033</v>
      </c>
      <c r="B1074" s="15">
        <v>1073</v>
      </c>
      <c r="C1074" s="15">
        <v>0</v>
      </c>
      <c r="D1074" s="15">
        <v>1</v>
      </c>
      <c r="E1074" s="15" t="b">
        <v>1</v>
      </c>
      <c r="F1074" s="15" t="b">
        <v>0</v>
      </c>
      <c r="G1074" s="18" t="s">
        <v>206</v>
      </c>
      <c r="H1074" s="15" t="s">
        <v>2528</v>
      </c>
      <c r="I1074" s="18" t="s">
        <v>216</v>
      </c>
      <c r="J1074" s="15"/>
      <c r="K1074" s="15"/>
      <c r="L1074" s="120" t="s">
        <v>2457</v>
      </c>
      <c r="M1074" s="15" t="s">
        <v>2533</v>
      </c>
      <c r="N1074" s="15"/>
      <c r="O1074" s="15"/>
      <c r="P1074" s="15" t="s">
        <v>2534</v>
      </c>
      <c r="Q1074" s="15" t="b">
        <v>0</v>
      </c>
    </row>
    <row r="1075" spans="1:17" ht="14.45" hidden="1">
      <c r="A1075" s="15">
        <v>2034</v>
      </c>
      <c r="B1075" s="15">
        <v>1074</v>
      </c>
      <c r="C1075" s="15">
        <v>0</v>
      </c>
      <c r="D1075" s="15">
        <v>1</v>
      </c>
      <c r="E1075" s="15" t="b">
        <v>1</v>
      </c>
      <c r="F1075" s="15" t="b">
        <v>0</v>
      </c>
      <c r="G1075" s="18" t="s">
        <v>206</v>
      </c>
      <c r="H1075" s="15" t="s">
        <v>2535</v>
      </c>
      <c r="I1075" s="18" t="s">
        <v>208</v>
      </c>
      <c r="J1075" s="15"/>
      <c r="K1075" s="15"/>
      <c r="L1075" s="120" t="s">
        <v>2457</v>
      </c>
      <c r="M1075" s="15" t="s">
        <v>2536</v>
      </c>
      <c r="N1075" s="15"/>
      <c r="O1075" s="15"/>
      <c r="P1075" s="15" t="s">
        <v>2537</v>
      </c>
      <c r="Q1075" s="15" t="b">
        <v>0</v>
      </c>
    </row>
    <row r="1076" spans="1:17" ht="14.45" hidden="1">
      <c r="A1076" s="15">
        <v>2035</v>
      </c>
      <c r="B1076" s="15">
        <v>1075</v>
      </c>
      <c r="C1076" s="15">
        <v>0</v>
      </c>
      <c r="D1076" s="15">
        <v>1</v>
      </c>
      <c r="E1076" s="15" t="b">
        <v>1</v>
      </c>
      <c r="F1076" s="15" t="b">
        <v>0</v>
      </c>
      <c r="G1076" s="18" t="s">
        <v>206</v>
      </c>
      <c r="H1076" s="15" t="s">
        <v>2535</v>
      </c>
      <c r="I1076" s="18" t="s">
        <v>2468</v>
      </c>
      <c r="J1076" s="15"/>
      <c r="K1076" s="15"/>
      <c r="L1076" s="120" t="s">
        <v>2457</v>
      </c>
      <c r="M1076" s="15" t="s">
        <v>2538</v>
      </c>
      <c r="N1076" s="15"/>
      <c r="O1076" s="15"/>
      <c r="P1076" s="15" t="s">
        <v>2539</v>
      </c>
      <c r="Q1076" s="15" t="b">
        <v>0</v>
      </c>
    </row>
    <row r="1077" spans="1:17" ht="14.45" hidden="1">
      <c r="A1077" s="15">
        <v>2036</v>
      </c>
      <c r="B1077" s="15">
        <v>1076</v>
      </c>
      <c r="C1077" s="15">
        <v>0</v>
      </c>
      <c r="D1077" s="15">
        <v>1</v>
      </c>
      <c r="E1077" s="15" t="b">
        <v>1</v>
      </c>
      <c r="F1077" s="15" t="b">
        <v>0</v>
      </c>
      <c r="G1077" s="18" t="s">
        <v>206</v>
      </c>
      <c r="H1077" s="15" t="s">
        <v>2535</v>
      </c>
      <c r="I1077" s="18" t="s">
        <v>216</v>
      </c>
      <c r="J1077" s="15"/>
      <c r="K1077" s="15"/>
      <c r="L1077" s="120" t="s">
        <v>2457</v>
      </c>
      <c r="M1077" s="15" t="s">
        <v>2540</v>
      </c>
      <c r="N1077" s="15"/>
      <c r="O1077" s="15"/>
      <c r="P1077" s="15" t="s">
        <v>2541</v>
      </c>
      <c r="Q1077" s="15" t="b">
        <v>0</v>
      </c>
    </row>
    <row r="1078" spans="1:17" ht="14.45" hidden="1">
      <c r="A1078" s="15">
        <v>2037</v>
      </c>
      <c r="B1078" s="15">
        <v>1077</v>
      </c>
      <c r="C1078" s="15">
        <v>0</v>
      </c>
      <c r="D1078" s="15">
        <v>1</v>
      </c>
      <c r="E1078" s="15" t="b">
        <v>1</v>
      </c>
      <c r="F1078" s="15" t="b">
        <v>0</v>
      </c>
      <c r="G1078" s="18" t="s">
        <v>206</v>
      </c>
      <c r="H1078" s="15" t="s">
        <v>2542</v>
      </c>
      <c r="I1078" s="18" t="s">
        <v>208</v>
      </c>
      <c r="J1078" s="15"/>
      <c r="K1078" s="15"/>
      <c r="L1078" s="120" t="s">
        <v>2457</v>
      </c>
      <c r="M1078" s="15" t="s">
        <v>2543</v>
      </c>
      <c r="N1078" s="15"/>
      <c r="O1078" s="15"/>
      <c r="P1078" s="15" t="s">
        <v>2544</v>
      </c>
      <c r="Q1078" s="15" t="b">
        <v>0</v>
      </c>
    </row>
    <row r="1079" spans="1:17" ht="14.45" hidden="1">
      <c r="A1079" s="15">
        <v>2038</v>
      </c>
      <c r="B1079" s="15">
        <v>1078</v>
      </c>
      <c r="C1079" s="15">
        <v>0</v>
      </c>
      <c r="D1079" s="15">
        <v>1</v>
      </c>
      <c r="E1079" s="15" t="b">
        <v>1</v>
      </c>
      <c r="F1079" s="15" t="b">
        <v>0</v>
      </c>
      <c r="G1079" s="18" t="s">
        <v>206</v>
      </c>
      <c r="H1079" s="15" t="s">
        <v>2542</v>
      </c>
      <c r="I1079" s="18" t="s">
        <v>2460</v>
      </c>
      <c r="J1079" s="15"/>
      <c r="K1079" s="15"/>
      <c r="L1079" s="120" t="s">
        <v>2457</v>
      </c>
      <c r="M1079" s="15" t="s">
        <v>2545</v>
      </c>
      <c r="N1079" s="15"/>
      <c r="O1079" s="15"/>
      <c r="P1079" s="15" t="s">
        <v>2546</v>
      </c>
      <c r="Q1079" s="15" t="b">
        <v>0</v>
      </c>
    </row>
    <row r="1080" spans="1:17" ht="14.45" hidden="1">
      <c r="A1080" s="15">
        <v>2039</v>
      </c>
      <c r="B1080" s="15">
        <v>1079</v>
      </c>
      <c r="C1080" s="15">
        <v>0</v>
      </c>
      <c r="D1080" s="15">
        <v>1</v>
      </c>
      <c r="E1080" s="15" t="b">
        <v>1</v>
      </c>
      <c r="F1080" s="15" t="b">
        <v>0</v>
      </c>
      <c r="G1080" s="18" t="s">
        <v>206</v>
      </c>
      <c r="H1080" s="15" t="s">
        <v>2542</v>
      </c>
      <c r="I1080" s="18" t="s">
        <v>216</v>
      </c>
      <c r="J1080" s="15"/>
      <c r="K1080" s="15"/>
      <c r="L1080" s="120" t="s">
        <v>2457</v>
      </c>
      <c r="M1080" s="15" t="s">
        <v>2547</v>
      </c>
      <c r="N1080" s="15"/>
      <c r="O1080" s="15"/>
      <c r="P1080" s="15" t="s">
        <v>2548</v>
      </c>
      <c r="Q1080" s="15" t="b">
        <v>0</v>
      </c>
    </row>
    <row r="1081" spans="1:17" ht="14.45" hidden="1">
      <c r="A1081" s="15">
        <v>2040</v>
      </c>
      <c r="B1081" s="15">
        <v>1080</v>
      </c>
      <c r="C1081" s="15">
        <v>0</v>
      </c>
      <c r="D1081" s="15">
        <v>1</v>
      </c>
      <c r="E1081" s="15" t="b">
        <v>1</v>
      </c>
      <c r="F1081" s="15" t="b">
        <v>0</v>
      </c>
      <c r="G1081" s="18" t="s">
        <v>206</v>
      </c>
      <c r="H1081" s="15" t="s">
        <v>2549</v>
      </c>
      <c r="I1081" s="18" t="s">
        <v>208</v>
      </c>
      <c r="J1081" s="15"/>
      <c r="K1081" s="15"/>
      <c r="L1081" s="120" t="s">
        <v>2457</v>
      </c>
      <c r="M1081" s="15" t="s">
        <v>2550</v>
      </c>
      <c r="N1081" s="15"/>
      <c r="O1081" s="15"/>
      <c r="P1081" s="15" t="s">
        <v>2551</v>
      </c>
      <c r="Q1081" s="15" t="b">
        <v>0</v>
      </c>
    </row>
    <row r="1082" spans="1:17" ht="14.45" hidden="1">
      <c r="A1082" s="15">
        <v>2041</v>
      </c>
      <c r="B1082" s="15">
        <v>1081</v>
      </c>
      <c r="C1082" s="15">
        <v>0</v>
      </c>
      <c r="D1082" s="15">
        <v>1</v>
      </c>
      <c r="E1082" s="15" t="b">
        <v>1</v>
      </c>
      <c r="F1082" s="15" t="b">
        <v>0</v>
      </c>
      <c r="G1082" s="18" t="s">
        <v>206</v>
      </c>
      <c r="H1082" s="15" t="s">
        <v>2549</v>
      </c>
      <c r="I1082" s="18" t="s">
        <v>2468</v>
      </c>
      <c r="J1082" s="15"/>
      <c r="K1082" s="15"/>
      <c r="L1082" s="120" t="s">
        <v>2457</v>
      </c>
      <c r="M1082" s="15" t="s">
        <v>2552</v>
      </c>
      <c r="N1082" s="15"/>
      <c r="O1082" s="15"/>
      <c r="P1082" s="15" t="s">
        <v>2553</v>
      </c>
      <c r="Q1082" s="15" t="b">
        <v>0</v>
      </c>
    </row>
    <row r="1083" spans="1:17" ht="14.45" hidden="1">
      <c r="A1083" s="15">
        <v>2042</v>
      </c>
      <c r="B1083" s="15">
        <v>1082</v>
      </c>
      <c r="C1083" s="15">
        <v>0</v>
      </c>
      <c r="D1083" s="15">
        <v>1</v>
      </c>
      <c r="E1083" s="15" t="b">
        <v>1</v>
      </c>
      <c r="F1083" s="15" t="b">
        <v>0</v>
      </c>
      <c r="G1083" s="18" t="s">
        <v>206</v>
      </c>
      <c r="H1083" s="15" t="s">
        <v>2549</v>
      </c>
      <c r="I1083" s="18" t="s">
        <v>216</v>
      </c>
      <c r="J1083" s="15"/>
      <c r="K1083" s="15"/>
      <c r="L1083" s="120" t="s">
        <v>2457</v>
      </c>
      <c r="M1083" s="15" t="s">
        <v>2554</v>
      </c>
      <c r="N1083" s="15"/>
      <c r="O1083" s="15"/>
      <c r="P1083" s="15" t="s">
        <v>2555</v>
      </c>
      <c r="Q1083" s="15" t="b">
        <v>0</v>
      </c>
    </row>
    <row r="1084" spans="1:17" ht="14.45" hidden="1">
      <c r="A1084" s="15">
        <v>2043</v>
      </c>
      <c r="B1084" s="15">
        <v>1083</v>
      </c>
      <c r="C1084" s="15">
        <v>0</v>
      </c>
      <c r="D1084" s="15">
        <v>1</v>
      </c>
      <c r="E1084" s="15" t="b">
        <v>1</v>
      </c>
      <c r="F1084" s="15" t="b">
        <v>0</v>
      </c>
      <c r="G1084" s="18" t="s">
        <v>206</v>
      </c>
      <c r="H1084" s="15" t="s">
        <v>2556</v>
      </c>
      <c r="I1084" s="18" t="s">
        <v>208</v>
      </c>
      <c r="J1084" s="15"/>
      <c r="K1084" s="15"/>
      <c r="L1084" s="120" t="s">
        <v>2457</v>
      </c>
      <c r="M1084" s="15" t="s">
        <v>2557</v>
      </c>
      <c r="N1084" s="15"/>
      <c r="O1084" s="15"/>
      <c r="P1084" s="15" t="s">
        <v>2558</v>
      </c>
      <c r="Q1084" s="15" t="b">
        <v>0</v>
      </c>
    </row>
    <row r="1085" spans="1:17" ht="14.45" hidden="1">
      <c r="A1085" s="15">
        <v>2044</v>
      </c>
      <c r="B1085" s="15">
        <v>1084</v>
      </c>
      <c r="C1085" s="15">
        <v>0</v>
      </c>
      <c r="D1085" s="15">
        <v>1</v>
      </c>
      <c r="E1085" s="15" t="b">
        <v>1</v>
      </c>
      <c r="F1085" s="15" t="b">
        <v>0</v>
      </c>
      <c r="G1085" s="18" t="s">
        <v>206</v>
      </c>
      <c r="H1085" s="15" t="s">
        <v>2556</v>
      </c>
      <c r="I1085" s="18" t="s">
        <v>2468</v>
      </c>
      <c r="J1085" s="15"/>
      <c r="K1085" s="15"/>
      <c r="L1085" s="120" t="s">
        <v>2457</v>
      </c>
      <c r="M1085" s="15" t="s">
        <v>2559</v>
      </c>
      <c r="N1085" s="15"/>
      <c r="O1085" s="15"/>
      <c r="P1085" s="15" t="s">
        <v>2560</v>
      </c>
      <c r="Q1085" s="15" t="b">
        <v>0</v>
      </c>
    </row>
    <row r="1086" spans="1:17" ht="14.45" hidden="1">
      <c r="A1086" s="15">
        <v>2045</v>
      </c>
      <c r="B1086" s="15">
        <v>1085</v>
      </c>
      <c r="C1086" s="15">
        <v>0</v>
      </c>
      <c r="D1086" s="15">
        <v>1</v>
      </c>
      <c r="E1086" s="15" t="b">
        <v>1</v>
      </c>
      <c r="F1086" s="15" t="b">
        <v>0</v>
      </c>
      <c r="G1086" s="18" t="s">
        <v>206</v>
      </c>
      <c r="H1086" s="15" t="s">
        <v>2556</v>
      </c>
      <c r="I1086" s="18" t="s">
        <v>216</v>
      </c>
      <c r="J1086" s="15"/>
      <c r="K1086" s="15"/>
      <c r="L1086" s="120" t="s">
        <v>2457</v>
      </c>
      <c r="M1086" s="15" t="s">
        <v>2561</v>
      </c>
      <c r="N1086" s="15"/>
      <c r="O1086" s="15"/>
      <c r="P1086" s="15" t="s">
        <v>2562</v>
      </c>
      <c r="Q1086" s="15" t="b">
        <v>0</v>
      </c>
    </row>
    <row r="1087" spans="1:17" ht="14.45" hidden="1">
      <c r="A1087" s="15">
        <v>2046</v>
      </c>
      <c r="B1087" s="15">
        <v>1086</v>
      </c>
      <c r="C1087" s="15">
        <v>0</v>
      </c>
      <c r="D1087" s="15">
        <v>1</v>
      </c>
      <c r="E1087" s="15" t="b">
        <v>1</v>
      </c>
      <c r="F1087" s="15" t="b">
        <v>0</v>
      </c>
      <c r="G1087" s="18" t="s">
        <v>206</v>
      </c>
      <c r="H1087" s="15" t="s">
        <v>2563</v>
      </c>
      <c r="I1087" s="18" t="s">
        <v>208</v>
      </c>
      <c r="J1087" s="15"/>
      <c r="K1087" s="15"/>
      <c r="L1087" s="120" t="s">
        <v>2457</v>
      </c>
      <c r="M1087" s="15" t="s">
        <v>2564</v>
      </c>
      <c r="N1087" s="15"/>
      <c r="O1087" s="15"/>
      <c r="P1087" s="15" t="s">
        <v>2565</v>
      </c>
      <c r="Q1087" s="15" t="b">
        <v>0</v>
      </c>
    </row>
    <row r="1088" spans="1:17" ht="14.45" hidden="1">
      <c r="A1088" s="15">
        <v>2047</v>
      </c>
      <c r="B1088" s="15">
        <v>1087</v>
      </c>
      <c r="C1088" s="15">
        <v>0</v>
      </c>
      <c r="D1088" s="15">
        <v>1</v>
      </c>
      <c r="E1088" s="15" t="b">
        <v>1</v>
      </c>
      <c r="F1088" s="15" t="b">
        <v>0</v>
      </c>
      <c r="G1088" s="18" t="s">
        <v>206</v>
      </c>
      <c r="H1088" s="15" t="s">
        <v>2563</v>
      </c>
      <c r="I1088" s="18" t="s">
        <v>2460</v>
      </c>
      <c r="J1088" s="15"/>
      <c r="K1088" s="15"/>
      <c r="L1088" s="120" t="s">
        <v>2457</v>
      </c>
      <c r="M1088" s="15" t="s">
        <v>2566</v>
      </c>
      <c r="N1088" s="15"/>
      <c r="O1088" s="15"/>
      <c r="P1088" s="15" t="s">
        <v>2567</v>
      </c>
      <c r="Q1088" s="15" t="b">
        <v>0</v>
      </c>
    </row>
    <row r="1089" spans="1:17" ht="14.45" hidden="1">
      <c r="A1089" s="15">
        <v>2048</v>
      </c>
      <c r="B1089" s="15">
        <v>1088</v>
      </c>
      <c r="C1089" s="15">
        <v>0</v>
      </c>
      <c r="D1089" s="15">
        <v>1</v>
      </c>
      <c r="E1089" s="15" t="b">
        <v>1</v>
      </c>
      <c r="F1089" s="15" t="b">
        <v>0</v>
      </c>
      <c r="G1089" s="18" t="s">
        <v>206</v>
      </c>
      <c r="H1089" s="15" t="s">
        <v>2563</v>
      </c>
      <c r="I1089" s="18" t="s">
        <v>216</v>
      </c>
      <c r="J1089" s="15"/>
      <c r="K1089" s="15"/>
      <c r="L1089" s="120" t="s">
        <v>2457</v>
      </c>
      <c r="M1089" s="15" t="s">
        <v>2568</v>
      </c>
      <c r="N1089" s="15"/>
      <c r="O1089" s="15"/>
      <c r="P1089" s="15" t="s">
        <v>2569</v>
      </c>
      <c r="Q1089" s="15" t="b">
        <v>0</v>
      </c>
    </row>
    <row r="1090" spans="1:17" ht="14.45" hidden="1">
      <c r="A1090" s="15">
        <v>2049</v>
      </c>
      <c r="B1090" s="15">
        <v>1089</v>
      </c>
      <c r="C1090" s="15">
        <v>0</v>
      </c>
      <c r="D1090" s="15">
        <v>1</v>
      </c>
      <c r="E1090" s="15" t="b">
        <v>1</v>
      </c>
      <c r="F1090" s="15" t="b">
        <v>0</v>
      </c>
      <c r="G1090" s="18" t="s">
        <v>206</v>
      </c>
      <c r="H1090" s="15" t="s">
        <v>2570</v>
      </c>
      <c r="I1090" s="18" t="s">
        <v>208</v>
      </c>
      <c r="J1090" s="15"/>
      <c r="K1090" s="15"/>
      <c r="L1090" s="120" t="s">
        <v>2457</v>
      </c>
      <c r="M1090" s="15" t="s">
        <v>2571</v>
      </c>
      <c r="N1090" s="15"/>
      <c r="O1090" s="15"/>
      <c r="P1090" s="15" t="s">
        <v>2572</v>
      </c>
      <c r="Q1090" s="15" t="b">
        <v>0</v>
      </c>
    </row>
    <row r="1091" spans="1:17" ht="14.45" hidden="1">
      <c r="A1091" s="15">
        <v>2050</v>
      </c>
      <c r="B1091" s="15">
        <v>1090</v>
      </c>
      <c r="C1091" s="15">
        <v>0</v>
      </c>
      <c r="D1091" s="15">
        <v>1</v>
      </c>
      <c r="E1091" s="15" t="b">
        <v>1</v>
      </c>
      <c r="F1091" s="15" t="b">
        <v>0</v>
      </c>
      <c r="G1091" s="18" t="s">
        <v>206</v>
      </c>
      <c r="H1091" s="15" t="s">
        <v>2570</v>
      </c>
      <c r="I1091" s="18" t="s">
        <v>2468</v>
      </c>
      <c r="J1091" s="15"/>
      <c r="K1091" s="15"/>
      <c r="L1091" s="120" t="s">
        <v>2457</v>
      </c>
      <c r="M1091" s="15" t="s">
        <v>2573</v>
      </c>
      <c r="N1091" s="15"/>
      <c r="O1091" s="15"/>
      <c r="P1091" s="15" t="s">
        <v>2574</v>
      </c>
      <c r="Q1091" s="15" t="b">
        <v>0</v>
      </c>
    </row>
    <row r="1092" spans="1:17" ht="14.45" hidden="1">
      <c r="A1092" s="15">
        <v>2051</v>
      </c>
      <c r="B1092" s="15">
        <v>1091</v>
      </c>
      <c r="C1092" s="15">
        <v>0</v>
      </c>
      <c r="D1092" s="15">
        <v>1</v>
      </c>
      <c r="E1092" s="15" t="b">
        <v>1</v>
      </c>
      <c r="F1092" s="15" t="b">
        <v>0</v>
      </c>
      <c r="G1092" s="18" t="s">
        <v>206</v>
      </c>
      <c r="H1092" s="15" t="s">
        <v>2570</v>
      </c>
      <c r="I1092" s="18" t="s">
        <v>216</v>
      </c>
      <c r="J1092" s="15"/>
      <c r="K1092" s="15"/>
      <c r="L1092" s="120" t="s">
        <v>2457</v>
      </c>
      <c r="M1092" s="15" t="s">
        <v>2575</v>
      </c>
      <c r="N1092" s="15"/>
      <c r="O1092" s="15"/>
      <c r="P1092" s="15" t="s">
        <v>2576</v>
      </c>
      <c r="Q1092" s="15" t="b">
        <v>0</v>
      </c>
    </row>
    <row r="1093" spans="1:17" ht="14.45" hidden="1">
      <c r="A1093" s="15">
        <v>2052</v>
      </c>
      <c r="B1093" s="15">
        <v>1092</v>
      </c>
      <c r="C1093" s="15">
        <v>0</v>
      </c>
      <c r="D1093" s="15">
        <v>1</v>
      </c>
      <c r="E1093" s="15" t="b">
        <v>1</v>
      </c>
      <c r="F1093" s="15" t="b">
        <v>0</v>
      </c>
      <c r="G1093" s="18" t="s">
        <v>206</v>
      </c>
      <c r="H1093" s="15" t="s">
        <v>2577</v>
      </c>
      <c r="I1093" s="18" t="s">
        <v>208</v>
      </c>
      <c r="J1093" s="15"/>
      <c r="K1093" s="15"/>
      <c r="L1093" s="120" t="s">
        <v>2457</v>
      </c>
      <c r="M1093" s="15" t="s">
        <v>2578</v>
      </c>
      <c r="N1093" s="15"/>
      <c r="O1093" s="15"/>
      <c r="P1093" s="15" t="s">
        <v>2579</v>
      </c>
      <c r="Q1093" s="15" t="b">
        <v>0</v>
      </c>
    </row>
    <row r="1094" spans="1:17" ht="14.45" hidden="1">
      <c r="A1094" s="15">
        <v>2053</v>
      </c>
      <c r="B1094" s="15">
        <v>1093</v>
      </c>
      <c r="C1094" s="15">
        <v>0</v>
      </c>
      <c r="D1094" s="15">
        <v>1</v>
      </c>
      <c r="E1094" s="15" t="b">
        <v>1</v>
      </c>
      <c r="F1094" s="15" t="b">
        <v>0</v>
      </c>
      <c r="G1094" s="18" t="s">
        <v>206</v>
      </c>
      <c r="H1094" s="15" t="s">
        <v>2577</v>
      </c>
      <c r="I1094" s="18" t="s">
        <v>2468</v>
      </c>
      <c r="J1094" s="15"/>
      <c r="K1094" s="15"/>
      <c r="L1094" s="120" t="s">
        <v>2457</v>
      </c>
      <c r="M1094" s="15" t="s">
        <v>2580</v>
      </c>
      <c r="N1094" s="15"/>
      <c r="O1094" s="15"/>
      <c r="P1094" s="15" t="s">
        <v>2581</v>
      </c>
      <c r="Q1094" s="15" t="b">
        <v>0</v>
      </c>
    </row>
    <row r="1095" spans="1:17" ht="14.45" hidden="1">
      <c r="A1095" s="15">
        <v>2054</v>
      </c>
      <c r="B1095" s="15">
        <v>1094</v>
      </c>
      <c r="C1095" s="15">
        <v>0</v>
      </c>
      <c r="D1095" s="15">
        <v>1</v>
      </c>
      <c r="E1095" s="15" t="b">
        <v>1</v>
      </c>
      <c r="F1095" s="15" t="b">
        <v>0</v>
      </c>
      <c r="G1095" s="18" t="s">
        <v>206</v>
      </c>
      <c r="H1095" s="15" t="s">
        <v>2577</v>
      </c>
      <c r="I1095" s="18" t="s">
        <v>216</v>
      </c>
      <c r="J1095" s="15"/>
      <c r="K1095" s="15"/>
      <c r="L1095" s="120" t="s">
        <v>2457</v>
      </c>
      <c r="M1095" s="15" t="s">
        <v>2582</v>
      </c>
      <c r="N1095" s="15"/>
      <c r="O1095" s="15"/>
      <c r="P1095" s="15" t="s">
        <v>2583</v>
      </c>
      <c r="Q1095" s="15" t="b">
        <v>0</v>
      </c>
    </row>
    <row r="1096" spans="1:17" ht="14.45" hidden="1">
      <c r="A1096" s="15">
        <v>2055</v>
      </c>
      <c r="B1096" s="15">
        <v>1095</v>
      </c>
      <c r="C1096" s="15">
        <v>0</v>
      </c>
      <c r="D1096" s="15">
        <v>1</v>
      </c>
      <c r="E1096" s="15" t="b">
        <v>1</v>
      </c>
      <c r="F1096" s="15" t="b">
        <v>0</v>
      </c>
      <c r="G1096" s="18" t="s">
        <v>206</v>
      </c>
      <c r="H1096" s="15" t="s">
        <v>2584</v>
      </c>
      <c r="I1096" s="18" t="s">
        <v>208</v>
      </c>
      <c r="J1096" s="15"/>
      <c r="K1096" s="15"/>
      <c r="L1096" s="120" t="s">
        <v>2457</v>
      </c>
      <c r="M1096" s="15" t="s">
        <v>2585</v>
      </c>
      <c r="N1096" s="15"/>
      <c r="O1096" s="15"/>
      <c r="P1096" s="15" t="s">
        <v>2586</v>
      </c>
      <c r="Q1096" s="15" t="b">
        <v>0</v>
      </c>
    </row>
    <row r="1097" spans="1:17" ht="14.45" hidden="1">
      <c r="A1097" s="15">
        <v>2056</v>
      </c>
      <c r="B1097" s="15">
        <v>1096</v>
      </c>
      <c r="C1097" s="15">
        <v>0</v>
      </c>
      <c r="D1097" s="15">
        <v>1</v>
      </c>
      <c r="E1097" s="15" t="b">
        <v>1</v>
      </c>
      <c r="F1097" s="15" t="b">
        <v>0</v>
      </c>
      <c r="G1097" s="18" t="s">
        <v>206</v>
      </c>
      <c r="H1097" s="15" t="s">
        <v>2584</v>
      </c>
      <c r="I1097" s="18" t="s">
        <v>2460</v>
      </c>
      <c r="J1097" s="15"/>
      <c r="K1097" s="15"/>
      <c r="L1097" s="120" t="s">
        <v>2457</v>
      </c>
      <c r="M1097" s="15" t="s">
        <v>2587</v>
      </c>
      <c r="N1097" s="15"/>
      <c r="O1097" s="15"/>
      <c r="P1097" s="15" t="s">
        <v>2588</v>
      </c>
      <c r="Q1097" s="15" t="b">
        <v>0</v>
      </c>
    </row>
    <row r="1098" spans="1:17" ht="14.45" hidden="1">
      <c r="A1098" s="15">
        <v>2057</v>
      </c>
      <c r="B1098" s="15">
        <v>1097</v>
      </c>
      <c r="C1098" s="15">
        <v>0</v>
      </c>
      <c r="D1098" s="15">
        <v>1</v>
      </c>
      <c r="E1098" s="15" t="b">
        <v>1</v>
      </c>
      <c r="F1098" s="15" t="b">
        <v>0</v>
      </c>
      <c r="G1098" s="18" t="s">
        <v>206</v>
      </c>
      <c r="H1098" s="15" t="s">
        <v>2584</v>
      </c>
      <c r="I1098" s="18" t="s">
        <v>216</v>
      </c>
      <c r="J1098" s="15"/>
      <c r="K1098" s="15"/>
      <c r="L1098" s="120" t="s">
        <v>2457</v>
      </c>
      <c r="M1098" s="15" t="s">
        <v>2589</v>
      </c>
      <c r="N1098" s="15"/>
      <c r="O1098" s="15"/>
      <c r="P1098" s="15" t="s">
        <v>2590</v>
      </c>
      <c r="Q1098" s="15" t="b">
        <v>0</v>
      </c>
    </row>
    <row r="1099" spans="1:17" ht="14.45" hidden="1">
      <c r="A1099" s="15">
        <v>2058</v>
      </c>
      <c r="B1099" s="15">
        <v>1098</v>
      </c>
      <c r="C1099" s="15">
        <v>0</v>
      </c>
      <c r="D1099" s="15">
        <v>1</v>
      </c>
      <c r="E1099" s="15" t="b">
        <v>1</v>
      </c>
      <c r="F1099" s="15" t="b">
        <v>0</v>
      </c>
      <c r="G1099" s="18" t="s">
        <v>206</v>
      </c>
      <c r="H1099" s="15" t="s">
        <v>2591</v>
      </c>
      <c r="I1099" s="18" t="s">
        <v>208</v>
      </c>
      <c r="J1099" s="15"/>
      <c r="K1099" s="15"/>
      <c r="L1099" s="120" t="s">
        <v>2457</v>
      </c>
      <c r="M1099" s="15" t="s">
        <v>2592</v>
      </c>
      <c r="N1099" s="15"/>
      <c r="O1099" s="15"/>
      <c r="P1099" s="15" t="s">
        <v>2593</v>
      </c>
      <c r="Q1099" s="15" t="b">
        <v>0</v>
      </c>
    </row>
    <row r="1100" spans="1:17" ht="14.45" hidden="1">
      <c r="A1100" s="15">
        <v>2059</v>
      </c>
      <c r="B1100" s="15">
        <v>1099</v>
      </c>
      <c r="C1100" s="15">
        <v>0</v>
      </c>
      <c r="D1100" s="15">
        <v>1</v>
      </c>
      <c r="E1100" s="15" t="b">
        <v>1</v>
      </c>
      <c r="F1100" s="15" t="b">
        <v>0</v>
      </c>
      <c r="G1100" s="18" t="s">
        <v>206</v>
      </c>
      <c r="H1100" s="15" t="s">
        <v>2591</v>
      </c>
      <c r="I1100" s="18" t="s">
        <v>2468</v>
      </c>
      <c r="J1100" s="15"/>
      <c r="K1100" s="15"/>
      <c r="L1100" s="120" t="s">
        <v>2457</v>
      </c>
      <c r="M1100" s="15" t="s">
        <v>2594</v>
      </c>
      <c r="N1100" s="15"/>
      <c r="O1100" s="15"/>
      <c r="P1100" s="15" t="s">
        <v>2595</v>
      </c>
      <c r="Q1100" s="15" t="b">
        <v>0</v>
      </c>
    </row>
    <row r="1101" spans="1:17" ht="14.45" hidden="1">
      <c r="A1101" s="15">
        <v>2060</v>
      </c>
      <c r="B1101" s="15">
        <v>1100</v>
      </c>
      <c r="C1101" s="15">
        <v>0</v>
      </c>
      <c r="D1101" s="15">
        <v>1</v>
      </c>
      <c r="E1101" s="15" t="b">
        <v>1</v>
      </c>
      <c r="F1101" s="15" t="b">
        <v>0</v>
      </c>
      <c r="G1101" s="18" t="s">
        <v>206</v>
      </c>
      <c r="H1101" s="15" t="s">
        <v>2591</v>
      </c>
      <c r="I1101" s="18" t="s">
        <v>216</v>
      </c>
      <c r="J1101" s="15"/>
      <c r="K1101" s="15"/>
      <c r="L1101" s="120" t="s">
        <v>2457</v>
      </c>
      <c r="M1101" s="15" t="s">
        <v>2596</v>
      </c>
      <c r="N1101" s="15"/>
      <c r="O1101" s="15"/>
      <c r="P1101" s="15" t="s">
        <v>2597</v>
      </c>
      <c r="Q1101" s="15" t="b">
        <v>0</v>
      </c>
    </row>
    <row r="1102" spans="1:17" ht="14.45" hidden="1">
      <c r="A1102" s="15">
        <v>2061</v>
      </c>
      <c r="B1102" s="15">
        <v>1101</v>
      </c>
      <c r="C1102" s="15">
        <v>0</v>
      </c>
      <c r="D1102" s="15">
        <v>1</v>
      </c>
      <c r="E1102" s="15" t="b">
        <v>1</v>
      </c>
      <c r="F1102" s="15" t="b">
        <v>0</v>
      </c>
      <c r="G1102" s="18" t="s">
        <v>206</v>
      </c>
      <c r="H1102" s="15" t="s">
        <v>2598</v>
      </c>
      <c r="I1102" s="18" t="s">
        <v>208</v>
      </c>
      <c r="J1102" s="15"/>
      <c r="K1102" s="15"/>
      <c r="L1102" s="120" t="s">
        <v>2457</v>
      </c>
      <c r="M1102" s="15" t="s">
        <v>2599</v>
      </c>
      <c r="N1102" s="15"/>
      <c r="O1102" s="15"/>
      <c r="P1102" s="15" t="s">
        <v>2600</v>
      </c>
      <c r="Q1102" s="15" t="b">
        <v>0</v>
      </c>
    </row>
    <row r="1103" spans="1:17" ht="14.45" hidden="1">
      <c r="A1103" s="15">
        <v>2062</v>
      </c>
      <c r="B1103" s="15">
        <v>1102</v>
      </c>
      <c r="C1103" s="15">
        <v>0</v>
      </c>
      <c r="D1103" s="15">
        <v>1</v>
      </c>
      <c r="E1103" s="15" t="b">
        <v>1</v>
      </c>
      <c r="F1103" s="15" t="b">
        <v>0</v>
      </c>
      <c r="G1103" s="18" t="s">
        <v>206</v>
      </c>
      <c r="H1103" s="15" t="s">
        <v>2598</v>
      </c>
      <c r="I1103" s="18" t="s">
        <v>2468</v>
      </c>
      <c r="J1103" s="15"/>
      <c r="K1103" s="15"/>
      <c r="L1103" s="120" t="s">
        <v>2457</v>
      </c>
      <c r="M1103" s="15" t="s">
        <v>2601</v>
      </c>
      <c r="N1103" s="15"/>
      <c r="O1103" s="15"/>
      <c r="P1103" s="15" t="s">
        <v>2602</v>
      </c>
      <c r="Q1103" s="15" t="b">
        <v>0</v>
      </c>
    </row>
    <row r="1104" spans="1:17" ht="14.45" hidden="1">
      <c r="A1104" s="15">
        <v>2063</v>
      </c>
      <c r="B1104" s="15">
        <v>1103</v>
      </c>
      <c r="C1104" s="15">
        <v>0</v>
      </c>
      <c r="D1104" s="15">
        <v>1</v>
      </c>
      <c r="E1104" s="15" t="b">
        <v>1</v>
      </c>
      <c r="F1104" s="15" t="b">
        <v>0</v>
      </c>
      <c r="G1104" s="18" t="s">
        <v>206</v>
      </c>
      <c r="H1104" s="15" t="s">
        <v>2598</v>
      </c>
      <c r="I1104" s="18" t="s">
        <v>216</v>
      </c>
      <c r="J1104" s="15"/>
      <c r="K1104" s="15"/>
      <c r="L1104" s="120" t="s">
        <v>2457</v>
      </c>
      <c r="M1104" s="15" t="s">
        <v>2603</v>
      </c>
      <c r="N1104" s="15"/>
      <c r="O1104" s="15"/>
      <c r="P1104" s="15" t="s">
        <v>2604</v>
      </c>
      <c r="Q1104" s="15" t="b">
        <v>0</v>
      </c>
    </row>
    <row r="1105" spans="1:17" ht="14.45" hidden="1">
      <c r="A1105" s="15">
        <v>2064</v>
      </c>
      <c r="B1105" s="15">
        <v>1104</v>
      </c>
      <c r="C1105" s="15">
        <v>0</v>
      </c>
      <c r="D1105" s="15">
        <v>1</v>
      </c>
      <c r="E1105" s="15" t="b">
        <v>1</v>
      </c>
      <c r="F1105" s="15" t="b">
        <v>0</v>
      </c>
      <c r="G1105" s="18" t="s">
        <v>206</v>
      </c>
      <c r="H1105" s="15" t="s">
        <v>2605</v>
      </c>
      <c r="I1105" s="18" t="s">
        <v>208</v>
      </c>
      <c r="J1105" s="15"/>
      <c r="K1105" s="15"/>
      <c r="L1105" s="120" t="s">
        <v>2457</v>
      </c>
      <c r="M1105" s="15" t="s">
        <v>2606</v>
      </c>
      <c r="N1105" s="15"/>
      <c r="O1105" s="15"/>
      <c r="P1105" s="15" t="s">
        <v>2607</v>
      </c>
      <c r="Q1105" s="15" t="b">
        <v>0</v>
      </c>
    </row>
    <row r="1106" spans="1:17" ht="14.45" hidden="1">
      <c r="A1106" s="15">
        <v>2065</v>
      </c>
      <c r="B1106" s="15">
        <v>1105</v>
      </c>
      <c r="C1106" s="15">
        <v>0</v>
      </c>
      <c r="D1106" s="15">
        <v>1</v>
      </c>
      <c r="E1106" s="15" t="b">
        <v>1</v>
      </c>
      <c r="F1106" s="15" t="b">
        <v>0</v>
      </c>
      <c r="G1106" s="18" t="s">
        <v>206</v>
      </c>
      <c r="H1106" s="15" t="s">
        <v>2605</v>
      </c>
      <c r="I1106" s="18" t="s">
        <v>2460</v>
      </c>
      <c r="J1106" s="15"/>
      <c r="K1106" s="15"/>
      <c r="L1106" s="120" t="s">
        <v>2457</v>
      </c>
      <c r="M1106" s="15" t="s">
        <v>2608</v>
      </c>
      <c r="N1106" s="15"/>
      <c r="O1106" s="15"/>
      <c r="P1106" s="15" t="s">
        <v>2609</v>
      </c>
      <c r="Q1106" s="15" t="b">
        <v>0</v>
      </c>
    </row>
    <row r="1107" spans="1:17" ht="14.45" hidden="1">
      <c r="A1107" s="15">
        <v>2066</v>
      </c>
      <c r="B1107" s="15">
        <v>1106</v>
      </c>
      <c r="C1107" s="15">
        <v>0</v>
      </c>
      <c r="D1107" s="15">
        <v>1</v>
      </c>
      <c r="E1107" s="15" t="b">
        <v>1</v>
      </c>
      <c r="F1107" s="15" t="b">
        <v>0</v>
      </c>
      <c r="G1107" s="18" t="s">
        <v>206</v>
      </c>
      <c r="H1107" s="15" t="s">
        <v>2605</v>
      </c>
      <c r="I1107" s="18" t="s">
        <v>216</v>
      </c>
      <c r="J1107" s="15"/>
      <c r="K1107" s="15"/>
      <c r="L1107" s="120" t="s">
        <v>2457</v>
      </c>
      <c r="M1107" s="15" t="s">
        <v>2610</v>
      </c>
      <c r="N1107" s="15"/>
      <c r="O1107" s="15"/>
      <c r="P1107" s="15" t="s">
        <v>2611</v>
      </c>
      <c r="Q1107" s="15" t="b">
        <v>0</v>
      </c>
    </row>
    <row r="1108" spans="1:17" ht="14.45" hidden="1">
      <c r="A1108" s="15">
        <v>2067</v>
      </c>
      <c r="B1108" s="15">
        <v>1107</v>
      </c>
      <c r="C1108" s="15">
        <v>0</v>
      </c>
      <c r="D1108" s="15">
        <v>1</v>
      </c>
      <c r="E1108" s="15" t="b">
        <v>1</v>
      </c>
      <c r="F1108" s="15" t="b">
        <v>0</v>
      </c>
      <c r="G1108" s="18" t="s">
        <v>206</v>
      </c>
      <c r="H1108" s="15" t="s">
        <v>2612</v>
      </c>
      <c r="I1108" s="18" t="s">
        <v>208</v>
      </c>
      <c r="J1108" s="15"/>
      <c r="K1108" s="15"/>
      <c r="L1108" s="120" t="s">
        <v>2457</v>
      </c>
      <c r="M1108" s="15" t="s">
        <v>2613</v>
      </c>
      <c r="N1108" s="15"/>
      <c r="O1108" s="15"/>
      <c r="P1108" s="15" t="s">
        <v>2614</v>
      </c>
      <c r="Q1108" s="15" t="b">
        <v>0</v>
      </c>
    </row>
    <row r="1109" spans="1:17" ht="14.45" hidden="1">
      <c r="A1109" s="15">
        <v>2068</v>
      </c>
      <c r="B1109" s="15">
        <v>1108</v>
      </c>
      <c r="C1109" s="15">
        <v>0</v>
      </c>
      <c r="D1109" s="15">
        <v>1</v>
      </c>
      <c r="E1109" s="15" t="b">
        <v>1</v>
      </c>
      <c r="F1109" s="15" t="b">
        <v>0</v>
      </c>
      <c r="G1109" s="18" t="s">
        <v>206</v>
      </c>
      <c r="H1109" s="15" t="s">
        <v>2612</v>
      </c>
      <c r="I1109" s="18" t="s">
        <v>2468</v>
      </c>
      <c r="J1109" s="15"/>
      <c r="K1109" s="15"/>
      <c r="L1109" s="120" t="s">
        <v>2457</v>
      </c>
      <c r="M1109" s="15" t="s">
        <v>2615</v>
      </c>
      <c r="N1109" s="15"/>
      <c r="O1109" s="15"/>
      <c r="P1109" s="15" t="s">
        <v>2616</v>
      </c>
      <c r="Q1109" s="15" t="b">
        <v>0</v>
      </c>
    </row>
    <row r="1110" spans="1:17" ht="14.45" hidden="1">
      <c r="A1110" s="15">
        <v>2069</v>
      </c>
      <c r="B1110" s="15">
        <v>1109</v>
      </c>
      <c r="C1110" s="15">
        <v>0</v>
      </c>
      <c r="D1110" s="15">
        <v>1</v>
      </c>
      <c r="E1110" s="15" t="b">
        <v>1</v>
      </c>
      <c r="F1110" s="15" t="b">
        <v>0</v>
      </c>
      <c r="G1110" s="18" t="s">
        <v>206</v>
      </c>
      <c r="H1110" s="15" t="s">
        <v>2612</v>
      </c>
      <c r="I1110" s="18" t="s">
        <v>216</v>
      </c>
      <c r="J1110" s="15"/>
      <c r="K1110" s="15"/>
      <c r="L1110" s="120" t="s">
        <v>2457</v>
      </c>
      <c r="M1110" s="15" t="s">
        <v>2617</v>
      </c>
      <c r="N1110" s="15"/>
      <c r="O1110" s="15"/>
      <c r="P1110" s="15" t="s">
        <v>2618</v>
      </c>
      <c r="Q1110" s="15" t="b">
        <v>0</v>
      </c>
    </row>
    <row r="1111" spans="1:17" ht="14.45" hidden="1">
      <c r="A1111" s="15">
        <v>2070</v>
      </c>
      <c r="B1111" s="15">
        <v>1110</v>
      </c>
      <c r="C1111" s="15">
        <v>0</v>
      </c>
      <c r="D1111" s="15">
        <v>1</v>
      </c>
      <c r="E1111" s="15" t="b">
        <v>1</v>
      </c>
      <c r="F1111" s="15" t="b">
        <v>0</v>
      </c>
      <c r="G1111" s="18" t="s">
        <v>206</v>
      </c>
      <c r="H1111" s="15" t="s">
        <v>2619</v>
      </c>
      <c r="I1111" s="18" t="s">
        <v>208</v>
      </c>
      <c r="J1111" s="15"/>
      <c r="K1111" s="15"/>
      <c r="L1111" s="120" t="s">
        <v>2457</v>
      </c>
      <c r="M1111" s="15" t="s">
        <v>2620</v>
      </c>
      <c r="N1111" s="15"/>
      <c r="O1111" s="15"/>
      <c r="P1111" s="15" t="s">
        <v>2621</v>
      </c>
      <c r="Q1111" s="15" t="b">
        <v>0</v>
      </c>
    </row>
    <row r="1112" spans="1:17" ht="14.45" hidden="1">
      <c r="A1112" s="15">
        <v>2071</v>
      </c>
      <c r="B1112" s="15">
        <v>1111</v>
      </c>
      <c r="C1112" s="15">
        <v>0</v>
      </c>
      <c r="D1112" s="15">
        <v>1</v>
      </c>
      <c r="E1112" s="15" t="b">
        <v>1</v>
      </c>
      <c r="F1112" s="15" t="b">
        <v>0</v>
      </c>
      <c r="G1112" s="18" t="s">
        <v>206</v>
      </c>
      <c r="H1112" s="15" t="s">
        <v>2619</v>
      </c>
      <c r="I1112" s="18" t="s">
        <v>2468</v>
      </c>
      <c r="J1112" s="15"/>
      <c r="K1112" s="15"/>
      <c r="L1112" s="120" t="s">
        <v>2457</v>
      </c>
      <c r="M1112" s="15" t="s">
        <v>2622</v>
      </c>
      <c r="N1112" s="15"/>
      <c r="O1112" s="15"/>
      <c r="P1112" s="15" t="s">
        <v>2623</v>
      </c>
      <c r="Q1112" s="15" t="b">
        <v>0</v>
      </c>
    </row>
    <row r="1113" spans="1:17" ht="14.45" hidden="1">
      <c r="A1113" s="15">
        <v>2072</v>
      </c>
      <c r="B1113" s="15">
        <v>1112</v>
      </c>
      <c r="C1113" s="15">
        <v>0</v>
      </c>
      <c r="D1113" s="15">
        <v>1</v>
      </c>
      <c r="E1113" s="15" t="b">
        <v>1</v>
      </c>
      <c r="F1113" s="15" t="b">
        <v>0</v>
      </c>
      <c r="G1113" s="18" t="s">
        <v>206</v>
      </c>
      <c r="H1113" s="15" t="s">
        <v>2619</v>
      </c>
      <c r="I1113" s="18" t="s">
        <v>216</v>
      </c>
      <c r="J1113" s="15"/>
      <c r="K1113" s="15"/>
      <c r="L1113" s="120" t="s">
        <v>2457</v>
      </c>
      <c r="M1113" s="15" t="s">
        <v>2624</v>
      </c>
      <c r="N1113" s="15"/>
      <c r="O1113" s="15"/>
      <c r="P1113" s="15" t="s">
        <v>2625</v>
      </c>
      <c r="Q1113" s="15" t="b">
        <v>0</v>
      </c>
    </row>
    <row r="1114" spans="1:17" ht="14.45" hidden="1">
      <c r="A1114" s="15">
        <v>2073</v>
      </c>
      <c r="B1114" s="15">
        <v>1113</v>
      </c>
      <c r="C1114" s="15">
        <v>0</v>
      </c>
      <c r="D1114" s="15">
        <v>73</v>
      </c>
      <c r="E1114" s="15" t="b">
        <v>1</v>
      </c>
      <c r="F1114" s="15" t="b">
        <v>0</v>
      </c>
      <c r="G1114" s="18" t="s">
        <v>206</v>
      </c>
      <c r="H1114" s="15" t="s">
        <v>2626</v>
      </c>
      <c r="I1114" s="18" t="s">
        <v>208</v>
      </c>
      <c r="J1114" s="15" t="s">
        <v>2627</v>
      </c>
      <c r="K1114" s="15"/>
      <c r="L1114" s="120" t="s">
        <v>2457</v>
      </c>
      <c r="M1114" s="15" t="s">
        <v>2628</v>
      </c>
      <c r="N1114" s="15"/>
      <c r="O1114" s="15"/>
      <c r="P1114" s="15" t="s">
        <v>2628</v>
      </c>
      <c r="Q1114" s="15" t="b">
        <v>0</v>
      </c>
    </row>
    <row r="1115" spans="1:17" ht="14.45" hidden="1">
      <c r="A1115" s="15">
        <v>2074</v>
      </c>
      <c r="B1115" s="15">
        <v>1114</v>
      </c>
      <c r="C1115" s="15">
        <v>0</v>
      </c>
      <c r="D1115" s="15">
        <v>73</v>
      </c>
      <c r="E1115" s="15" t="b">
        <v>1</v>
      </c>
      <c r="F1115" s="15" t="b">
        <v>0</v>
      </c>
      <c r="G1115" s="18" t="s">
        <v>206</v>
      </c>
      <c r="H1115" s="15" t="s">
        <v>2626</v>
      </c>
      <c r="I1115" s="18" t="s">
        <v>2468</v>
      </c>
      <c r="J1115" s="15"/>
      <c r="K1115" s="15"/>
      <c r="L1115" s="120" t="s">
        <v>2457</v>
      </c>
      <c r="M1115" s="15" t="s">
        <v>2629</v>
      </c>
      <c r="N1115" s="15"/>
      <c r="O1115" s="15"/>
      <c r="P1115" s="15" t="s">
        <v>2629</v>
      </c>
      <c r="Q1115" s="15" t="b">
        <v>0</v>
      </c>
    </row>
    <row r="1116" spans="1:17" ht="14.45" hidden="1">
      <c r="A1116" s="15">
        <v>2075</v>
      </c>
      <c r="B1116" s="15">
        <v>1115</v>
      </c>
      <c r="C1116" s="15">
        <v>0</v>
      </c>
      <c r="D1116" s="15">
        <v>73</v>
      </c>
      <c r="E1116" s="15" t="b">
        <v>1</v>
      </c>
      <c r="F1116" s="15" t="b">
        <v>0</v>
      </c>
      <c r="G1116" s="18" t="s">
        <v>206</v>
      </c>
      <c r="H1116" s="15" t="s">
        <v>2626</v>
      </c>
      <c r="I1116" s="18" t="s">
        <v>216</v>
      </c>
      <c r="J1116" s="15"/>
      <c r="K1116" s="15"/>
      <c r="L1116" s="120" t="s">
        <v>2457</v>
      </c>
      <c r="M1116" s="15" t="s">
        <v>2630</v>
      </c>
      <c r="N1116" s="15"/>
      <c r="O1116" s="15"/>
      <c r="P1116" s="15" t="s">
        <v>2630</v>
      </c>
      <c r="Q1116" s="15" t="b">
        <v>0</v>
      </c>
    </row>
    <row r="1117" spans="1:17" ht="14.45" hidden="1">
      <c r="A1117" s="15">
        <v>2076</v>
      </c>
      <c r="B1117" s="15">
        <v>1116</v>
      </c>
      <c r="C1117" s="15">
        <v>0</v>
      </c>
      <c r="D1117" s="15">
        <v>73</v>
      </c>
      <c r="E1117" s="15" t="b">
        <v>1</v>
      </c>
      <c r="F1117" s="15" t="b">
        <v>0</v>
      </c>
      <c r="G1117" s="18" t="s">
        <v>206</v>
      </c>
      <c r="H1117" s="15" t="s">
        <v>2631</v>
      </c>
      <c r="I1117" s="18" t="s">
        <v>208</v>
      </c>
      <c r="J1117" s="15"/>
      <c r="K1117" s="15"/>
      <c r="L1117" s="120" t="s">
        <v>2457</v>
      </c>
      <c r="M1117" s="15" t="s">
        <v>2632</v>
      </c>
      <c r="N1117" s="15"/>
      <c r="O1117" s="15"/>
      <c r="P1117" s="15" t="s">
        <v>2632</v>
      </c>
      <c r="Q1117" s="15" t="b">
        <v>0</v>
      </c>
    </row>
    <row r="1118" spans="1:17" ht="14.45" hidden="1">
      <c r="A1118" s="15">
        <v>2077</v>
      </c>
      <c r="B1118" s="15">
        <v>1117</v>
      </c>
      <c r="C1118" s="15">
        <v>0</v>
      </c>
      <c r="D1118" s="15">
        <v>73</v>
      </c>
      <c r="E1118" s="15" t="b">
        <v>1</v>
      </c>
      <c r="F1118" s="15" t="b">
        <v>0</v>
      </c>
      <c r="G1118" s="18" t="s">
        <v>206</v>
      </c>
      <c r="H1118" s="15" t="s">
        <v>2631</v>
      </c>
      <c r="I1118" s="18" t="s">
        <v>2468</v>
      </c>
      <c r="J1118" s="15"/>
      <c r="K1118" s="15"/>
      <c r="L1118" s="120" t="s">
        <v>2457</v>
      </c>
      <c r="M1118" s="15" t="s">
        <v>2633</v>
      </c>
      <c r="N1118" s="15"/>
      <c r="O1118" s="15"/>
      <c r="P1118" s="15" t="s">
        <v>2633</v>
      </c>
      <c r="Q1118" s="15" t="b">
        <v>0</v>
      </c>
    </row>
    <row r="1119" spans="1:17" ht="14.45" hidden="1">
      <c r="A1119" s="15">
        <v>2078</v>
      </c>
      <c r="B1119" s="15">
        <v>1118</v>
      </c>
      <c r="C1119" s="15">
        <v>0</v>
      </c>
      <c r="D1119" s="15">
        <v>73</v>
      </c>
      <c r="E1119" s="15" t="b">
        <v>1</v>
      </c>
      <c r="F1119" s="15" t="b">
        <v>0</v>
      </c>
      <c r="G1119" s="18" t="s">
        <v>206</v>
      </c>
      <c r="H1119" s="15" t="s">
        <v>2631</v>
      </c>
      <c r="I1119" s="18" t="s">
        <v>216</v>
      </c>
      <c r="J1119" s="15"/>
      <c r="K1119" s="15"/>
      <c r="L1119" s="120" t="s">
        <v>2457</v>
      </c>
      <c r="M1119" s="15" t="s">
        <v>2634</v>
      </c>
      <c r="N1119" s="15"/>
      <c r="O1119" s="15"/>
      <c r="P1119" s="15" t="s">
        <v>2634</v>
      </c>
      <c r="Q1119" s="15" t="b">
        <v>0</v>
      </c>
    </row>
    <row r="1120" spans="1:17" ht="14.45" hidden="1">
      <c r="A1120" s="15">
        <v>2079</v>
      </c>
      <c r="B1120" s="15">
        <v>1119</v>
      </c>
      <c r="C1120" s="15">
        <v>0</v>
      </c>
      <c r="D1120" s="15">
        <v>73</v>
      </c>
      <c r="E1120" s="15" t="b">
        <v>1</v>
      </c>
      <c r="F1120" s="15" t="b">
        <v>0</v>
      </c>
      <c r="G1120" s="18" t="s">
        <v>206</v>
      </c>
      <c r="H1120" s="15" t="s">
        <v>2635</v>
      </c>
      <c r="I1120" s="18" t="s">
        <v>208</v>
      </c>
      <c r="J1120" s="15"/>
      <c r="K1120" s="15"/>
      <c r="L1120" s="120" t="s">
        <v>2457</v>
      </c>
      <c r="M1120" s="15" t="s">
        <v>2636</v>
      </c>
      <c r="N1120" s="15"/>
      <c r="O1120" s="15"/>
      <c r="P1120" s="15" t="s">
        <v>2636</v>
      </c>
      <c r="Q1120" s="15" t="b">
        <v>0</v>
      </c>
    </row>
    <row r="1121" spans="1:17" ht="14.45" hidden="1">
      <c r="A1121" s="15">
        <v>2080</v>
      </c>
      <c r="B1121" s="15">
        <v>1120</v>
      </c>
      <c r="C1121" s="15">
        <v>0</v>
      </c>
      <c r="D1121" s="15">
        <v>73</v>
      </c>
      <c r="E1121" s="15" t="b">
        <v>1</v>
      </c>
      <c r="F1121" s="15" t="b">
        <v>0</v>
      </c>
      <c r="G1121" s="18" t="s">
        <v>206</v>
      </c>
      <c r="H1121" s="15" t="s">
        <v>2635</v>
      </c>
      <c r="I1121" s="18" t="s">
        <v>2468</v>
      </c>
      <c r="J1121" s="15"/>
      <c r="K1121" s="15"/>
      <c r="L1121" s="120" t="s">
        <v>2457</v>
      </c>
      <c r="M1121" s="15" t="s">
        <v>2637</v>
      </c>
      <c r="N1121" s="15"/>
      <c r="O1121" s="15"/>
      <c r="P1121" s="15" t="s">
        <v>2637</v>
      </c>
      <c r="Q1121" s="15" t="b">
        <v>0</v>
      </c>
    </row>
    <row r="1122" spans="1:17" ht="14.45" hidden="1">
      <c r="A1122" s="15">
        <v>2081</v>
      </c>
      <c r="B1122" s="15">
        <v>1121</v>
      </c>
      <c r="C1122" s="15">
        <v>0</v>
      </c>
      <c r="D1122" s="15">
        <v>73</v>
      </c>
      <c r="E1122" s="15" t="b">
        <v>1</v>
      </c>
      <c r="F1122" s="15" t="b">
        <v>0</v>
      </c>
      <c r="G1122" s="18" t="s">
        <v>206</v>
      </c>
      <c r="H1122" s="15" t="s">
        <v>2635</v>
      </c>
      <c r="I1122" s="18" t="s">
        <v>216</v>
      </c>
      <c r="J1122" s="15"/>
      <c r="K1122" s="15"/>
      <c r="L1122" s="120" t="s">
        <v>2457</v>
      </c>
      <c r="M1122" s="15" t="s">
        <v>2638</v>
      </c>
      <c r="N1122" s="15"/>
      <c r="O1122" s="15"/>
      <c r="P1122" s="15" t="s">
        <v>2638</v>
      </c>
      <c r="Q1122" s="15" t="b">
        <v>0</v>
      </c>
    </row>
    <row r="1123" spans="1:17" ht="14.45" hidden="1">
      <c r="A1123" s="15">
        <v>2082</v>
      </c>
      <c r="B1123" s="15">
        <v>1122</v>
      </c>
      <c r="C1123" s="15">
        <v>0</v>
      </c>
      <c r="D1123" s="15">
        <v>73</v>
      </c>
      <c r="E1123" s="15" t="b">
        <v>1</v>
      </c>
      <c r="F1123" s="15" t="b">
        <v>0</v>
      </c>
      <c r="G1123" s="18" t="s">
        <v>206</v>
      </c>
      <c r="H1123" s="15" t="s">
        <v>2639</v>
      </c>
      <c r="I1123" s="18" t="s">
        <v>208</v>
      </c>
      <c r="J1123" s="15"/>
      <c r="K1123" s="15"/>
      <c r="L1123" s="120" t="s">
        <v>2457</v>
      </c>
      <c r="M1123" s="15" t="s">
        <v>2640</v>
      </c>
      <c r="N1123" s="15"/>
      <c r="O1123" s="15"/>
      <c r="P1123" s="15" t="s">
        <v>2640</v>
      </c>
      <c r="Q1123" s="15" t="b">
        <v>0</v>
      </c>
    </row>
    <row r="1124" spans="1:17" ht="14.45" hidden="1">
      <c r="A1124" s="15">
        <v>2083</v>
      </c>
      <c r="B1124" s="15">
        <v>1123</v>
      </c>
      <c r="C1124" s="15">
        <v>0</v>
      </c>
      <c r="D1124" s="15">
        <v>73</v>
      </c>
      <c r="E1124" s="15" t="b">
        <v>1</v>
      </c>
      <c r="F1124" s="15" t="b">
        <v>0</v>
      </c>
      <c r="G1124" s="18" t="s">
        <v>206</v>
      </c>
      <c r="H1124" s="15" t="s">
        <v>2639</v>
      </c>
      <c r="I1124" s="18" t="s">
        <v>2468</v>
      </c>
      <c r="J1124" s="15"/>
      <c r="K1124" s="15"/>
      <c r="L1124" s="120" t="s">
        <v>2457</v>
      </c>
      <c r="M1124" s="15" t="s">
        <v>2641</v>
      </c>
      <c r="N1124" s="15"/>
      <c r="O1124" s="15"/>
      <c r="P1124" s="15" t="s">
        <v>2641</v>
      </c>
      <c r="Q1124" s="15" t="b">
        <v>0</v>
      </c>
    </row>
    <row r="1125" spans="1:17" ht="14.45" hidden="1">
      <c r="A1125" s="15">
        <v>2084</v>
      </c>
      <c r="B1125" s="15">
        <v>1124</v>
      </c>
      <c r="C1125" s="15">
        <v>0</v>
      </c>
      <c r="D1125" s="15">
        <v>73</v>
      </c>
      <c r="E1125" s="15" t="b">
        <v>1</v>
      </c>
      <c r="F1125" s="15" t="b">
        <v>0</v>
      </c>
      <c r="G1125" s="18" t="s">
        <v>206</v>
      </c>
      <c r="H1125" s="15" t="s">
        <v>2639</v>
      </c>
      <c r="I1125" s="18" t="s">
        <v>216</v>
      </c>
      <c r="J1125" s="15"/>
      <c r="K1125" s="15"/>
      <c r="L1125" s="120" t="s">
        <v>2457</v>
      </c>
      <c r="M1125" s="15" t="s">
        <v>2642</v>
      </c>
      <c r="N1125" s="15"/>
      <c r="O1125" s="15"/>
      <c r="P1125" s="15" t="s">
        <v>2642</v>
      </c>
      <c r="Q1125" s="15" t="b">
        <v>0</v>
      </c>
    </row>
    <row r="1126" spans="1:17" ht="14.45" hidden="1">
      <c r="A1126" s="15">
        <v>2085</v>
      </c>
      <c r="B1126" s="15">
        <v>1125</v>
      </c>
      <c r="C1126" s="15">
        <v>0</v>
      </c>
      <c r="D1126" s="15">
        <v>73</v>
      </c>
      <c r="E1126" s="15" t="b">
        <v>1</v>
      </c>
      <c r="F1126" s="15" t="b">
        <v>0</v>
      </c>
      <c r="G1126" s="18" t="s">
        <v>206</v>
      </c>
      <c r="H1126" s="15" t="s">
        <v>2643</v>
      </c>
      <c r="I1126" s="18" t="s">
        <v>208</v>
      </c>
      <c r="J1126" s="15"/>
      <c r="K1126" s="15"/>
      <c r="L1126" s="120" t="s">
        <v>2457</v>
      </c>
      <c r="M1126" s="15" t="s">
        <v>2644</v>
      </c>
      <c r="N1126" s="15"/>
      <c r="O1126" s="15"/>
      <c r="P1126" s="15" t="s">
        <v>2644</v>
      </c>
      <c r="Q1126" s="15" t="b">
        <v>0</v>
      </c>
    </row>
    <row r="1127" spans="1:17" ht="14.45" hidden="1">
      <c r="A1127" s="15">
        <v>2086</v>
      </c>
      <c r="B1127" s="15">
        <v>1126</v>
      </c>
      <c r="C1127" s="15">
        <v>0</v>
      </c>
      <c r="D1127" s="15">
        <v>73</v>
      </c>
      <c r="E1127" s="15" t="b">
        <v>1</v>
      </c>
      <c r="F1127" s="15" t="b">
        <v>0</v>
      </c>
      <c r="G1127" s="18" t="s">
        <v>206</v>
      </c>
      <c r="H1127" s="15" t="s">
        <v>2643</v>
      </c>
      <c r="I1127" s="18" t="s">
        <v>2468</v>
      </c>
      <c r="J1127" s="15"/>
      <c r="K1127" s="15"/>
      <c r="L1127" s="120" t="s">
        <v>2457</v>
      </c>
      <c r="M1127" s="15" t="s">
        <v>2645</v>
      </c>
      <c r="N1127" s="15"/>
      <c r="O1127" s="15"/>
      <c r="P1127" s="15" t="s">
        <v>2645</v>
      </c>
      <c r="Q1127" s="15" t="b">
        <v>0</v>
      </c>
    </row>
    <row r="1128" spans="1:17" ht="14.45" hidden="1">
      <c r="A1128" s="15">
        <v>2087</v>
      </c>
      <c r="B1128" s="15">
        <v>1127</v>
      </c>
      <c r="C1128" s="15">
        <v>0</v>
      </c>
      <c r="D1128" s="15">
        <v>73</v>
      </c>
      <c r="E1128" s="15" t="b">
        <v>1</v>
      </c>
      <c r="F1128" s="15" t="b">
        <v>0</v>
      </c>
      <c r="G1128" s="18" t="s">
        <v>206</v>
      </c>
      <c r="H1128" s="15" t="s">
        <v>2643</v>
      </c>
      <c r="I1128" s="18" t="s">
        <v>216</v>
      </c>
      <c r="J1128" s="15"/>
      <c r="K1128" s="15"/>
      <c r="L1128" s="120" t="s">
        <v>2457</v>
      </c>
      <c r="M1128" s="15" t="s">
        <v>2646</v>
      </c>
      <c r="N1128" s="15"/>
      <c r="O1128" s="15"/>
      <c r="P1128" s="15" t="s">
        <v>2646</v>
      </c>
      <c r="Q1128" s="15" t="b">
        <v>0</v>
      </c>
    </row>
    <row r="1129" spans="1:17" ht="14.45" hidden="1">
      <c r="A1129" s="15">
        <v>2088</v>
      </c>
      <c r="B1129" s="15">
        <v>1128</v>
      </c>
      <c r="C1129" s="15">
        <v>0</v>
      </c>
      <c r="D1129" s="15">
        <v>73</v>
      </c>
      <c r="E1129" s="15" t="b">
        <v>1</v>
      </c>
      <c r="F1129" s="15" t="b">
        <v>0</v>
      </c>
      <c r="G1129" s="18" t="s">
        <v>206</v>
      </c>
      <c r="H1129" s="15" t="s">
        <v>2647</v>
      </c>
      <c r="I1129" s="18" t="s">
        <v>208</v>
      </c>
      <c r="J1129" s="15"/>
      <c r="K1129" s="15"/>
      <c r="L1129" s="120" t="s">
        <v>2457</v>
      </c>
      <c r="M1129" s="15" t="s">
        <v>2648</v>
      </c>
      <c r="N1129" s="15"/>
      <c r="O1129" s="15"/>
      <c r="P1129" s="15" t="s">
        <v>2648</v>
      </c>
      <c r="Q1129" s="15" t="b">
        <v>0</v>
      </c>
    </row>
    <row r="1130" spans="1:17" ht="14.45" hidden="1">
      <c r="A1130" s="15">
        <v>2089</v>
      </c>
      <c r="B1130" s="15">
        <v>1129</v>
      </c>
      <c r="C1130" s="15">
        <v>0</v>
      </c>
      <c r="D1130" s="15">
        <v>73</v>
      </c>
      <c r="E1130" s="15" t="b">
        <v>1</v>
      </c>
      <c r="F1130" s="15" t="b">
        <v>0</v>
      </c>
      <c r="G1130" s="18" t="s">
        <v>206</v>
      </c>
      <c r="H1130" s="15" t="s">
        <v>2647</v>
      </c>
      <c r="I1130" s="18" t="s">
        <v>2468</v>
      </c>
      <c r="J1130" s="15"/>
      <c r="K1130" s="15"/>
      <c r="L1130" s="120" t="s">
        <v>2457</v>
      </c>
      <c r="M1130" s="15" t="s">
        <v>2649</v>
      </c>
      <c r="N1130" s="15"/>
      <c r="O1130" s="15"/>
      <c r="P1130" s="15" t="s">
        <v>2649</v>
      </c>
      <c r="Q1130" s="15" t="b">
        <v>0</v>
      </c>
    </row>
    <row r="1131" spans="1:17" ht="14.45" hidden="1">
      <c r="A1131" s="15">
        <v>2090</v>
      </c>
      <c r="B1131" s="15">
        <v>1130</v>
      </c>
      <c r="C1131" s="15">
        <v>0</v>
      </c>
      <c r="D1131" s="15">
        <v>73</v>
      </c>
      <c r="E1131" s="15" t="b">
        <v>1</v>
      </c>
      <c r="F1131" s="15" t="b">
        <v>0</v>
      </c>
      <c r="G1131" s="18" t="s">
        <v>206</v>
      </c>
      <c r="H1131" s="15" t="s">
        <v>2647</v>
      </c>
      <c r="I1131" s="18" t="s">
        <v>216</v>
      </c>
      <c r="J1131" s="15"/>
      <c r="K1131" s="15"/>
      <c r="L1131" s="120" t="s">
        <v>2457</v>
      </c>
      <c r="M1131" s="15" t="s">
        <v>2650</v>
      </c>
      <c r="N1131" s="15"/>
      <c r="O1131" s="15"/>
      <c r="P1131" s="15" t="s">
        <v>2650</v>
      </c>
      <c r="Q1131" s="15" t="b">
        <v>0</v>
      </c>
    </row>
    <row r="1132" spans="1:17" ht="14.45" hidden="1">
      <c r="A1132" s="15">
        <v>2091</v>
      </c>
      <c r="B1132" s="15">
        <v>1131</v>
      </c>
      <c r="C1132" s="15">
        <v>0</v>
      </c>
      <c r="D1132" s="15">
        <v>73</v>
      </c>
      <c r="E1132" s="15" t="b">
        <v>1</v>
      </c>
      <c r="F1132" s="15" t="b">
        <v>0</v>
      </c>
      <c r="G1132" s="18" t="s">
        <v>206</v>
      </c>
      <c r="H1132" s="15" t="s">
        <v>2651</v>
      </c>
      <c r="I1132" s="18" t="s">
        <v>208</v>
      </c>
      <c r="J1132" s="15"/>
      <c r="K1132" s="15"/>
      <c r="L1132" s="120" t="s">
        <v>2457</v>
      </c>
      <c r="M1132" s="15" t="s">
        <v>2652</v>
      </c>
      <c r="N1132" s="15"/>
      <c r="O1132" s="15"/>
      <c r="P1132" s="15" t="s">
        <v>2652</v>
      </c>
      <c r="Q1132" s="15" t="b">
        <v>0</v>
      </c>
    </row>
    <row r="1133" spans="1:17" ht="14.45" hidden="1">
      <c r="A1133" s="15">
        <v>2092</v>
      </c>
      <c r="B1133" s="15">
        <v>1132</v>
      </c>
      <c r="C1133" s="15">
        <v>0</v>
      </c>
      <c r="D1133" s="15">
        <v>73</v>
      </c>
      <c r="E1133" s="15" t="b">
        <v>1</v>
      </c>
      <c r="F1133" s="15" t="b">
        <v>0</v>
      </c>
      <c r="G1133" s="18" t="s">
        <v>206</v>
      </c>
      <c r="H1133" s="15" t="s">
        <v>2651</v>
      </c>
      <c r="I1133" s="18" t="s">
        <v>2468</v>
      </c>
      <c r="J1133" s="15"/>
      <c r="K1133" s="15"/>
      <c r="L1133" s="120" t="s">
        <v>2457</v>
      </c>
      <c r="M1133" s="15" t="s">
        <v>2653</v>
      </c>
      <c r="N1133" s="15"/>
      <c r="O1133" s="15"/>
      <c r="P1133" s="15" t="s">
        <v>2653</v>
      </c>
      <c r="Q1133" s="15" t="b">
        <v>0</v>
      </c>
    </row>
    <row r="1134" spans="1:17" ht="14.45" hidden="1">
      <c r="A1134" s="15">
        <v>2093</v>
      </c>
      <c r="B1134" s="15">
        <v>1133</v>
      </c>
      <c r="C1134" s="15">
        <v>0</v>
      </c>
      <c r="D1134" s="15">
        <v>73</v>
      </c>
      <c r="E1134" s="15" t="b">
        <v>1</v>
      </c>
      <c r="F1134" s="15" t="b">
        <v>0</v>
      </c>
      <c r="G1134" s="18" t="s">
        <v>206</v>
      </c>
      <c r="H1134" s="15" t="s">
        <v>2651</v>
      </c>
      <c r="I1134" s="18" t="s">
        <v>216</v>
      </c>
      <c r="J1134" s="15"/>
      <c r="K1134" s="15"/>
      <c r="L1134" s="120" t="s">
        <v>2457</v>
      </c>
      <c r="M1134" s="15" t="s">
        <v>2654</v>
      </c>
      <c r="N1134" s="15"/>
      <c r="O1134" s="15"/>
      <c r="P1134" s="15" t="s">
        <v>2654</v>
      </c>
      <c r="Q1134" s="15" t="b">
        <v>0</v>
      </c>
    </row>
    <row r="1135" spans="1:17" ht="14.45" hidden="1">
      <c r="A1135" s="15">
        <v>2094</v>
      </c>
      <c r="B1135" s="15">
        <v>1134</v>
      </c>
      <c r="C1135" s="15">
        <v>0</v>
      </c>
      <c r="D1135" s="15">
        <v>73</v>
      </c>
      <c r="E1135" s="15" t="b">
        <v>1</v>
      </c>
      <c r="F1135" s="15" t="b">
        <v>0</v>
      </c>
      <c r="G1135" s="18" t="s">
        <v>206</v>
      </c>
      <c r="H1135" s="15" t="s">
        <v>2655</v>
      </c>
      <c r="I1135" s="18" t="s">
        <v>208</v>
      </c>
      <c r="J1135" s="15"/>
      <c r="K1135" s="15"/>
      <c r="L1135" s="120" t="s">
        <v>2457</v>
      </c>
      <c r="M1135" s="15" t="s">
        <v>2656</v>
      </c>
      <c r="N1135" s="15"/>
      <c r="O1135" s="15"/>
      <c r="P1135" s="15" t="s">
        <v>2656</v>
      </c>
      <c r="Q1135" s="15" t="b">
        <v>0</v>
      </c>
    </row>
    <row r="1136" spans="1:17" ht="14.45" hidden="1">
      <c r="A1136" s="15">
        <v>2095</v>
      </c>
      <c r="B1136" s="15">
        <v>1135</v>
      </c>
      <c r="C1136" s="15">
        <v>0</v>
      </c>
      <c r="D1136" s="15">
        <v>73</v>
      </c>
      <c r="E1136" s="15" t="b">
        <v>1</v>
      </c>
      <c r="F1136" s="15" t="b">
        <v>0</v>
      </c>
      <c r="G1136" s="18" t="s">
        <v>206</v>
      </c>
      <c r="H1136" s="15" t="s">
        <v>2655</v>
      </c>
      <c r="I1136" s="18" t="s">
        <v>2468</v>
      </c>
      <c r="J1136" s="15"/>
      <c r="K1136" s="15"/>
      <c r="L1136" s="120" t="s">
        <v>2457</v>
      </c>
      <c r="M1136" s="15" t="s">
        <v>2657</v>
      </c>
      <c r="N1136" s="15"/>
      <c r="O1136" s="15"/>
      <c r="P1136" s="15" t="s">
        <v>2657</v>
      </c>
      <c r="Q1136" s="15" t="b">
        <v>0</v>
      </c>
    </row>
    <row r="1137" spans="1:17" ht="14.45" hidden="1">
      <c r="A1137" s="15">
        <v>2096</v>
      </c>
      <c r="B1137" s="15">
        <v>1136</v>
      </c>
      <c r="C1137" s="15">
        <v>0</v>
      </c>
      <c r="D1137" s="15">
        <v>73</v>
      </c>
      <c r="E1137" s="15" t="b">
        <v>1</v>
      </c>
      <c r="F1137" s="15" t="b">
        <v>0</v>
      </c>
      <c r="G1137" s="18" t="s">
        <v>206</v>
      </c>
      <c r="H1137" s="15" t="s">
        <v>2655</v>
      </c>
      <c r="I1137" s="18" t="s">
        <v>216</v>
      </c>
      <c r="J1137" s="15"/>
      <c r="K1137" s="15"/>
      <c r="L1137" s="120" t="s">
        <v>2457</v>
      </c>
      <c r="M1137" s="15" t="s">
        <v>2658</v>
      </c>
      <c r="N1137" s="15"/>
      <c r="O1137" s="15"/>
      <c r="P1137" s="15" t="s">
        <v>2658</v>
      </c>
      <c r="Q1137" s="15" t="b">
        <v>0</v>
      </c>
    </row>
    <row r="1138" spans="1:17" ht="14.45" hidden="1">
      <c r="A1138" s="15">
        <v>2097</v>
      </c>
      <c r="B1138" s="15">
        <v>1137</v>
      </c>
      <c r="C1138" s="15">
        <v>0</v>
      </c>
      <c r="D1138" s="15">
        <v>73</v>
      </c>
      <c r="E1138" s="15" t="b">
        <v>1</v>
      </c>
      <c r="F1138" s="15" t="b">
        <v>0</v>
      </c>
      <c r="G1138" s="18" t="s">
        <v>206</v>
      </c>
      <c r="H1138" s="15" t="s">
        <v>2659</v>
      </c>
      <c r="I1138" s="18" t="s">
        <v>208</v>
      </c>
      <c r="J1138" s="15"/>
      <c r="K1138" s="15"/>
      <c r="L1138" s="120" t="s">
        <v>2457</v>
      </c>
      <c r="M1138" s="15" t="s">
        <v>2660</v>
      </c>
      <c r="N1138" s="15"/>
      <c r="O1138" s="15"/>
      <c r="P1138" s="15" t="s">
        <v>2660</v>
      </c>
      <c r="Q1138" s="15" t="b">
        <v>0</v>
      </c>
    </row>
    <row r="1139" spans="1:17" ht="14.45" hidden="1">
      <c r="A1139" s="15">
        <v>2098</v>
      </c>
      <c r="B1139" s="15">
        <v>1138</v>
      </c>
      <c r="C1139" s="15">
        <v>0</v>
      </c>
      <c r="D1139" s="15">
        <v>73</v>
      </c>
      <c r="E1139" s="15" t="b">
        <v>1</v>
      </c>
      <c r="F1139" s="15" t="b">
        <v>0</v>
      </c>
      <c r="G1139" s="18" t="s">
        <v>206</v>
      </c>
      <c r="H1139" s="15" t="s">
        <v>2659</v>
      </c>
      <c r="I1139" s="18" t="s">
        <v>2468</v>
      </c>
      <c r="J1139" s="15"/>
      <c r="K1139" s="15"/>
      <c r="L1139" s="120" t="s">
        <v>2457</v>
      </c>
      <c r="M1139" s="15" t="s">
        <v>2661</v>
      </c>
      <c r="N1139" s="15"/>
      <c r="O1139" s="15"/>
      <c r="P1139" s="15" t="s">
        <v>2661</v>
      </c>
      <c r="Q1139" s="15" t="b">
        <v>0</v>
      </c>
    </row>
    <row r="1140" spans="1:17" ht="14.45" hidden="1">
      <c r="A1140" s="15">
        <v>2099</v>
      </c>
      <c r="B1140" s="15">
        <v>1139</v>
      </c>
      <c r="C1140" s="15">
        <v>0</v>
      </c>
      <c r="D1140" s="15">
        <v>73</v>
      </c>
      <c r="E1140" s="15" t="b">
        <v>1</v>
      </c>
      <c r="F1140" s="15" t="b">
        <v>0</v>
      </c>
      <c r="G1140" s="18" t="s">
        <v>206</v>
      </c>
      <c r="H1140" s="15" t="s">
        <v>2659</v>
      </c>
      <c r="I1140" s="18" t="s">
        <v>216</v>
      </c>
      <c r="J1140" s="15"/>
      <c r="K1140" s="15"/>
      <c r="L1140" s="120" t="s">
        <v>2457</v>
      </c>
      <c r="M1140" s="15" t="s">
        <v>2662</v>
      </c>
      <c r="N1140" s="15"/>
      <c r="O1140" s="15"/>
      <c r="P1140" s="15" t="s">
        <v>2662</v>
      </c>
      <c r="Q1140" s="15" t="b">
        <v>0</v>
      </c>
    </row>
    <row r="1141" spans="1:17" ht="14.45" hidden="1">
      <c r="A1141" s="15">
        <v>2100</v>
      </c>
      <c r="B1141" s="15">
        <v>1140</v>
      </c>
      <c r="C1141" s="15">
        <v>0</v>
      </c>
      <c r="D1141" s="15">
        <v>73</v>
      </c>
      <c r="E1141" s="15" t="b">
        <v>1</v>
      </c>
      <c r="F1141" s="15" t="b">
        <v>0</v>
      </c>
      <c r="G1141" s="18" t="s">
        <v>206</v>
      </c>
      <c r="H1141" s="15" t="s">
        <v>2663</v>
      </c>
      <c r="I1141" s="18" t="s">
        <v>208</v>
      </c>
      <c r="J1141" s="15"/>
      <c r="K1141" s="15"/>
      <c r="L1141" s="120" t="s">
        <v>2457</v>
      </c>
      <c r="M1141" s="15" t="s">
        <v>2664</v>
      </c>
      <c r="N1141" s="15"/>
      <c r="O1141" s="15"/>
      <c r="P1141" s="15" t="s">
        <v>2664</v>
      </c>
      <c r="Q1141" s="15" t="b">
        <v>0</v>
      </c>
    </row>
    <row r="1142" spans="1:17" ht="14.45" hidden="1">
      <c r="A1142" s="15">
        <v>2101</v>
      </c>
      <c r="B1142" s="15">
        <v>1141</v>
      </c>
      <c r="C1142" s="15">
        <v>0</v>
      </c>
      <c r="D1142" s="15">
        <v>73</v>
      </c>
      <c r="E1142" s="15" t="b">
        <v>1</v>
      </c>
      <c r="F1142" s="15" t="b">
        <v>0</v>
      </c>
      <c r="G1142" s="18" t="s">
        <v>206</v>
      </c>
      <c r="H1142" s="15" t="s">
        <v>2663</v>
      </c>
      <c r="I1142" s="18" t="s">
        <v>2468</v>
      </c>
      <c r="J1142" s="15"/>
      <c r="K1142" s="15"/>
      <c r="L1142" s="120" t="s">
        <v>2457</v>
      </c>
      <c r="M1142" s="15" t="s">
        <v>2665</v>
      </c>
      <c r="N1142" s="15"/>
      <c r="O1142" s="15"/>
      <c r="P1142" s="15" t="s">
        <v>2665</v>
      </c>
      <c r="Q1142" s="15" t="b">
        <v>0</v>
      </c>
    </row>
    <row r="1143" spans="1:17" ht="14.45" hidden="1">
      <c r="A1143" s="15">
        <v>2102</v>
      </c>
      <c r="B1143" s="15">
        <v>1142</v>
      </c>
      <c r="C1143" s="15">
        <v>0</v>
      </c>
      <c r="D1143" s="15">
        <v>73</v>
      </c>
      <c r="E1143" s="15" t="b">
        <v>1</v>
      </c>
      <c r="F1143" s="15" t="b">
        <v>0</v>
      </c>
      <c r="G1143" s="18" t="s">
        <v>206</v>
      </c>
      <c r="H1143" s="15" t="s">
        <v>2663</v>
      </c>
      <c r="I1143" s="18" t="s">
        <v>216</v>
      </c>
      <c r="J1143" s="15"/>
      <c r="K1143" s="15"/>
      <c r="L1143" s="120" t="s">
        <v>2457</v>
      </c>
      <c r="M1143" s="15" t="s">
        <v>2666</v>
      </c>
      <c r="N1143" s="15"/>
      <c r="O1143" s="15"/>
      <c r="P1143" s="15" t="s">
        <v>2666</v>
      </c>
      <c r="Q1143" s="15" t="b">
        <v>0</v>
      </c>
    </row>
    <row r="1144" spans="1:17" ht="14.45" hidden="1">
      <c r="A1144" s="15">
        <v>2103</v>
      </c>
      <c r="B1144" s="15">
        <v>1143</v>
      </c>
      <c r="C1144" s="15">
        <v>0</v>
      </c>
      <c r="D1144" s="15">
        <v>73</v>
      </c>
      <c r="E1144" s="15" t="b">
        <v>1</v>
      </c>
      <c r="F1144" s="15" t="b">
        <v>0</v>
      </c>
      <c r="G1144" s="18" t="s">
        <v>206</v>
      </c>
      <c r="H1144" s="15" t="s">
        <v>2667</v>
      </c>
      <c r="I1144" s="18" t="s">
        <v>208</v>
      </c>
      <c r="J1144" s="15"/>
      <c r="K1144" s="15"/>
      <c r="L1144" s="120" t="s">
        <v>2457</v>
      </c>
      <c r="M1144" s="15" t="s">
        <v>2668</v>
      </c>
      <c r="N1144" s="15"/>
      <c r="O1144" s="15"/>
      <c r="P1144" s="15" t="s">
        <v>2668</v>
      </c>
      <c r="Q1144" s="15" t="b">
        <v>0</v>
      </c>
    </row>
    <row r="1145" spans="1:17" ht="14.45" hidden="1">
      <c r="A1145" s="15">
        <v>2104</v>
      </c>
      <c r="B1145" s="15">
        <v>1144</v>
      </c>
      <c r="C1145" s="15">
        <v>0</v>
      </c>
      <c r="D1145" s="15">
        <v>73</v>
      </c>
      <c r="E1145" s="15" t="b">
        <v>1</v>
      </c>
      <c r="F1145" s="15" t="b">
        <v>0</v>
      </c>
      <c r="G1145" s="18" t="s">
        <v>206</v>
      </c>
      <c r="H1145" s="15" t="s">
        <v>2667</v>
      </c>
      <c r="I1145" s="18" t="s">
        <v>2468</v>
      </c>
      <c r="J1145" s="15"/>
      <c r="K1145" s="15"/>
      <c r="L1145" s="120" t="s">
        <v>2457</v>
      </c>
      <c r="M1145" s="15" t="s">
        <v>2669</v>
      </c>
      <c r="N1145" s="15"/>
      <c r="O1145" s="15"/>
      <c r="P1145" s="15" t="s">
        <v>2669</v>
      </c>
      <c r="Q1145" s="15" t="b">
        <v>0</v>
      </c>
    </row>
    <row r="1146" spans="1:17" ht="14.45" hidden="1">
      <c r="A1146" s="15">
        <v>2105</v>
      </c>
      <c r="B1146" s="15">
        <v>1145</v>
      </c>
      <c r="C1146" s="15">
        <v>0</v>
      </c>
      <c r="D1146" s="15">
        <v>73</v>
      </c>
      <c r="E1146" s="15" t="b">
        <v>1</v>
      </c>
      <c r="F1146" s="15" t="b">
        <v>0</v>
      </c>
      <c r="G1146" s="18" t="s">
        <v>206</v>
      </c>
      <c r="H1146" s="15" t="s">
        <v>2667</v>
      </c>
      <c r="I1146" s="18" t="s">
        <v>216</v>
      </c>
      <c r="J1146" s="15"/>
      <c r="K1146" s="15"/>
      <c r="L1146" s="120" t="s">
        <v>2457</v>
      </c>
      <c r="M1146" s="15" t="s">
        <v>2670</v>
      </c>
      <c r="N1146" s="15"/>
      <c r="O1146" s="15"/>
      <c r="P1146" s="15" t="s">
        <v>2670</v>
      </c>
      <c r="Q1146" s="15" t="b">
        <v>0</v>
      </c>
    </row>
    <row r="1147" spans="1:17" ht="14.45" hidden="1">
      <c r="A1147" s="15">
        <v>2106</v>
      </c>
      <c r="B1147" s="15">
        <v>1146</v>
      </c>
      <c r="C1147" s="15">
        <v>0</v>
      </c>
      <c r="D1147" s="15">
        <v>73</v>
      </c>
      <c r="E1147" s="15" t="b">
        <v>1</v>
      </c>
      <c r="F1147" s="15" t="b">
        <v>0</v>
      </c>
      <c r="G1147" s="18" t="s">
        <v>206</v>
      </c>
      <c r="H1147" s="15" t="s">
        <v>2671</v>
      </c>
      <c r="I1147" s="18" t="s">
        <v>208</v>
      </c>
      <c r="J1147" s="15"/>
      <c r="K1147" s="15"/>
      <c r="L1147" s="120" t="s">
        <v>2457</v>
      </c>
      <c r="M1147" s="15" t="s">
        <v>2672</v>
      </c>
      <c r="N1147" s="15"/>
      <c r="O1147" s="15"/>
      <c r="P1147" s="15" t="s">
        <v>2672</v>
      </c>
      <c r="Q1147" s="15" t="b">
        <v>0</v>
      </c>
    </row>
    <row r="1148" spans="1:17" ht="14.45" hidden="1">
      <c r="A1148" s="15">
        <v>2107</v>
      </c>
      <c r="B1148" s="15">
        <v>1147</v>
      </c>
      <c r="C1148" s="15">
        <v>0</v>
      </c>
      <c r="D1148" s="15">
        <v>73</v>
      </c>
      <c r="E1148" s="15" t="b">
        <v>1</v>
      </c>
      <c r="F1148" s="15" t="b">
        <v>0</v>
      </c>
      <c r="G1148" s="18" t="s">
        <v>206</v>
      </c>
      <c r="H1148" s="15" t="s">
        <v>2671</v>
      </c>
      <c r="I1148" s="18" t="s">
        <v>2468</v>
      </c>
      <c r="J1148" s="15"/>
      <c r="K1148" s="15"/>
      <c r="L1148" s="120" t="s">
        <v>2457</v>
      </c>
      <c r="M1148" s="15" t="s">
        <v>2673</v>
      </c>
      <c r="N1148" s="15"/>
      <c r="O1148" s="15"/>
      <c r="P1148" s="15" t="s">
        <v>2673</v>
      </c>
      <c r="Q1148" s="15" t="b">
        <v>0</v>
      </c>
    </row>
    <row r="1149" spans="1:17" ht="15" hidden="1" customHeight="1">
      <c r="A1149" s="15">
        <v>2108</v>
      </c>
      <c r="B1149" s="15">
        <v>1148</v>
      </c>
      <c r="C1149" s="15">
        <v>0</v>
      </c>
      <c r="D1149" s="15">
        <v>73</v>
      </c>
      <c r="E1149" s="15" t="b">
        <v>1</v>
      </c>
      <c r="F1149" s="15" t="b">
        <v>0</v>
      </c>
      <c r="G1149" s="18" t="s">
        <v>206</v>
      </c>
      <c r="H1149" s="15" t="s">
        <v>2671</v>
      </c>
      <c r="I1149" s="18" t="s">
        <v>216</v>
      </c>
      <c r="J1149" s="15"/>
      <c r="K1149" s="15"/>
      <c r="L1149" s="120" t="s">
        <v>2457</v>
      </c>
      <c r="M1149" s="15" t="s">
        <v>2674</v>
      </c>
      <c r="N1149" s="15"/>
      <c r="O1149" s="15"/>
      <c r="P1149" s="15" t="s">
        <v>2674</v>
      </c>
      <c r="Q1149" s="15" t="b">
        <v>0</v>
      </c>
    </row>
    <row r="1150" spans="1:17" s="73" customFormat="1" ht="14.45">
      <c r="A1150" s="15">
        <v>2109</v>
      </c>
      <c r="B1150" s="15">
        <v>1149</v>
      </c>
      <c r="C1150" s="15">
        <v>0</v>
      </c>
      <c r="D1150" s="15">
        <v>109</v>
      </c>
      <c r="E1150" s="15" t="b">
        <v>1</v>
      </c>
      <c r="F1150" s="15" t="b">
        <v>0</v>
      </c>
      <c r="G1150" s="204" t="s">
        <v>206</v>
      </c>
      <c r="H1150" s="15" t="s">
        <v>2675</v>
      </c>
      <c r="I1150" s="204" t="s">
        <v>2676</v>
      </c>
      <c r="J1150" s="15">
        <v>22</v>
      </c>
      <c r="K1150" s="15">
        <v>22</v>
      </c>
      <c r="L1150" s="15" t="s">
        <v>2677</v>
      </c>
      <c r="M1150" s="15" t="s">
        <v>2678</v>
      </c>
      <c r="N1150" s="15"/>
      <c r="O1150" s="15"/>
      <c r="P1150" s="15"/>
      <c r="Q1150" s="15" t="b">
        <v>0</v>
      </c>
    </row>
    <row r="1151" spans="1:17" ht="14.45" hidden="1">
      <c r="A1151" s="15">
        <v>2110</v>
      </c>
      <c r="B1151" s="15">
        <v>1150</v>
      </c>
      <c r="C1151" s="15">
        <v>0</v>
      </c>
      <c r="D1151" s="15">
        <v>109</v>
      </c>
      <c r="E1151" s="15" t="b">
        <v>1</v>
      </c>
      <c r="F1151" s="15" t="b">
        <v>0</v>
      </c>
      <c r="G1151" s="18" t="s">
        <v>206</v>
      </c>
      <c r="H1151" s="15" t="s">
        <v>2679</v>
      </c>
      <c r="I1151" s="18" t="s">
        <v>2680</v>
      </c>
      <c r="J1151" s="15" t="s">
        <v>2681</v>
      </c>
      <c r="K1151" s="15"/>
      <c r="L1151" s="120" t="s">
        <v>2677</v>
      </c>
      <c r="M1151" s="15" t="s">
        <v>2682</v>
      </c>
      <c r="N1151" s="15"/>
      <c r="O1151" s="15"/>
      <c r="P1151" s="15" t="s">
        <v>2683</v>
      </c>
      <c r="Q1151" s="15" t="b">
        <v>0</v>
      </c>
    </row>
    <row r="1152" spans="1:17" s="203" customFormat="1" ht="14.45">
      <c r="A1152" s="91">
        <v>2111</v>
      </c>
      <c r="B1152" s="91">
        <v>1151</v>
      </c>
      <c r="C1152" s="91">
        <v>0</v>
      </c>
      <c r="D1152" s="205">
        <v>160</v>
      </c>
      <c r="E1152" s="91" t="b">
        <v>1</v>
      </c>
      <c r="F1152" s="91" t="b">
        <v>0</v>
      </c>
      <c r="G1152" s="205" t="s">
        <v>206</v>
      </c>
      <c r="H1152" s="205" t="s">
        <v>2684</v>
      </c>
      <c r="I1152" s="205" t="s">
        <v>29</v>
      </c>
      <c r="J1152" s="205"/>
      <c r="K1152" s="137">
        <v>102</v>
      </c>
      <c r="L1152" s="131" t="s">
        <v>19</v>
      </c>
      <c r="M1152" s="205" t="s">
        <v>30</v>
      </c>
      <c r="N1152" s="205"/>
      <c r="O1152" s="205"/>
      <c r="P1152" s="205" t="s">
        <v>31</v>
      </c>
      <c r="Q1152" s="91" t="b">
        <v>0</v>
      </c>
    </row>
    <row r="1153" spans="1:17" s="203" customFormat="1" ht="14.45">
      <c r="A1153" s="91">
        <v>2112</v>
      </c>
      <c r="B1153" s="91">
        <v>1152</v>
      </c>
      <c r="C1153" s="91">
        <v>0</v>
      </c>
      <c r="D1153" s="205">
        <v>153</v>
      </c>
      <c r="E1153" s="91" t="b">
        <v>1</v>
      </c>
      <c r="F1153" s="91" t="b">
        <v>0</v>
      </c>
      <c r="G1153" s="205" t="s">
        <v>206</v>
      </c>
      <c r="H1153" s="205" t="s">
        <v>2684</v>
      </c>
      <c r="I1153" s="205" t="s">
        <v>32</v>
      </c>
      <c r="J1153" s="205"/>
      <c r="K1153" s="137">
        <v>103</v>
      </c>
      <c r="L1153" s="131" t="s">
        <v>19</v>
      </c>
      <c r="M1153" s="205" t="s">
        <v>33</v>
      </c>
      <c r="N1153" s="205"/>
      <c r="O1153" s="205"/>
      <c r="P1153" s="205" t="s">
        <v>34</v>
      </c>
      <c r="Q1153" s="91" t="b">
        <v>0</v>
      </c>
    </row>
    <row r="1154" spans="1:17" s="203" customFormat="1" ht="14.45">
      <c r="A1154" s="91">
        <v>2113</v>
      </c>
      <c r="B1154" s="91">
        <v>1153</v>
      </c>
      <c r="C1154" s="91">
        <v>0</v>
      </c>
      <c r="D1154" s="205">
        <v>154</v>
      </c>
      <c r="E1154" s="91" t="b">
        <v>1</v>
      </c>
      <c r="F1154" s="91" t="b">
        <v>0</v>
      </c>
      <c r="G1154" s="91" t="s">
        <v>206</v>
      </c>
      <c r="H1154" s="205" t="s">
        <v>2685</v>
      </c>
      <c r="I1154" s="205" t="s">
        <v>2686</v>
      </c>
      <c r="J1154" s="205"/>
      <c r="K1154" s="137">
        <v>104</v>
      </c>
      <c r="L1154" s="131" t="s">
        <v>19</v>
      </c>
      <c r="M1154" s="205" t="s">
        <v>40</v>
      </c>
      <c r="N1154" s="205"/>
      <c r="O1154" s="205"/>
      <c r="P1154" s="205" t="s">
        <v>41</v>
      </c>
      <c r="Q1154" s="91" t="b">
        <v>0</v>
      </c>
    </row>
    <row r="1155" spans="1:17" ht="14.45" hidden="1">
      <c r="A1155" s="15">
        <v>2114</v>
      </c>
      <c r="B1155" s="15">
        <v>1154</v>
      </c>
      <c r="C1155" s="15">
        <v>0</v>
      </c>
      <c r="D1155" s="15">
        <v>148</v>
      </c>
      <c r="E1155" s="15" t="b">
        <v>1</v>
      </c>
      <c r="F1155" s="15" t="b">
        <v>0</v>
      </c>
      <c r="G1155" s="18" t="s">
        <v>206</v>
      </c>
      <c r="H1155" s="15" t="s">
        <v>2685</v>
      </c>
      <c r="I1155" s="18" t="s">
        <v>2687</v>
      </c>
      <c r="J1155" s="15"/>
      <c r="K1155" s="15"/>
      <c r="L1155" s="120" t="s">
        <v>19</v>
      </c>
      <c r="M1155" s="15" t="s">
        <v>43</v>
      </c>
      <c r="N1155" s="15"/>
      <c r="O1155" s="15"/>
      <c r="P1155" s="15" t="s">
        <v>44</v>
      </c>
      <c r="Q1155" s="15" t="b">
        <v>0</v>
      </c>
    </row>
    <row r="1156" spans="1:17" ht="14.45" hidden="1">
      <c r="A1156" s="15">
        <v>2115</v>
      </c>
      <c r="B1156" s="15">
        <v>1155</v>
      </c>
      <c r="C1156" s="15">
        <v>0</v>
      </c>
      <c r="D1156" s="15">
        <v>109</v>
      </c>
      <c r="E1156" s="15" t="b">
        <v>1</v>
      </c>
      <c r="F1156" s="15" t="b">
        <v>0</v>
      </c>
      <c r="G1156" s="18" t="s">
        <v>206</v>
      </c>
      <c r="H1156" s="15" t="s">
        <v>2688</v>
      </c>
      <c r="I1156" s="18" t="s">
        <v>2689</v>
      </c>
      <c r="J1156" s="15" t="s">
        <v>2690</v>
      </c>
      <c r="K1156" s="15"/>
      <c r="L1156" s="120" t="s">
        <v>2677</v>
      </c>
      <c r="M1156" s="15" t="s">
        <v>2691</v>
      </c>
      <c r="N1156" s="15"/>
      <c r="O1156" s="15"/>
      <c r="P1156" s="15" t="s">
        <v>2692</v>
      </c>
      <c r="Q1156" s="15" t="b">
        <v>0</v>
      </c>
    </row>
    <row r="1157" spans="1:17" ht="14.45" hidden="1">
      <c r="A1157" s="15">
        <v>2116</v>
      </c>
      <c r="B1157" s="15">
        <v>1156</v>
      </c>
      <c r="C1157" s="15">
        <v>0</v>
      </c>
      <c r="D1157" s="15">
        <v>116</v>
      </c>
      <c r="E1157" s="15" t="b">
        <v>1</v>
      </c>
      <c r="F1157" s="15" t="b">
        <v>0</v>
      </c>
      <c r="G1157" s="18" t="s">
        <v>206</v>
      </c>
      <c r="H1157" s="15" t="s">
        <v>2693</v>
      </c>
      <c r="I1157" s="18" t="s">
        <v>2694</v>
      </c>
      <c r="J1157" s="15"/>
      <c r="K1157" s="15"/>
      <c r="L1157" s="120" t="s">
        <v>2677</v>
      </c>
      <c r="M1157" s="15" t="s">
        <v>2695</v>
      </c>
      <c r="N1157" s="15"/>
      <c r="O1157" s="15"/>
      <c r="P1157" s="15" t="s">
        <v>2696</v>
      </c>
      <c r="Q1157" s="15" t="b">
        <v>0</v>
      </c>
    </row>
    <row r="1158" spans="1:17" ht="14.45" hidden="1">
      <c r="A1158" s="15">
        <v>2117</v>
      </c>
      <c r="B1158" s="15">
        <v>1157</v>
      </c>
      <c r="C1158" s="15">
        <v>0</v>
      </c>
      <c r="D1158" s="15">
        <v>124</v>
      </c>
      <c r="E1158" s="15" t="b">
        <v>1</v>
      </c>
      <c r="F1158" s="15" t="b">
        <v>0</v>
      </c>
      <c r="G1158" s="18" t="s">
        <v>206</v>
      </c>
      <c r="H1158" s="15" t="s">
        <v>2693</v>
      </c>
      <c r="I1158" s="18" t="s">
        <v>2697</v>
      </c>
      <c r="J1158" s="15"/>
      <c r="K1158" s="15"/>
      <c r="L1158" s="120" t="s">
        <v>2677</v>
      </c>
      <c r="M1158" s="15" t="s">
        <v>2698</v>
      </c>
      <c r="N1158" s="15"/>
      <c r="O1158" s="15"/>
      <c r="P1158" s="15" t="s">
        <v>2699</v>
      </c>
      <c r="Q1158" s="15" t="b">
        <v>0</v>
      </c>
    </row>
    <row r="1159" spans="1:17" ht="14.45" hidden="1">
      <c r="A1159" s="15">
        <v>2118</v>
      </c>
      <c r="B1159" s="15">
        <v>1158</v>
      </c>
      <c r="C1159" s="15">
        <v>0</v>
      </c>
      <c r="D1159" s="15">
        <v>115</v>
      </c>
      <c r="E1159" s="15" t="b">
        <v>1</v>
      </c>
      <c r="F1159" s="15" t="b">
        <v>0</v>
      </c>
      <c r="G1159" s="18" t="s">
        <v>206</v>
      </c>
      <c r="H1159" s="15" t="s">
        <v>2700</v>
      </c>
      <c r="I1159" s="18" t="s">
        <v>2701</v>
      </c>
      <c r="J1159" s="15"/>
      <c r="K1159" s="15"/>
      <c r="L1159" s="120" t="s">
        <v>2677</v>
      </c>
      <c r="M1159" s="15" t="s">
        <v>2702</v>
      </c>
      <c r="N1159" s="15"/>
      <c r="O1159" s="15"/>
      <c r="P1159" s="15" t="s">
        <v>2703</v>
      </c>
      <c r="Q1159" s="15" t="b">
        <v>0</v>
      </c>
    </row>
    <row r="1160" spans="1:17" ht="14.45" hidden="1">
      <c r="A1160" s="15">
        <v>2119</v>
      </c>
      <c r="B1160" s="15">
        <v>1159</v>
      </c>
      <c r="C1160" s="15">
        <v>0</v>
      </c>
      <c r="D1160" s="15">
        <v>118</v>
      </c>
      <c r="E1160" s="15" t="b">
        <v>1</v>
      </c>
      <c r="F1160" s="15" t="b">
        <v>0</v>
      </c>
      <c r="G1160" s="18" t="s">
        <v>206</v>
      </c>
      <c r="H1160" s="15" t="s">
        <v>2700</v>
      </c>
      <c r="I1160" s="18" t="s">
        <v>2704</v>
      </c>
      <c r="J1160" s="15"/>
      <c r="K1160" s="15"/>
      <c r="L1160" s="120" t="s">
        <v>2677</v>
      </c>
      <c r="M1160" s="15" t="s">
        <v>2705</v>
      </c>
      <c r="N1160" s="15"/>
      <c r="O1160" s="15"/>
      <c r="P1160" s="15" t="s">
        <v>2706</v>
      </c>
      <c r="Q1160" s="15" t="b">
        <v>0</v>
      </c>
    </row>
    <row r="1161" spans="1:17" ht="14.45" hidden="1">
      <c r="A1161" s="15">
        <v>2120</v>
      </c>
      <c r="B1161" s="15">
        <v>1160</v>
      </c>
      <c r="C1161" s="15">
        <v>0</v>
      </c>
      <c r="D1161" s="15">
        <v>119</v>
      </c>
      <c r="E1161" s="15" t="b">
        <v>1</v>
      </c>
      <c r="F1161" s="15" t="b">
        <v>0</v>
      </c>
      <c r="G1161" s="18" t="s">
        <v>206</v>
      </c>
      <c r="H1161" s="15" t="s">
        <v>2700</v>
      </c>
      <c r="I1161" s="18" t="s">
        <v>2707</v>
      </c>
      <c r="J1161" s="15"/>
      <c r="K1161" s="15"/>
      <c r="L1161" s="120" t="s">
        <v>2677</v>
      </c>
      <c r="M1161" s="15" t="s">
        <v>2708</v>
      </c>
      <c r="N1161" s="15"/>
      <c r="O1161" s="15"/>
      <c r="P1161" s="15" t="s">
        <v>2709</v>
      </c>
      <c r="Q1161" s="15" t="b">
        <v>0</v>
      </c>
    </row>
    <row r="1162" spans="1:17" ht="14.45" hidden="1">
      <c r="A1162" s="15">
        <v>2121</v>
      </c>
      <c r="B1162" s="15">
        <v>1161</v>
      </c>
      <c r="C1162" s="15">
        <v>0</v>
      </c>
      <c r="D1162" s="15">
        <v>120</v>
      </c>
      <c r="E1162" s="15" t="b">
        <v>1</v>
      </c>
      <c r="F1162" s="15" t="b">
        <v>0</v>
      </c>
      <c r="G1162" s="18" t="s">
        <v>206</v>
      </c>
      <c r="H1162" s="15" t="s">
        <v>2710</v>
      </c>
      <c r="I1162" s="18" t="s">
        <v>2711</v>
      </c>
      <c r="J1162" s="15"/>
      <c r="K1162" s="15"/>
      <c r="L1162" s="120" t="s">
        <v>2677</v>
      </c>
      <c r="M1162" s="15" t="s">
        <v>2712</v>
      </c>
      <c r="N1162" s="15"/>
      <c r="O1162" s="15"/>
      <c r="P1162" s="15" t="s">
        <v>2713</v>
      </c>
      <c r="Q1162" s="15" t="b">
        <v>0</v>
      </c>
    </row>
    <row r="1163" spans="1:17" ht="14.45" hidden="1">
      <c r="A1163" s="15">
        <v>2122</v>
      </c>
      <c r="B1163" s="15">
        <v>1162</v>
      </c>
      <c r="C1163" s="15">
        <v>0</v>
      </c>
      <c r="D1163" s="15">
        <v>109</v>
      </c>
      <c r="E1163" s="15" t="b">
        <v>1</v>
      </c>
      <c r="F1163" s="15" t="b">
        <v>0</v>
      </c>
      <c r="G1163" s="18" t="s">
        <v>206</v>
      </c>
      <c r="H1163" s="15" t="s">
        <v>2714</v>
      </c>
      <c r="I1163" s="18" t="s">
        <v>2715</v>
      </c>
      <c r="J1163" s="15" t="s">
        <v>2716</v>
      </c>
      <c r="K1163" s="15"/>
      <c r="L1163" s="120" t="s">
        <v>2677</v>
      </c>
      <c r="M1163" s="15" t="s">
        <v>2717</v>
      </c>
      <c r="N1163" s="15"/>
      <c r="O1163" s="15"/>
      <c r="P1163" s="15" t="s">
        <v>2718</v>
      </c>
      <c r="Q1163" s="15" t="b">
        <v>0</v>
      </c>
    </row>
    <row r="1164" spans="1:17" s="203" customFormat="1" ht="14.45">
      <c r="A1164" s="91">
        <v>2123</v>
      </c>
      <c r="B1164" s="91">
        <v>1163</v>
      </c>
      <c r="C1164" s="91">
        <v>0</v>
      </c>
      <c r="D1164" s="91">
        <v>159</v>
      </c>
      <c r="E1164" s="91" t="b">
        <v>1</v>
      </c>
      <c r="F1164" s="91" t="b">
        <v>0</v>
      </c>
      <c r="G1164" s="91" t="s">
        <v>206</v>
      </c>
      <c r="H1164" s="91" t="s">
        <v>2719</v>
      </c>
      <c r="I1164" s="91" t="s">
        <v>2720</v>
      </c>
      <c r="J1164" s="91"/>
      <c r="K1164" s="137">
        <v>107</v>
      </c>
      <c r="L1164" s="131" t="s">
        <v>19</v>
      </c>
      <c r="M1164" s="91" t="s">
        <v>53</v>
      </c>
      <c r="N1164" s="91"/>
      <c r="O1164" s="91"/>
      <c r="P1164" s="91" t="s">
        <v>2721</v>
      </c>
      <c r="Q1164" s="91" t="b">
        <v>0</v>
      </c>
    </row>
    <row r="1165" spans="1:17" ht="14.45">
      <c r="A1165" s="15">
        <v>2124</v>
      </c>
      <c r="B1165" s="15">
        <v>1164</v>
      </c>
      <c r="C1165" s="15">
        <v>0</v>
      </c>
      <c r="D1165" s="15">
        <v>150</v>
      </c>
      <c r="E1165" s="15" t="b">
        <v>1</v>
      </c>
      <c r="F1165" s="15" t="b">
        <v>0</v>
      </c>
      <c r="G1165" s="18" t="s">
        <v>206</v>
      </c>
      <c r="H1165" s="15" t="s">
        <v>2719</v>
      </c>
      <c r="I1165" s="18" t="s">
        <v>2722</v>
      </c>
      <c r="J1165" s="15"/>
      <c r="K1165" s="15">
        <v>109</v>
      </c>
      <c r="L1165" s="120" t="s">
        <v>19</v>
      </c>
      <c r="M1165" s="15" t="s">
        <v>59</v>
      </c>
      <c r="N1165" s="15"/>
      <c r="O1165" s="15"/>
      <c r="P1165" s="15" t="s">
        <v>2723</v>
      </c>
      <c r="Q1165" s="15" t="b">
        <v>0</v>
      </c>
    </row>
    <row r="1166" spans="1:17" s="203" customFormat="1" ht="14.45">
      <c r="A1166" s="91">
        <v>2125</v>
      </c>
      <c r="B1166" s="91">
        <v>1165</v>
      </c>
      <c r="C1166" s="91">
        <v>0</v>
      </c>
      <c r="D1166" s="91">
        <v>149</v>
      </c>
      <c r="E1166" s="91" t="b">
        <v>1</v>
      </c>
      <c r="F1166" s="91" t="b">
        <v>0</v>
      </c>
      <c r="G1166" s="91" t="s">
        <v>206</v>
      </c>
      <c r="H1166" s="91" t="s">
        <v>2719</v>
      </c>
      <c r="I1166" s="91" t="s">
        <v>55</v>
      </c>
      <c r="J1166" s="91"/>
      <c r="K1166" s="137">
        <v>108</v>
      </c>
      <c r="L1166" s="131" t="s">
        <v>19</v>
      </c>
      <c r="M1166" s="91" t="s">
        <v>56</v>
      </c>
      <c r="N1166" s="91"/>
      <c r="O1166" s="91"/>
      <c r="P1166" s="91" t="s">
        <v>2724</v>
      </c>
      <c r="Q1166" s="91" t="b">
        <v>0</v>
      </c>
    </row>
    <row r="1167" spans="1:17" ht="14.45">
      <c r="A1167" s="15">
        <v>2126</v>
      </c>
      <c r="B1167" s="15">
        <v>1166</v>
      </c>
      <c r="C1167" s="15">
        <v>0</v>
      </c>
      <c r="D1167" s="15">
        <v>142</v>
      </c>
      <c r="E1167" s="15" t="b">
        <v>1</v>
      </c>
      <c r="F1167" s="15" t="b">
        <v>0</v>
      </c>
      <c r="G1167" s="18" t="s">
        <v>206</v>
      </c>
      <c r="H1167" s="15" t="s">
        <v>2719</v>
      </c>
      <c r="I1167" s="18" t="s">
        <v>61</v>
      </c>
      <c r="J1167" s="15"/>
      <c r="K1167" s="15">
        <v>110</v>
      </c>
      <c r="L1167" s="120" t="s">
        <v>19</v>
      </c>
      <c r="M1167" s="15" t="s">
        <v>62</v>
      </c>
      <c r="N1167" s="15"/>
      <c r="O1167" s="15"/>
      <c r="P1167" s="15" t="s">
        <v>2725</v>
      </c>
      <c r="Q1167" s="15" t="b">
        <v>0</v>
      </c>
    </row>
    <row r="1168" spans="1:17" ht="14.45" hidden="1">
      <c r="A1168" s="15">
        <v>2127</v>
      </c>
      <c r="B1168" s="15">
        <v>1167</v>
      </c>
      <c r="C1168" s="15">
        <v>0</v>
      </c>
      <c r="D1168" s="15">
        <v>136</v>
      </c>
      <c r="E1168" s="15" t="b">
        <v>1</v>
      </c>
      <c r="F1168" s="15" t="b">
        <v>0</v>
      </c>
      <c r="G1168" s="18" t="s">
        <v>206</v>
      </c>
      <c r="H1168" s="15" t="s">
        <v>2719</v>
      </c>
      <c r="I1168" s="18" t="s">
        <v>2726</v>
      </c>
      <c r="J1168" s="15"/>
      <c r="K1168" s="15"/>
      <c r="L1168" s="120" t="s">
        <v>2677</v>
      </c>
      <c r="M1168" s="15" t="s">
        <v>2727</v>
      </c>
      <c r="N1168" s="15"/>
      <c r="O1168" s="15"/>
      <c r="P1168" s="15" t="s">
        <v>2728</v>
      </c>
      <c r="Q1168" s="15" t="b">
        <v>0</v>
      </c>
    </row>
    <row r="1169" spans="1:17" ht="14.45" hidden="1">
      <c r="A1169" s="15">
        <v>2128</v>
      </c>
      <c r="B1169" s="15">
        <v>1168</v>
      </c>
      <c r="C1169" s="15">
        <v>0</v>
      </c>
      <c r="D1169" s="15">
        <v>137</v>
      </c>
      <c r="E1169" s="15" t="b">
        <v>1</v>
      </c>
      <c r="F1169" s="15" t="b">
        <v>0</v>
      </c>
      <c r="G1169" s="18" t="s">
        <v>206</v>
      </c>
      <c r="H1169" s="15" t="s">
        <v>2719</v>
      </c>
      <c r="I1169" s="18" t="s">
        <v>2729</v>
      </c>
      <c r="J1169" s="15"/>
      <c r="K1169" s="15"/>
      <c r="L1169" s="120" t="s">
        <v>19</v>
      </c>
      <c r="M1169" s="15" t="s">
        <v>2730</v>
      </c>
      <c r="N1169" s="15"/>
      <c r="O1169" s="15"/>
      <c r="P1169" s="15" t="s">
        <v>2731</v>
      </c>
      <c r="Q1169" s="15" t="b">
        <v>0</v>
      </c>
    </row>
    <row r="1170" spans="1:17" ht="14.45">
      <c r="A1170" s="15">
        <v>2129</v>
      </c>
      <c r="B1170" s="15">
        <v>1169</v>
      </c>
      <c r="C1170" s="15">
        <v>0</v>
      </c>
      <c r="D1170" s="15">
        <v>158</v>
      </c>
      <c r="E1170" s="15" t="b">
        <v>1</v>
      </c>
      <c r="F1170" s="15" t="b">
        <v>0</v>
      </c>
      <c r="G1170" s="18" t="s">
        <v>206</v>
      </c>
      <c r="H1170" s="15" t="s">
        <v>2732</v>
      </c>
      <c r="I1170" s="18" t="s">
        <v>91</v>
      </c>
      <c r="J1170" s="15"/>
      <c r="K1170" s="15">
        <v>116</v>
      </c>
      <c r="L1170" s="120" t="s">
        <v>19</v>
      </c>
      <c r="M1170" s="15" t="s">
        <v>92</v>
      </c>
      <c r="N1170" s="15"/>
      <c r="O1170" s="15"/>
      <c r="P1170" s="15" t="s">
        <v>2733</v>
      </c>
      <c r="Q1170" s="15" t="b">
        <v>0</v>
      </c>
    </row>
    <row r="1171" spans="1:17" ht="14.45" hidden="1">
      <c r="A1171" s="15">
        <v>2130</v>
      </c>
      <c r="B1171" s="15">
        <v>1170</v>
      </c>
      <c r="C1171" s="15">
        <v>0</v>
      </c>
      <c r="D1171" s="15">
        <v>156</v>
      </c>
      <c r="E1171" s="15" t="b">
        <v>1</v>
      </c>
      <c r="F1171" s="15" t="b">
        <v>0</v>
      </c>
      <c r="G1171" s="18" t="s">
        <v>206</v>
      </c>
      <c r="H1171" s="15" t="s">
        <v>2732</v>
      </c>
      <c r="I1171" s="18" t="s">
        <v>88</v>
      </c>
      <c r="J1171" s="15"/>
      <c r="K1171" s="15"/>
      <c r="L1171" s="120" t="s">
        <v>19</v>
      </c>
      <c r="M1171" s="15" t="s">
        <v>89</v>
      </c>
      <c r="N1171" s="15"/>
      <c r="O1171" s="15"/>
      <c r="P1171" s="15" t="s">
        <v>90</v>
      </c>
      <c r="Q1171" s="15" t="b">
        <v>0</v>
      </c>
    </row>
    <row r="1172" spans="1:17" ht="14.45" hidden="1">
      <c r="A1172" s="15">
        <v>2131</v>
      </c>
      <c r="B1172" s="15">
        <v>1171</v>
      </c>
      <c r="C1172" s="15">
        <v>0</v>
      </c>
      <c r="D1172" s="15">
        <v>114</v>
      </c>
      <c r="E1172" s="15" t="b">
        <v>1</v>
      </c>
      <c r="F1172" s="15" t="b">
        <v>0</v>
      </c>
      <c r="G1172" s="18" t="s">
        <v>206</v>
      </c>
      <c r="H1172" s="15" t="s">
        <v>2734</v>
      </c>
      <c r="I1172" s="18" t="s">
        <v>2735</v>
      </c>
      <c r="J1172" s="15"/>
      <c r="K1172" s="15"/>
      <c r="L1172" s="120" t="s">
        <v>2677</v>
      </c>
      <c r="M1172" s="15" t="s">
        <v>2736</v>
      </c>
      <c r="N1172" s="15"/>
      <c r="O1172" s="15"/>
      <c r="P1172" s="15" t="s">
        <v>2737</v>
      </c>
      <c r="Q1172" s="15" t="b">
        <v>0</v>
      </c>
    </row>
    <row r="1173" spans="1:17" ht="14.45" hidden="1">
      <c r="A1173" s="15">
        <v>2132</v>
      </c>
      <c r="B1173" s="15">
        <v>1172</v>
      </c>
      <c r="C1173" s="15">
        <v>0</v>
      </c>
      <c r="D1173" s="15">
        <v>138</v>
      </c>
      <c r="E1173" s="15" t="b">
        <v>1</v>
      </c>
      <c r="F1173" s="15" t="b">
        <v>0</v>
      </c>
      <c r="G1173" s="18" t="s">
        <v>206</v>
      </c>
      <c r="H1173" s="15" t="s">
        <v>2734</v>
      </c>
      <c r="I1173" s="18" t="s">
        <v>2738</v>
      </c>
      <c r="J1173" s="15"/>
      <c r="K1173" s="15"/>
      <c r="L1173" s="120" t="s">
        <v>19</v>
      </c>
      <c r="M1173" s="15" t="s">
        <v>72</v>
      </c>
      <c r="N1173" s="15"/>
      <c r="O1173" s="15"/>
      <c r="P1173" s="15" t="s">
        <v>2739</v>
      </c>
      <c r="Q1173" s="15" t="b">
        <v>0</v>
      </c>
    </row>
    <row r="1174" spans="1:17" ht="14.45" hidden="1">
      <c r="A1174" s="15">
        <v>2133</v>
      </c>
      <c r="B1174" s="15">
        <v>1173</v>
      </c>
      <c r="C1174" s="15">
        <v>0</v>
      </c>
      <c r="D1174" s="15">
        <v>109</v>
      </c>
      <c r="E1174" s="15" t="b">
        <v>1</v>
      </c>
      <c r="F1174" s="15" t="b">
        <v>0</v>
      </c>
      <c r="G1174" s="18" t="s">
        <v>206</v>
      </c>
      <c r="H1174" s="15" t="s">
        <v>2740</v>
      </c>
      <c r="I1174" s="18" t="s">
        <v>2741</v>
      </c>
      <c r="J1174" s="15" t="s">
        <v>2742</v>
      </c>
      <c r="K1174" s="15"/>
      <c r="L1174" s="120" t="s">
        <v>2677</v>
      </c>
      <c r="M1174" s="15" t="s">
        <v>2743</v>
      </c>
      <c r="N1174" s="15"/>
      <c r="O1174" s="15"/>
      <c r="P1174" s="15" t="s">
        <v>2744</v>
      </c>
      <c r="Q1174" s="15" t="b">
        <v>0</v>
      </c>
    </row>
    <row r="1175" spans="1:17" s="203" customFormat="1" ht="14.45">
      <c r="A1175" s="91">
        <v>2134</v>
      </c>
      <c r="B1175" s="91">
        <v>1174</v>
      </c>
      <c r="C1175" s="91">
        <v>0</v>
      </c>
      <c r="D1175" s="91">
        <v>159</v>
      </c>
      <c r="E1175" s="91" t="b">
        <v>1</v>
      </c>
      <c r="F1175" s="91" t="b">
        <v>0</v>
      </c>
      <c r="G1175" s="91" t="s">
        <v>206</v>
      </c>
      <c r="H1175" s="91" t="s">
        <v>2745</v>
      </c>
      <c r="I1175" s="91" t="s">
        <v>2720</v>
      </c>
      <c r="J1175" s="91"/>
      <c r="K1175" s="137">
        <v>107</v>
      </c>
      <c r="L1175" s="131" t="s">
        <v>19</v>
      </c>
      <c r="M1175" s="91" t="s">
        <v>53</v>
      </c>
      <c r="N1175" s="91"/>
      <c r="O1175" s="91"/>
      <c r="P1175" s="91" t="s">
        <v>2721</v>
      </c>
      <c r="Q1175" s="91" t="b">
        <v>0</v>
      </c>
    </row>
    <row r="1176" spans="1:17" ht="14.45">
      <c r="A1176" s="15">
        <v>2135</v>
      </c>
      <c r="B1176" s="15">
        <v>1175</v>
      </c>
      <c r="C1176" s="15">
        <v>0</v>
      </c>
      <c r="D1176" s="15">
        <v>150</v>
      </c>
      <c r="E1176" s="15" t="b">
        <v>1</v>
      </c>
      <c r="F1176" s="15" t="b">
        <v>0</v>
      </c>
      <c r="G1176" s="18" t="s">
        <v>206</v>
      </c>
      <c r="H1176" s="15" t="s">
        <v>2745</v>
      </c>
      <c r="I1176" s="18" t="s">
        <v>2722</v>
      </c>
      <c r="J1176" s="15"/>
      <c r="K1176" s="15">
        <v>109</v>
      </c>
      <c r="L1176" s="120" t="s">
        <v>19</v>
      </c>
      <c r="M1176" s="15" t="s">
        <v>59</v>
      </c>
      <c r="N1176" s="15"/>
      <c r="O1176" s="15"/>
      <c r="P1176" s="15" t="s">
        <v>2723</v>
      </c>
      <c r="Q1176" s="15" t="b">
        <v>0</v>
      </c>
    </row>
    <row r="1177" spans="1:17" s="203" customFormat="1" ht="14.45">
      <c r="A1177" s="91">
        <v>2136</v>
      </c>
      <c r="B1177" s="91">
        <v>1176</v>
      </c>
      <c r="C1177" s="91">
        <v>0</v>
      </c>
      <c r="D1177" s="91">
        <v>149</v>
      </c>
      <c r="E1177" s="91" t="b">
        <v>1</v>
      </c>
      <c r="F1177" s="91" t="b">
        <v>0</v>
      </c>
      <c r="G1177" s="91" t="s">
        <v>206</v>
      </c>
      <c r="H1177" s="91" t="s">
        <v>2745</v>
      </c>
      <c r="I1177" s="91" t="s">
        <v>55</v>
      </c>
      <c r="J1177" s="91"/>
      <c r="K1177" s="137">
        <v>108</v>
      </c>
      <c r="L1177" s="131" t="s">
        <v>19</v>
      </c>
      <c r="M1177" s="91" t="s">
        <v>56</v>
      </c>
      <c r="N1177" s="91"/>
      <c r="O1177" s="91"/>
      <c r="P1177" s="91" t="s">
        <v>57</v>
      </c>
      <c r="Q1177" s="91" t="b">
        <v>0</v>
      </c>
    </row>
    <row r="1178" spans="1:17" ht="14.45">
      <c r="A1178" s="15">
        <v>2137</v>
      </c>
      <c r="B1178" s="15">
        <v>1177</v>
      </c>
      <c r="C1178" s="15">
        <v>0</v>
      </c>
      <c r="D1178" s="15">
        <v>142</v>
      </c>
      <c r="E1178" s="15" t="b">
        <v>1</v>
      </c>
      <c r="F1178" s="15" t="b">
        <v>0</v>
      </c>
      <c r="G1178" s="18" t="s">
        <v>206</v>
      </c>
      <c r="H1178" s="15" t="s">
        <v>2745</v>
      </c>
      <c r="I1178" s="18" t="s">
        <v>61</v>
      </c>
      <c r="J1178" s="15"/>
      <c r="K1178" s="15">
        <v>110</v>
      </c>
      <c r="L1178" s="120" t="s">
        <v>19</v>
      </c>
      <c r="M1178" s="15" t="s">
        <v>62</v>
      </c>
      <c r="N1178" s="15"/>
      <c r="O1178" s="15"/>
      <c r="P1178" s="15" t="s">
        <v>2725</v>
      </c>
      <c r="Q1178" s="15" t="b">
        <v>0</v>
      </c>
    </row>
    <row r="1179" spans="1:17" ht="14.45" hidden="1">
      <c r="A1179" s="15">
        <v>2138</v>
      </c>
      <c r="B1179" s="15">
        <v>1178</v>
      </c>
      <c r="C1179" s="15">
        <v>0</v>
      </c>
      <c r="D1179" s="15">
        <v>136</v>
      </c>
      <c r="E1179" s="15" t="b">
        <v>1</v>
      </c>
      <c r="F1179" s="15" t="b">
        <v>0</v>
      </c>
      <c r="G1179" s="18" t="s">
        <v>206</v>
      </c>
      <c r="H1179" s="15" t="s">
        <v>2745</v>
      </c>
      <c r="I1179" s="18" t="s">
        <v>2726</v>
      </c>
      <c r="J1179" s="15"/>
      <c r="K1179" s="15"/>
      <c r="L1179" s="120" t="s">
        <v>2677</v>
      </c>
      <c r="M1179" s="15" t="s">
        <v>2727</v>
      </c>
      <c r="N1179" s="15"/>
      <c r="O1179" s="15"/>
      <c r="P1179" s="15" t="s">
        <v>2728</v>
      </c>
      <c r="Q1179" s="15" t="b">
        <v>0</v>
      </c>
    </row>
    <row r="1180" spans="1:17" ht="14.45" hidden="1">
      <c r="A1180" s="15">
        <v>2139</v>
      </c>
      <c r="B1180" s="15">
        <v>1179</v>
      </c>
      <c r="C1180" s="15">
        <v>0</v>
      </c>
      <c r="D1180" s="15">
        <v>137</v>
      </c>
      <c r="E1180" s="15" t="b">
        <v>1</v>
      </c>
      <c r="F1180" s="15" t="b">
        <v>0</v>
      </c>
      <c r="G1180" s="18" t="s">
        <v>206</v>
      </c>
      <c r="H1180" s="15" t="s">
        <v>2745</v>
      </c>
      <c r="I1180" s="18" t="s">
        <v>2729</v>
      </c>
      <c r="J1180" s="15"/>
      <c r="K1180" s="15"/>
      <c r="L1180" s="120" t="s">
        <v>19</v>
      </c>
      <c r="M1180" s="15" t="s">
        <v>2730</v>
      </c>
      <c r="N1180" s="15"/>
      <c r="O1180" s="15"/>
      <c r="P1180" s="15" t="s">
        <v>2731</v>
      </c>
      <c r="Q1180" s="15" t="b">
        <v>0</v>
      </c>
    </row>
    <row r="1181" spans="1:17" ht="14.45" hidden="1">
      <c r="A1181" s="15">
        <v>2140</v>
      </c>
      <c r="B1181" s="15">
        <v>1180</v>
      </c>
      <c r="C1181" s="15">
        <v>0</v>
      </c>
      <c r="D1181" s="15">
        <v>114</v>
      </c>
      <c r="E1181" s="15" t="b">
        <v>1</v>
      </c>
      <c r="F1181" s="15" t="b">
        <v>0</v>
      </c>
      <c r="G1181" s="18" t="s">
        <v>206</v>
      </c>
      <c r="H1181" s="15" t="s">
        <v>2746</v>
      </c>
      <c r="I1181" s="18" t="s">
        <v>2735</v>
      </c>
      <c r="J1181" s="15"/>
      <c r="K1181" s="15"/>
      <c r="L1181" s="120" t="s">
        <v>2677</v>
      </c>
      <c r="M1181" s="15" t="s">
        <v>2736</v>
      </c>
      <c r="N1181" s="15"/>
      <c r="O1181" s="15"/>
      <c r="P1181" s="15" t="s">
        <v>2737</v>
      </c>
      <c r="Q1181" s="15" t="b">
        <v>0</v>
      </c>
    </row>
    <row r="1182" spans="1:17" ht="14.45" hidden="1">
      <c r="A1182" s="15">
        <v>2141</v>
      </c>
      <c r="B1182" s="15">
        <v>1181</v>
      </c>
      <c r="C1182" s="15">
        <v>0</v>
      </c>
      <c r="D1182" s="15">
        <v>138</v>
      </c>
      <c r="E1182" s="15" t="b">
        <v>1</v>
      </c>
      <c r="F1182" s="15" t="b">
        <v>0</v>
      </c>
      <c r="G1182" s="18" t="s">
        <v>206</v>
      </c>
      <c r="H1182" s="15" t="s">
        <v>2746</v>
      </c>
      <c r="I1182" s="18" t="s">
        <v>2738</v>
      </c>
      <c r="J1182" s="15"/>
      <c r="K1182" s="15"/>
      <c r="L1182" s="120" t="s">
        <v>19</v>
      </c>
      <c r="M1182" s="15" t="s">
        <v>72</v>
      </c>
      <c r="N1182" s="15"/>
      <c r="O1182" s="15"/>
      <c r="P1182" s="15" t="s">
        <v>2739</v>
      </c>
      <c r="Q1182" s="15" t="b">
        <v>0</v>
      </c>
    </row>
    <row r="1183" spans="1:17" ht="14.45" hidden="1">
      <c r="A1183" s="15">
        <v>2142</v>
      </c>
      <c r="B1183" s="15">
        <v>1182</v>
      </c>
      <c r="C1183" s="15">
        <v>0</v>
      </c>
      <c r="D1183" s="15">
        <v>132</v>
      </c>
      <c r="E1183" s="15" t="b">
        <v>1</v>
      </c>
      <c r="F1183" s="15" t="b">
        <v>0</v>
      </c>
      <c r="G1183" s="18" t="s">
        <v>206</v>
      </c>
      <c r="H1183" s="15" t="s">
        <v>2747</v>
      </c>
      <c r="I1183" s="18" t="s">
        <v>2748</v>
      </c>
      <c r="J1183" s="15"/>
      <c r="K1183" s="15"/>
      <c r="L1183" s="120" t="s">
        <v>2677</v>
      </c>
      <c r="M1183" s="15" t="s">
        <v>165</v>
      </c>
      <c r="N1183" s="15"/>
      <c r="O1183" s="15"/>
      <c r="P1183" s="15" t="s">
        <v>2749</v>
      </c>
      <c r="Q1183" s="15" t="b">
        <v>0</v>
      </c>
    </row>
    <row r="1184" spans="1:17" ht="14.45" hidden="1">
      <c r="A1184" s="15">
        <v>2143</v>
      </c>
      <c r="B1184" s="15">
        <v>1183</v>
      </c>
      <c r="C1184" s="15">
        <v>0</v>
      </c>
      <c r="D1184" s="15">
        <v>147</v>
      </c>
      <c r="E1184" s="15" t="b">
        <v>1</v>
      </c>
      <c r="F1184" s="15" t="b">
        <v>0</v>
      </c>
      <c r="G1184" s="18" t="s">
        <v>206</v>
      </c>
      <c r="H1184" s="15" t="s">
        <v>2747</v>
      </c>
      <c r="I1184" s="18" t="s">
        <v>2750</v>
      </c>
      <c r="J1184" s="15"/>
      <c r="K1184" s="15"/>
      <c r="L1184" s="120" t="s">
        <v>19</v>
      </c>
      <c r="M1184" s="15" t="s">
        <v>168</v>
      </c>
      <c r="N1184" s="15"/>
      <c r="O1184" s="15"/>
      <c r="P1184" s="15" t="s">
        <v>169</v>
      </c>
      <c r="Q1184" s="15" t="b">
        <v>0</v>
      </c>
    </row>
    <row r="1185" spans="1:17" ht="14.45" hidden="1">
      <c r="A1185" s="15">
        <v>2144</v>
      </c>
      <c r="B1185" s="15">
        <v>1184</v>
      </c>
      <c r="C1185" s="15">
        <v>0</v>
      </c>
      <c r="D1185" s="15">
        <v>123</v>
      </c>
      <c r="E1185" s="15" t="b">
        <v>1</v>
      </c>
      <c r="F1185" s="15" t="b">
        <v>0</v>
      </c>
      <c r="G1185" s="18" t="s">
        <v>206</v>
      </c>
      <c r="H1185" s="15" t="s">
        <v>2747</v>
      </c>
      <c r="I1185" s="18" t="s">
        <v>2751</v>
      </c>
      <c r="J1185" s="15"/>
      <c r="K1185" s="15"/>
      <c r="L1185" s="120" t="s">
        <v>2677</v>
      </c>
      <c r="M1185" s="15" t="s">
        <v>2752</v>
      </c>
      <c r="N1185" s="15"/>
      <c r="O1185" s="15"/>
      <c r="P1185" s="15" t="s">
        <v>2753</v>
      </c>
      <c r="Q1185" s="15" t="b">
        <v>0</v>
      </c>
    </row>
    <row r="1186" spans="1:17" ht="14.45" hidden="1">
      <c r="A1186" s="15">
        <v>2145</v>
      </c>
      <c r="B1186" s="15">
        <v>1185</v>
      </c>
      <c r="C1186" s="15">
        <v>0</v>
      </c>
      <c r="D1186" s="21">
        <v>154</v>
      </c>
      <c r="E1186" s="15" t="b">
        <v>1</v>
      </c>
      <c r="F1186" s="15" t="b">
        <v>0</v>
      </c>
      <c r="G1186" s="23" t="s">
        <v>206</v>
      </c>
      <c r="H1186" s="21" t="s">
        <v>2754</v>
      </c>
      <c r="I1186" s="22" t="s">
        <v>2755</v>
      </c>
      <c r="J1186" s="21"/>
      <c r="K1186" s="15"/>
      <c r="L1186" s="120" t="s">
        <v>19</v>
      </c>
      <c r="M1186" s="21" t="s">
        <v>40</v>
      </c>
      <c r="N1186" s="21"/>
      <c r="O1186" s="21"/>
      <c r="P1186" s="21" t="s">
        <v>41</v>
      </c>
      <c r="Q1186" s="15" t="b">
        <v>0</v>
      </c>
    </row>
    <row r="1187" spans="1:17" ht="14.45" hidden="1">
      <c r="A1187" s="15">
        <v>2146</v>
      </c>
      <c r="B1187" s="15">
        <v>1186</v>
      </c>
      <c r="C1187" s="15">
        <v>0</v>
      </c>
      <c r="D1187" s="15">
        <v>146</v>
      </c>
      <c r="E1187" s="15" t="b">
        <v>1</v>
      </c>
      <c r="F1187" s="15" t="b">
        <v>0</v>
      </c>
      <c r="G1187" s="18" t="s">
        <v>206</v>
      </c>
      <c r="H1187" s="15" t="s">
        <v>2754</v>
      </c>
      <c r="I1187" s="18" t="s">
        <v>110</v>
      </c>
      <c r="J1187" s="15"/>
      <c r="K1187" s="15"/>
      <c r="L1187" s="120" t="s">
        <v>19</v>
      </c>
      <c r="M1187" s="15" t="s">
        <v>111</v>
      </c>
      <c r="N1187" s="15"/>
      <c r="O1187" s="15"/>
      <c r="P1187" s="15" t="s">
        <v>2756</v>
      </c>
      <c r="Q1187" s="15" t="b">
        <v>0</v>
      </c>
    </row>
    <row r="1188" spans="1:17" ht="14.45" hidden="1">
      <c r="A1188" s="15">
        <v>2147</v>
      </c>
      <c r="B1188" s="15">
        <v>1187</v>
      </c>
      <c r="C1188" s="15">
        <v>0</v>
      </c>
      <c r="D1188" s="21">
        <v>161</v>
      </c>
      <c r="E1188" s="15" t="b">
        <v>1</v>
      </c>
      <c r="F1188" s="15" t="b">
        <v>0</v>
      </c>
      <c r="G1188" s="22" t="s">
        <v>206</v>
      </c>
      <c r="H1188" s="21" t="s">
        <v>2757</v>
      </c>
      <c r="I1188" s="22" t="s">
        <v>2758</v>
      </c>
      <c r="J1188" s="21"/>
      <c r="K1188" s="15"/>
      <c r="L1188" s="120" t="s">
        <v>19</v>
      </c>
      <c r="M1188" s="21" t="s">
        <v>118</v>
      </c>
      <c r="N1188" s="21"/>
      <c r="O1188" s="21"/>
      <c r="P1188" s="21" t="s">
        <v>119</v>
      </c>
      <c r="Q1188" s="15" t="b">
        <v>0</v>
      </c>
    </row>
    <row r="1189" spans="1:17" ht="14.45" hidden="1">
      <c r="A1189" s="15">
        <v>2148</v>
      </c>
      <c r="B1189" s="15">
        <v>1188</v>
      </c>
      <c r="C1189" s="15">
        <v>0</v>
      </c>
      <c r="D1189" s="15">
        <v>125</v>
      </c>
      <c r="E1189" s="15" t="b">
        <v>1</v>
      </c>
      <c r="F1189" s="15" t="b">
        <v>0</v>
      </c>
      <c r="G1189" s="18" t="s">
        <v>206</v>
      </c>
      <c r="H1189" s="15" t="s">
        <v>2759</v>
      </c>
      <c r="I1189" s="18" t="s">
        <v>2760</v>
      </c>
      <c r="J1189" s="15"/>
      <c r="K1189" s="15"/>
      <c r="L1189" s="120" t="s">
        <v>2677</v>
      </c>
      <c r="M1189" s="15" t="s">
        <v>2761</v>
      </c>
      <c r="N1189" s="15"/>
      <c r="O1189" s="15"/>
      <c r="P1189" s="15" t="s">
        <v>2762</v>
      </c>
      <c r="Q1189" s="15" t="b">
        <v>0</v>
      </c>
    </row>
    <row r="1190" spans="1:17" ht="14.45" hidden="1">
      <c r="A1190" s="15">
        <v>2149</v>
      </c>
      <c r="B1190" s="15">
        <v>1189</v>
      </c>
      <c r="C1190" s="15">
        <v>0</v>
      </c>
      <c r="D1190" s="15">
        <v>131</v>
      </c>
      <c r="E1190" s="15" t="b">
        <v>1</v>
      </c>
      <c r="F1190" s="15" t="b">
        <v>0</v>
      </c>
      <c r="G1190" s="18" t="s">
        <v>206</v>
      </c>
      <c r="H1190" s="15" t="s">
        <v>2763</v>
      </c>
      <c r="I1190" s="18" t="s">
        <v>2764</v>
      </c>
      <c r="J1190" s="15"/>
      <c r="K1190" s="15"/>
      <c r="L1190" s="120" t="s">
        <v>2677</v>
      </c>
      <c r="M1190" s="15" t="s">
        <v>2765</v>
      </c>
      <c r="N1190" s="15"/>
      <c r="O1190" s="15"/>
      <c r="P1190" s="15" t="s">
        <v>2766</v>
      </c>
      <c r="Q1190" s="15" t="b">
        <v>0</v>
      </c>
    </row>
    <row r="1191" spans="1:17" ht="14.45" hidden="1">
      <c r="A1191" s="15">
        <v>2150</v>
      </c>
      <c r="B1191" s="15">
        <v>1190</v>
      </c>
      <c r="C1191" s="15">
        <v>0</v>
      </c>
      <c r="D1191" s="15">
        <v>117</v>
      </c>
      <c r="E1191" s="15" t="b">
        <v>1</v>
      </c>
      <c r="F1191" s="15" t="b">
        <v>0</v>
      </c>
      <c r="G1191" s="18" t="s">
        <v>206</v>
      </c>
      <c r="H1191" s="15" t="s">
        <v>2763</v>
      </c>
      <c r="I1191" s="18" t="s">
        <v>2767</v>
      </c>
      <c r="J1191" s="15"/>
      <c r="K1191" s="15"/>
      <c r="L1191" s="120" t="s">
        <v>2677</v>
      </c>
      <c r="M1191" s="15" t="s">
        <v>2768</v>
      </c>
      <c r="N1191" s="15"/>
      <c r="O1191" s="15"/>
      <c r="P1191" s="15" t="s">
        <v>2769</v>
      </c>
      <c r="Q1191" s="15" t="b">
        <v>0</v>
      </c>
    </row>
    <row r="1192" spans="1:17" ht="14.45" hidden="1">
      <c r="A1192" s="15">
        <v>2151</v>
      </c>
      <c r="B1192" s="15">
        <v>1191</v>
      </c>
      <c r="C1192" s="15">
        <v>0</v>
      </c>
      <c r="D1192" s="15">
        <v>109</v>
      </c>
      <c r="E1192" s="15" t="b">
        <v>1</v>
      </c>
      <c r="F1192" s="15" t="b">
        <v>0</v>
      </c>
      <c r="G1192" s="18" t="s">
        <v>206</v>
      </c>
      <c r="H1192" s="15" t="s">
        <v>2770</v>
      </c>
      <c r="I1192" s="18" t="s">
        <v>2771</v>
      </c>
      <c r="J1192" s="15" t="s">
        <v>2772</v>
      </c>
      <c r="K1192" s="15"/>
      <c r="L1192" s="120" t="s">
        <v>2677</v>
      </c>
      <c r="M1192" s="15" t="s">
        <v>2773</v>
      </c>
      <c r="N1192" s="15"/>
      <c r="O1192" s="15"/>
      <c r="P1192" s="15" t="s">
        <v>2774</v>
      </c>
      <c r="Q1192" s="15" t="b">
        <v>0</v>
      </c>
    </row>
    <row r="1193" spans="1:17" ht="14.45" hidden="1">
      <c r="A1193" s="15">
        <v>2152</v>
      </c>
      <c r="B1193" s="15">
        <v>1192</v>
      </c>
      <c r="C1193" s="15">
        <v>0</v>
      </c>
      <c r="D1193" s="15">
        <v>114</v>
      </c>
      <c r="E1193" s="15" t="b">
        <v>1</v>
      </c>
      <c r="F1193" s="15" t="b">
        <v>0</v>
      </c>
      <c r="G1193" s="18" t="s">
        <v>206</v>
      </c>
      <c r="H1193" s="15" t="s">
        <v>2775</v>
      </c>
      <c r="I1193" s="18" t="s">
        <v>2735</v>
      </c>
      <c r="J1193" s="15"/>
      <c r="K1193" s="15"/>
      <c r="L1193" s="120" t="s">
        <v>2677</v>
      </c>
      <c r="M1193" s="15" t="s">
        <v>2736</v>
      </c>
      <c r="N1193" s="15"/>
      <c r="O1193" s="15"/>
      <c r="P1193" s="15" t="s">
        <v>2737</v>
      </c>
      <c r="Q1193" s="15" t="b">
        <v>0</v>
      </c>
    </row>
    <row r="1194" spans="1:17" ht="14.45" hidden="1">
      <c r="A1194" s="15">
        <v>2153</v>
      </c>
      <c r="B1194" s="15">
        <v>1193</v>
      </c>
      <c r="C1194" s="15">
        <v>0</v>
      </c>
      <c r="D1194" s="15">
        <v>138</v>
      </c>
      <c r="E1194" s="15" t="b">
        <v>1</v>
      </c>
      <c r="F1194" s="15" t="b">
        <v>0</v>
      </c>
      <c r="G1194" s="18" t="s">
        <v>206</v>
      </c>
      <c r="H1194" s="15" t="s">
        <v>2775</v>
      </c>
      <c r="I1194" s="18" t="s">
        <v>2738</v>
      </c>
      <c r="J1194" s="15"/>
      <c r="K1194" s="15"/>
      <c r="L1194" s="120" t="s">
        <v>19</v>
      </c>
      <c r="M1194" s="15" t="s">
        <v>72</v>
      </c>
      <c r="N1194" s="15"/>
      <c r="O1194" s="15"/>
      <c r="P1194" s="15" t="s">
        <v>2739</v>
      </c>
      <c r="Q1194" s="15" t="b">
        <v>0</v>
      </c>
    </row>
    <row r="1195" spans="1:17" ht="14.45" hidden="1">
      <c r="A1195" s="15">
        <v>2154</v>
      </c>
      <c r="B1195" s="15">
        <v>1194</v>
      </c>
      <c r="C1195" s="15">
        <v>0</v>
      </c>
      <c r="D1195" s="15">
        <v>132</v>
      </c>
      <c r="E1195" s="15" t="b">
        <v>1</v>
      </c>
      <c r="F1195" s="15" t="b">
        <v>0</v>
      </c>
      <c r="G1195" s="18" t="s">
        <v>206</v>
      </c>
      <c r="H1195" s="15" t="s">
        <v>2776</v>
      </c>
      <c r="I1195" s="18" t="s">
        <v>2748</v>
      </c>
      <c r="J1195" s="15"/>
      <c r="K1195" s="15"/>
      <c r="L1195" s="120" t="s">
        <v>2677</v>
      </c>
      <c r="M1195" s="15" t="s">
        <v>165</v>
      </c>
      <c r="N1195" s="15"/>
      <c r="O1195" s="15"/>
      <c r="P1195" s="15" t="s">
        <v>2749</v>
      </c>
      <c r="Q1195" s="15" t="b">
        <v>0</v>
      </c>
    </row>
    <row r="1196" spans="1:17" ht="14.45" hidden="1">
      <c r="A1196" s="15">
        <v>2155</v>
      </c>
      <c r="B1196" s="15">
        <v>1195</v>
      </c>
      <c r="C1196" s="15">
        <v>0</v>
      </c>
      <c r="D1196" s="15">
        <v>147</v>
      </c>
      <c r="E1196" s="15" t="b">
        <v>1</v>
      </c>
      <c r="F1196" s="15" t="b">
        <v>0</v>
      </c>
      <c r="G1196" s="18" t="s">
        <v>206</v>
      </c>
      <c r="H1196" s="15" t="s">
        <v>2776</v>
      </c>
      <c r="I1196" s="18" t="s">
        <v>2750</v>
      </c>
      <c r="J1196" s="15"/>
      <c r="K1196" s="15"/>
      <c r="L1196" s="120" t="s">
        <v>19</v>
      </c>
      <c r="M1196" s="15" t="s">
        <v>168</v>
      </c>
      <c r="N1196" s="15"/>
      <c r="O1196" s="15"/>
      <c r="P1196" s="15" t="s">
        <v>169</v>
      </c>
      <c r="Q1196" s="15" t="b">
        <v>0</v>
      </c>
    </row>
    <row r="1197" spans="1:17" s="73" customFormat="1" ht="14.45" hidden="1">
      <c r="A1197" s="15">
        <v>2156</v>
      </c>
      <c r="B1197" s="15">
        <v>1196</v>
      </c>
      <c r="C1197" s="15">
        <v>0</v>
      </c>
      <c r="D1197" s="15">
        <v>123</v>
      </c>
      <c r="E1197" s="15" t="b">
        <v>1</v>
      </c>
      <c r="F1197" s="15" t="b">
        <v>0</v>
      </c>
      <c r="G1197" s="204" t="s">
        <v>206</v>
      </c>
      <c r="H1197" s="15" t="s">
        <v>2776</v>
      </c>
      <c r="I1197" s="204" t="s">
        <v>2751</v>
      </c>
      <c r="J1197" s="15"/>
      <c r="K1197" s="15"/>
      <c r="L1197" s="15" t="s">
        <v>2677</v>
      </c>
      <c r="M1197" s="15" t="s">
        <v>2777</v>
      </c>
      <c r="N1197" s="15"/>
      <c r="O1197" s="15"/>
      <c r="P1197" s="15" t="s">
        <v>2753</v>
      </c>
      <c r="Q1197" s="15" t="b">
        <v>0</v>
      </c>
    </row>
    <row r="1198" spans="1:17" ht="14.45" hidden="1">
      <c r="A1198" s="15">
        <v>2157</v>
      </c>
      <c r="B1198" s="15">
        <v>1197</v>
      </c>
      <c r="C1198" s="15">
        <v>0</v>
      </c>
      <c r="D1198" s="21">
        <v>154</v>
      </c>
      <c r="E1198" s="15" t="b">
        <v>1</v>
      </c>
      <c r="F1198" s="15" t="b">
        <v>0</v>
      </c>
      <c r="G1198" s="23" t="s">
        <v>206</v>
      </c>
      <c r="H1198" s="21" t="s">
        <v>2778</v>
      </c>
      <c r="I1198" s="22" t="s">
        <v>2755</v>
      </c>
      <c r="J1198" s="21"/>
      <c r="K1198" s="15"/>
      <c r="L1198" s="120" t="s">
        <v>19</v>
      </c>
      <c r="M1198" s="21" t="s">
        <v>40</v>
      </c>
      <c r="N1198" s="21"/>
      <c r="O1198" s="21"/>
      <c r="P1198" s="21" t="s">
        <v>41</v>
      </c>
      <c r="Q1198" s="15" t="b">
        <v>0</v>
      </c>
    </row>
    <row r="1199" spans="1:17" ht="14.45" hidden="1">
      <c r="A1199" s="15">
        <v>2158</v>
      </c>
      <c r="B1199" s="15">
        <v>1198</v>
      </c>
      <c r="C1199" s="15">
        <v>0</v>
      </c>
      <c r="D1199" s="15">
        <v>146</v>
      </c>
      <c r="E1199" s="15" t="b">
        <v>1</v>
      </c>
      <c r="F1199" s="15" t="b">
        <v>0</v>
      </c>
      <c r="G1199" s="18" t="s">
        <v>206</v>
      </c>
      <c r="H1199" s="15" t="s">
        <v>2778</v>
      </c>
      <c r="I1199" s="18" t="s">
        <v>110</v>
      </c>
      <c r="J1199" s="15"/>
      <c r="K1199" s="15"/>
      <c r="L1199" s="120" t="s">
        <v>19</v>
      </c>
      <c r="M1199" s="15" t="s">
        <v>111</v>
      </c>
      <c r="N1199" s="15"/>
      <c r="O1199" s="15"/>
      <c r="P1199" s="15" t="s">
        <v>2756</v>
      </c>
      <c r="Q1199" s="15" t="b">
        <v>0</v>
      </c>
    </row>
    <row r="1200" spans="1:17" ht="14.45" hidden="1">
      <c r="A1200" s="15">
        <v>2159</v>
      </c>
      <c r="B1200" s="15">
        <v>1199</v>
      </c>
      <c r="C1200" s="15">
        <v>0</v>
      </c>
      <c r="D1200" s="15">
        <v>130</v>
      </c>
      <c r="E1200" s="15" t="b">
        <v>1</v>
      </c>
      <c r="F1200" s="15" t="b">
        <v>0</v>
      </c>
      <c r="G1200" s="18" t="s">
        <v>206</v>
      </c>
      <c r="H1200" s="15" t="s">
        <v>2778</v>
      </c>
      <c r="I1200" s="18" t="s">
        <v>2779</v>
      </c>
      <c r="J1200" s="15"/>
      <c r="K1200" s="15"/>
      <c r="L1200" s="120" t="s">
        <v>2677</v>
      </c>
      <c r="M1200" s="15" t="s">
        <v>2780</v>
      </c>
      <c r="N1200" s="15"/>
      <c r="O1200" s="15"/>
      <c r="P1200" s="15" t="s">
        <v>2781</v>
      </c>
      <c r="Q1200" s="15" t="b">
        <v>0</v>
      </c>
    </row>
    <row r="1201" spans="1:17" ht="14.45" hidden="1">
      <c r="A1201" s="15">
        <v>2160</v>
      </c>
      <c r="B1201" s="15">
        <v>1200</v>
      </c>
      <c r="C1201" s="15">
        <v>0</v>
      </c>
      <c r="D1201" s="15">
        <v>133</v>
      </c>
      <c r="E1201" s="15" t="b">
        <v>1</v>
      </c>
      <c r="F1201" s="15" t="b">
        <v>0</v>
      </c>
      <c r="G1201" s="18" t="s">
        <v>206</v>
      </c>
      <c r="H1201" s="15" t="s">
        <v>2782</v>
      </c>
      <c r="I1201" s="18" t="s">
        <v>2783</v>
      </c>
      <c r="J1201" s="15"/>
      <c r="K1201" s="15"/>
      <c r="L1201" s="120" t="s">
        <v>2677</v>
      </c>
      <c r="M1201" s="15" t="s">
        <v>2784</v>
      </c>
      <c r="N1201" s="15"/>
      <c r="O1201" s="15"/>
      <c r="P1201" s="15" t="s">
        <v>2785</v>
      </c>
      <c r="Q1201" s="15" t="b">
        <v>0</v>
      </c>
    </row>
    <row r="1202" spans="1:17" ht="14.45" hidden="1">
      <c r="A1202" s="15">
        <v>2161</v>
      </c>
      <c r="B1202" s="15">
        <v>1201</v>
      </c>
      <c r="C1202" s="15">
        <v>0</v>
      </c>
      <c r="D1202" s="15">
        <v>128</v>
      </c>
      <c r="E1202" s="15" t="b">
        <v>1</v>
      </c>
      <c r="F1202" s="15" t="b">
        <v>0</v>
      </c>
      <c r="G1202" s="18" t="s">
        <v>206</v>
      </c>
      <c r="H1202" s="15" t="s">
        <v>2782</v>
      </c>
      <c r="I1202" s="18" t="s">
        <v>2786</v>
      </c>
      <c r="J1202" s="15"/>
      <c r="K1202" s="15"/>
      <c r="L1202" s="120" t="s">
        <v>2677</v>
      </c>
      <c r="M1202" s="20" t="s">
        <v>2787</v>
      </c>
      <c r="N1202" s="15"/>
      <c r="O1202" s="15"/>
      <c r="P1202" s="15" t="s">
        <v>2788</v>
      </c>
      <c r="Q1202" s="15" t="b">
        <v>0</v>
      </c>
    </row>
    <row r="1203" spans="1:17" ht="14.45" hidden="1">
      <c r="A1203" s="15">
        <v>2162</v>
      </c>
      <c r="B1203" s="15">
        <v>1202</v>
      </c>
      <c r="C1203" s="15">
        <v>0</v>
      </c>
      <c r="D1203" s="15">
        <v>127</v>
      </c>
      <c r="E1203" s="15" t="b">
        <v>1</v>
      </c>
      <c r="F1203" s="15" t="b">
        <v>0</v>
      </c>
      <c r="G1203" s="18" t="s">
        <v>206</v>
      </c>
      <c r="H1203" s="15" t="s">
        <v>2782</v>
      </c>
      <c r="I1203" s="18" t="s">
        <v>2789</v>
      </c>
      <c r="J1203" s="15"/>
      <c r="K1203" s="15"/>
      <c r="L1203" s="120" t="s">
        <v>2677</v>
      </c>
      <c r="M1203" s="20" t="s">
        <v>2790</v>
      </c>
      <c r="N1203" s="15"/>
      <c r="O1203" s="15"/>
      <c r="P1203" s="15" t="s">
        <v>2791</v>
      </c>
      <c r="Q1203" s="15" t="b">
        <v>0</v>
      </c>
    </row>
    <row r="1204" spans="1:17" ht="14.45" hidden="1">
      <c r="A1204" s="15">
        <v>2163</v>
      </c>
      <c r="B1204" s="15">
        <v>1203</v>
      </c>
      <c r="C1204" s="15">
        <v>0</v>
      </c>
      <c r="D1204" s="15">
        <v>126</v>
      </c>
      <c r="E1204" s="15" t="b">
        <v>1</v>
      </c>
      <c r="F1204" s="15" t="b">
        <v>0</v>
      </c>
      <c r="G1204" s="18" t="s">
        <v>206</v>
      </c>
      <c r="H1204" s="15" t="s">
        <v>2782</v>
      </c>
      <c r="I1204" s="18" t="s">
        <v>2792</v>
      </c>
      <c r="J1204" s="15"/>
      <c r="K1204" s="15"/>
      <c r="L1204" s="120" t="s">
        <v>2677</v>
      </c>
      <c r="M1204" s="15" t="s">
        <v>2793</v>
      </c>
      <c r="N1204" s="15"/>
      <c r="O1204" s="15"/>
      <c r="P1204" s="15" t="s">
        <v>2794</v>
      </c>
      <c r="Q1204" s="15" t="b">
        <v>0</v>
      </c>
    </row>
    <row r="1205" spans="1:17" ht="14.45" hidden="1">
      <c r="A1205" s="15">
        <v>2164</v>
      </c>
      <c r="B1205" s="15">
        <v>1204</v>
      </c>
      <c r="C1205" s="15">
        <v>0</v>
      </c>
      <c r="D1205" s="15">
        <v>135</v>
      </c>
      <c r="E1205" s="15" t="b">
        <v>1</v>
      </c>
      <c r="F1205" s="15" t="b">
        <v>0</v>
      </c>
      <c r="G1205" s="18" t="s">
        <v>206</v>
      </c>
      <c r="H1205" s="15" t="s">
        <v>2782</v>
      </c>
      <c r="I1205" s="18" t="s">
        <v>2795</v>
      </c>
      <c r="J1205" s="15"/>
      <c r="K1205" s="15"/>
      <c r="L1205" s="120" t="s">
        <v>2677</v>
      </c>
      <c r="M1205" s="15" t="s">
        <v>2796</v>
      </c>
      <c r="N1205" s="15"/>
      <c r="O1205" s="15"/>
      <c r="P1205" s="15" t="s">
        <v>2797</v>
      </c>
      <c r="Q1205" s="15" t="b">
        <v>0</v>
      </c>
    </row>
    <row r="1206" spans="1:17" ht="14.45" hidden="1">
      <c r="A1206" s="15">
        <v>2165</v>
      </c>
      <c r="B1206" s="15">
        <v>1205</v>
      </c>
      <c r="C1206" s="15">
        <v>0</v>
      </c>
      <c r="D1206" s="15">
        <v>134</v>
      </c>
      <c r="E1206" s="15" t="b">
        <v>1</v>
      </c>
      <c r="F1206" s="15" t="b">
        <v>0</v>
      </c>
      <c r="G1206" s="18" t="s">
        <v>206</v>
      </c>
      <c r="H1206" s="15" t="s">
        <v>2782</v>
      </c>
      <c r="I1206" s="18" t="s">
        <v>2798</v>
      </c>
      <c r="J1206" s="15"/>
      <c r="K1206" s="15"/>
      <c r="L1206" s="120" t="s">
        <v>2677</v>
      </c>
      <c r="M1206" s="15" t="s">
        <v>2799</v>
      </c>
      <c r="N1206" s="15"/>
      <c r="O1206" s="15"/>
      <c r="P1206" s="15" t="s">
        <v>2800</v>
      </c>
      <c r="Q1206" s="15" t="b">
        <v>0</v>
      </c>
    </row>
    <row r="1207" spans="1:17" ht="14.45" hidden="1">
      <c r="A1207" s="15">
        <v>2166</v>
      </c>
      <c r="B1207" s="15">
        <v>1206</v>
      </c>
      <c r="C1207" s="15">
        <v>0</v>
      </c>
      <c r="D1207" s="15">
        <v>129</v>
      </c>
      <c r="E1207" s="15" t="b">
        <v>1</v>
      </c>
      <c r="F1207" s="15" t="b">
        <v>0</v>
      </c>
      <c r="G1207" s="18" t="s">
        <v>206</v>
      </c>
      <c r="H1207" s="15" t="s">
        <v>2782</v>
      </c>
      <c r="I1207" s="18" t="s">
        <v>2801</v>
      </c>
      <c r="J1207" s="15"/>
      <c r="K1207" s="15"/>
      <c r="L1207" s="120" t="s">
        <v>2677</v>
      </c>
      <c r="M1207" s="15" t="s">
        <v>2802</v>
      </c>
      <c r="N1207" s="15"/>
      <c r="O1207" s="15"/>
      <c r="P1207" s="15" t="s">
        <v>2803</v>
      </c>
      <c r="Q1207" s="15" t="b">
        <v>0</v>
      </c>
    </row>
    <row r="1208" spans="1:17" ht="14.45" hidden="1">
      <c r="A1208" s="15">
        <v>2167</v>
      </c>
      <c r="B1208" s="15">
        <v>1207</v>
      </c>
      <c r="C1208" s="15">
        <v>0</v>
      </c>
      <c r="D1208" s="15">
        <v>122</v>
      </c>
      <c r="E1208" s="15" t="b">
        <v>1</v>
      </c>
      <c r="F1208" s="15" t="b">
        <v>0</v>
      </c>
      <c r="G1208" s="18" t="s">
        <v>206</v>
      </c>
      <c r="H1208" s="15" t="s">
        <v>2782</v>
      </c>
      <c r="I1208" s="18" t="s">
        <v>2804</v>
      </c>
      <c r="J1208" s="15"/>
      <c r="K1208" s="15"/>
      <c r="L1208" s="120" t="s">
        <v>2677</v>
      </c>
      <c r="M1208" s="15" t="s">
        <v>2805</v>
      </c>
      <c r="N1208" s="15"/>
      <c r="O1208" s="15"/>
      <c r="P1208" s="15" t="s">
        <v>2806</v>
      </c>
      <c r="Q1208" s="15" t="b">
        <v>0</v>
      </c>
    </row>
    <row r="1209" spans="1:17" ht="14.45" hidden="1">
      <c r="A1209" s="15">
        <v>2168</v>
      </c>
      <c r="B1209" s="15">
        <v>1208</v>
      </c>
      <c r="C1209" s="15">
        <v>0</v>
      </c>
      <c r="D1209" s="15">
        <v>121</v>
      </c>
      <c r="E1209" s="15" t="b">
        <v>1</v>
      </c>
      <c r="F1209" s="15" t="b">
        <v>0</v>
      </c>
      <c r="G1209" s="18" t="s">
        <v>206</v>
      </c>
      <c r="H1209" s="15" t="s">
        <v>2782</v>
      </c>
      <c r="I1209" s="18" t="s">
        <v>2807</v>
      </c>
      <c r="J1209" s="15"/>
      <c r="K1209" s="15"/>
      <c r="L1209" s="120" t="s">
        <v>2677</v>
      </c>
      <c r="M1209" s="15" t="s">
        <v>2808</v>
      </c>
      <c r="N1209" s="15"/>
      <c r="O1209" s="15"/>
      <c r="P1209" s="15" t="s">
        <v>2809</v>
      </c>
      <c r="Q1209" s="15" t="b">
        <v>0</v>
      </c>
    </row>
    <row r="1210" spans="1:17" s="76" customFormat="1" ht="15" customHeight="1">
      <c r="A1210" s="129">
        <v>6001</v>
      </c>
      <c r="B1210" s="129">
        <v>2001</v>
      </c>
      <c r="C1210" s="129">
        <v>0</v>
      </c>
      <c r="D1210" s="129">
        <v>164</v>
      </c>
      <c r="E1210" s="129" t="b">
        <v>1</v>
      </c>
      <c r="F1210" s="129" t="b">
        <v>0</v>
      </c>
      <c r="G1210" s="129" t="s">
        <v>2810</v>
      </c>
      <c r="H1210" s="129"/>
      <c r="I1210" s="129" t="s">
        <v>2811</v>
      </c>
      <c r="J1210" s="129"/>
      <c r="K1210" s="129">
        <v>201</v>
      </c>
      <c r="L1210" s="129" t="s">
        <v>2812</v>
      </c>
      <c r="M1210" s="129" t="s">
        <v>2813</v>
      </c>
      <c r="N1210" s="129"/>
      <c r="O1210" s="129" t="s">
        <v>2814</v>
      </c>
      <c r="Q1210" s="129" t="b">
        <v>0</v>
      </c>
    </row>
    <row r="1211" spans="1:17" s="5" customFormat="1" ht="15" hidden="1" customHeight="1">
      <c r="A1211" s="129">
        <v>6101</v>
      </c>
      <c r="B1211" s="129">
        <v>2002</v>
      </c>
      <c r="C1211" s="129">
        <v>0</v>
      </c>
      <c r="D1211" s="129">
        <v>164</v>
      </c>
      <c r="E1211" s="129" t="b">
        <v>1</v>
      </c>
      <c r="F1211" s="129" t="b">
        <v>0</v>
      </c>
      <c r="G1211" s="129" t="s">
        <v>2810</v>
      </c>
      <c r="H1211" s="129" t="s">
        <v>2815</v>
      </c>
      <c r="I1211" s="129" t="s">
        <v>2816</v>
      </c>
      <c r="J1211" s="129">
        <v>31</v>
      </c>
      <c r="K1211" s="129"/>
      <c r="L1211" s="129" t="s">
        <v>2812</v>
      </c>
      <c r="M1211" s="129" t="s">
        <v>2817</v>
      </c>
      <c r="N1211" s="129"/>
      <c r="O1211" s="129" t="s">
        <v>2815</v>
      </c>
      <c r="Q1211" s="129" t="b">
        <v>0</v>
      </c>
    </row>
    <row r="1212" spans="1:17" s="5" customFormat="1" ht="15" hidden="1" customHeight="1">
      <c r="A1212" s="129">
        <v>6102</v>
      </c>
      <c r="B1212" s="129">
        <v>2003</v>
      </c>
      <c r="C1212" s="129">
        <v>0</v>
      </c>
      <c r="D1212" s="129">
        <v>164</v>
      </c>
      <c r="E1212" s="129" t="b">
        <v>1</v>
      </c>
      <c r="F1212" s="129" t="b">
        <v>0</v>
      </c>
      <c r="G1212" s="129" t="s">
        <v>2810</v>
      </c>
      <c r="H1212" s="129" t="s">
        <v>2818</v>
      </c>
      <c r="I1212" s="129" t="s">
        <v>26</v>
      </c>
      <c r="J1212" s="129"/>
      <c r="K1212" s="129"/>
      <c r="L1212" s="129" t="s">
        <v>2812</v>
      </c>
      <c r="M1212" s="129" t="s">
        <v>2819</v>
      </c>
      <c r="N1212" s="129"/>
      <c r="O1212" s="129" t="s">
        <v>2820</v>
      </c>
      <c r="Q1212" s="129" t="b">
        <v>0</v>
      </c>
    </row>
    <row r="1213" spans="1:17" s="5" customFormat="1" ht="15" hidden="1" customHeight="1">
      <c r="A1213" s="129">
        <v>6103</v>
      </c>
      <c r="B1213" s="129">
        <v>2004</v>
      </c>
      <c r="C1213" s="129">
        <v>0</v>
      </c>
      <c r="D1213" s="129">
        <v>209</v>
      </c>
      <c r="E1213" s="129" t="b">
        <v>1</v>
      </c>
      <c r="F1213" s="129" t="b">
        <v>0</v>
      </c>
      <c r="G1213" s="129" t="s">
        <v>2810</v>
      </c>
      <c r="H1213" s="129" t="s">
        <v>2818</v>
      </c>
      <c r="I1213" s="129" t="s">
        <v>29</v>
      </c>
      <c r="J1213" s="129"/>
      <c r="K1213" s="129"/>
      <c r="L1213" s="129" t="s">
        <v>2812</v>
      </c>
      <c r="M1213" s="129" t="s">
        <v>30</v>
      </c>
      <c r="N1213" s="129"/>
      <c r="O1213" s="129" t="s">
        <v>2821</v>
      </c>
      <c r="Q1213" s="129" t="b">
        <v>0</v>
      </c>
    </row>
    <row r="1214" spans="1:17" s="5" customFormat="1" ht="15" hidden="1" customHeight="1">
      <c r="A1214" s="129">
        <v>6104</v>
      </c>
      <c r="B1214" s="129">
        <v>2005</v>
      </c>
      <c r="C1214" s="129">
        <v>0</v>
      </c>
      <c r="D1214" s="129">
        <v>210</v>
      </c>
      <c r="E1214" s="129" t="b">
        <v>1</v>
      </c>
      <c r="F1214" s="129" t="b">
        <v>0</v>
      </c>
      <c r="G1214" s="129" t="s">
        <v>2810</v>
      </c>
      <c r="H1214" s="129" t="s">
        <v>2818</v>
      </c>
      <c r="I1214" s="129" t="s">
        <v>32</v>
      </c>
      <c r="J1214" s="129"/>
      <c r="K1214" s="129"/>
      <c r="L1214" s="129" t="s">
        <v>2812</v>
      </c>
      <c r="M1214" s="129" t="s">
        <v>33</v>
      </c>
      <c r="N1214" s="129"/>
      <c r="O1214" s="129" t="s">
        <v>2822</v>
      </c>
      <c r="Q1214" s="129" t="b">
        <v>0</v>
      </c>
    </row>
    <row r="1215" spans="1:17" s="5" customFormat="1" ht="15" hidden="1" customHeight="1">
      <c r="A1215" s="129">
        <v>6111</v>
      </c>
      <c r="B1215" s="129">
        <v>2006</v>
      </c>
      <c r="C1215" s="129">
        <v>0</v>
      </c>
      <c r="D1215" s="129">
        <v>164</v>
      </c>
      <c r="E1215" s="129" t="b">
        <v>1</v>
      </c>
      <c r="F1215" s="129" t="b">
        <v>0</v>
      </c>
      <c r="G1215" s="129" t="s">
        <v>2810</v>
      </c>
      <c r="H1215" s="129" t="s">
        <v>2823</v>
      </c>
      <c r="I1215" s="129" t="s">
        <v>36</v>
      </c>
      <c r="J1215" s="129"/>
      <c r="K1215" s="129"/>
      <c r="L1215" s="129" t="s">
        <v>2812</v>
      </c>
      <c r="M1215" s="129" t="s">
        <v>2824</v>
      </c>
      <c r="N1215" s="129"/>
      <c r="O1215" s="129" t="s">
        <v>2825</v>
      </c>
      <c r="Q1215" s="129" t="b">
        <v>0</v>
      </c>
    </row>
    <row r="1216" spans="1:17" s="5" customFormat="1" ht="15" hidden="1" customHeight="1">
      <c r="A1216" s="129">
        <v>6112</v>
      </c>
      <c r="B1216" s="129">
        <v>2007</v>
      </c>
      <c r="C1216" s="129">
        <v>0</v>
      </c>
      <c r="D1216" s="129">
        <v>211</v>
      </c>
      <c r="E1216" s="129" t="b">
        <v>1</v>
      </c>
      <c r="F1216" s="129" t="b">
        <v>0</v>
      </c>
      <c r="G1216" s="129" t="s">
        <v>2810</v>
      </c>
      <c r="H1216" s="129" t="s">
        <v>2823</v>
      </c>
      <c r="I1216" s="129" t="s">
        <v>2826</v>
      </c>
      <c r="J1216" s="129"/>
      <c r="K1216" s="129"/>
      <c r="L1216" s="129" t="s">
        <v>2812</v>
      </c>
      <c r="M1216" s="129" t="s">
        <v>2827</v>
      </c>
      <c r="N1216" s="129"/>
      <c r="O1216" s="129" t="s">
        <v>2828</v>
      </c>
      <c r="Q1216" s="129" t="b">
        <v>0</v>
      </c>
    </row>
    <row r="1217" spans="1:17" s="5" customFormat="1" ht="15" hidden="1" customHeight="1">
      <c r="A1217" s="129">
        <v>6113</v>
      </c>
      <c r="B1217" s="129">
        <v>2008</v>
      </c>
      <c r="C1217" s="129">
        <v>0</v>
      </c>
      <c r="D1217" s="129">
        <v>212</v>
      </c>
      <c r="E1217" s="129" t="b">
        <v>1</v>
      </c>
      <c r="F1217" s="129" t="b">
        <v>0</v>
      </c>
      <c r="G1217" s="129" t="s">
        <v>2810</v>
      </c>
      <c r="H1217" s="129" t="s">
        <v>2823</v>
      </c>
      <c r="I1217" s="129" t="s">
        <v>2829</v>
      </c>
      <c r="J1217" s="129"/>
      <c r="K1217" s="129"/>
      <c r="L1217" s="129" t="s">
        <v>2812</v>
      </c>
      <c r="M1217" s="129" t="s">
        <v>2830</v>
      </c>
      <c r="N1217" s="129"/>
      <c r="O1217" s="129" t="s">
        <v>2831</v>
      </c>
      <c r="Q1217" s="129" t="b">
        <v>0</v>
      </c>
    </row>
    <row r="1218" spans="1:17" s="5" customFormat="1" ht="15" hidden="1" customHeight="1">
      <c r="A1218" s="129">
        <v>6114</v>
      </c>
      <c r="B1218" s="129">
        <v>2009</v>
      </c>
      <c r="C1218" s="129">
        <v>0</v>
      </c>
      <c r="D1218" s="129">
        <v>236</v>
      </c>
      <c r="E1218" s="129" t="b">
        <v>1</v>
      </c>
      <c r="F1218" s="129" t="b">
        <v>0</v>
      </c>
      <c r="G1218" s="129" t="s">
        <v>2810</v>
      </c>
      <c r="H1218" s="129" t="s">
        <v>2823</v>
      </c>
      <c r="I1218" s="129" t="s">
        <v>2832</v>
      </c>
      <c r="J1218" s="129"/>
      <c r="K1218" s="129"/>
      <c r="L1218" s="129" t="s">
        <v>2812</v>
      </c>
      <c r="M1218" s="129" t="s">
        <v>2833</v>
      </c>
      <c r="N1218" s="129"/>
      <c r="O1218" s="129" t="s">
        <v>2834</v>
      </c>
      <c r="Q1218" s="129" t="b">
        <v>0</v>
      </c>
    </row>
    <row r="1219" spans="1:17" s="5" customFormat="1" ht="15" hidden="1" customHeight="1">
      <c r="A1219" s="129">
        <v>6115</v>
      </c>
      <c r="B1219" s="129">
        <v>2010</v>
      </c>
      <c r="C1219" s="129">
        <v>0</v>
      </c>
      <c r="D1219" s="129">
        <v>237</v>
      </c>
      <c r="E1219" s="129" t="b">
        <v>1</v>
      </c>
      <c r="F1219" s="129" t="b">
        <v>0</v>
      </c>
      <c r="G1219" s="129" t="s">
        <v>2810</v>
      </c>
      <c r="H1219" s="129" t="s">
        <v>2823</v>
      </c>
      <c r="I1219" s="129" t="s">
        <v>2835</v>
      </c>
      <c r="J1219" s="129"/>
      <c r="K1219" s="129"/>
      <c r="L1219" s="129" t="s">
        <v>2812</v>
      </c>
      <c r="M1219" s="129" t="s">
        <v>2836</v>
      </c>
      <c r="N1219" s="129"/>
      <c r="O1219" s="129" t="s">
        <v>2837</v>
      </c>
      <c r="Q1219" s="129" t="b">
        <v>0</v>
      </c>
    </row>
    <row r="1220" spans="1:17" s="5" customFormat="1" ht="15" hidden="1" customHeight="1">
      <c r="A1220" s="129">
        <v>6116</v>
      </c>
      <c r="B1220" s="129">
        <v>2011</v>
      </c>
      <c r="C1220" s="129">
        <v>0</v>
      </c>
      <c r="D1220" s="129">
        <v>238</v>
      </c>
      <c r="E1220" s="129" t="b">
        <v>1</v>
      </c>
      <c r="F1220" s="129" t="b">
        <v>0</v>
      </c>
      <c r="G1220" s="129" t="s">
        <v>2810</v>
      </c>
      <c r="H1220" s="129" t="s">
        <v>2823</v>
      </c>
      <c r="I1220" s="129" t="s">
        <v>2838</v>
      </c>
      <c r="J1220" s="129"/>
      <c r="K1220" s="129"/>
      <c r="L1220" s="129" t="s">
        <v>2812</v>
      </c>
      <c r="M1220" s="129" t="s">
        <v>2839</v>
      </c>
      <c r="N1220" s="129"/>
      <c r="O1220" s="129" t="s">
        <v>2840</v>
      </c>
      <c r="Q1220" s="129" t="b">
        <v>0</v>
      </c>
    </row>
    <row r="1221" spans="1:17" s="5" customFormat="1" ht="15" hidden="1" customHeight="1">
      <c r="A1221" s="129">
        <v>6117</v>
      </c>
      <c r="B1221" s="129">
        <v>2012</v>
      </c>
      <c r="C1221" s="129">
        <v>0</v>
      </c>
      <c r="D1221" s="129">
        <v>213</v>
      </c>
      <c r="E1221" s="129" t="b">
        <v>1</v>
      </c>
      <c r="F1221" s="129" t="b">
        <v>0</v>
      </c>
      <c r="G1221" s="129" t="s">
        <v>2810</v>
      </c>
      <c r="H1221" s="129" t="s">
        <v>2823</v>
      </c>
      <c r="I1221" s="129" t="s">
        <v>2841</v>
      </c>
      <c r="J1221" s="129"/>
      <c r="K1221" s="129"/>
      <c r="L1221" s="129" t="s">
        <v>2812</v>
      </c>
      <c r="M1221" s="129" t="s">
        <v>2842</v>
      </c>
      <c r="N1221" s="129"/>
      <c r="O1221" s="129" t="s">
        <v>2843</v>
      </c>
      <c r="Q1221" s="129" t="b">
        <v>0</v>
      </c>
    </row>
    <row r="1222" spans="1:17" s="5" customFormat="1" ht="15" hidden="1" customHeight="1">
      <c r="A1222" s="129">
        <v>6201</v>
      </c>
      <c r="B1222" s="129">
        <v>2013</v>
      </c>
      <c r="C1222" s="129">
        <v>0</v>
      </c>
      <c r="D1222" s="129">
        <v>164</v>
      </c>
      <c r="E1222" s="129" t="b">
        <v>1</v>
      </c>
      <c r="F1222" s="129" t="b">
        <v>0</v>
      </c>
      <c r="G1222" s="129" t="s">
        <v>2810</v>
      </c>
      <c r="H1222" s="129" t="s">
        <v>2844</v>
      </c>
      <c r="I1222" s="129" t="s">
        <v>2845</v>
      </c>
      <c r="J1222" s="129">
        <v>32</v>
      </c>
      <c r="K1222" s="129"/>
      <c r="L1222" s="129" t="s">
        <v>2812</v>
      </c>
      <c r="M1222" s="129" t="s">
        <v>2846</v>
      </c>
      <c r="N1222" s="129"/>
      <c r="O1222" s="129" t="s">
        <v>2847</v>
      </c>
      <c r="Q1222" s="129" t="b">
        <v>0</v>
      </c>
    </row>
    <row r="1223" spans="1:17" s="5" customFormat="1" ht="15" hidden="1" customHeight="1">
      <c r="A1223" s="129">
        <v>6202</v>
      </c>
      <c r="B1223" s="129">
        <v>2014</v>
      </c>
      <c r="C1223" s="129">
        <v>0</v>
      </c>
      <c r="D1223" s="129">
        <v>164</v>
      </c>
      <c r="E1223" s="129" t="b">
        <v>1</v>
      </c>
      <c r="F1223" s="129" t="b">
        <v>0</v>
      </c>
      <c r="G1223" s="129" t="s">
        <v>2810</v>
      </c>
      <c r="H1223" s="129" t="s">
        <v>2848</v>
      </c>
      <c r="I1223" s="129" t="s">
        <v>49</v>
      </c>
      <c r="J1223" s="129"/>
      <c r="K1223" s="129"/>
      <c r="L1223" s="129" t="s">
        <v>2812</v>
      </c>
      <c r="M1223" s="129" t="s">
        <v>2849</v>
      </c>
      <c r="N1223" s="129"/>
      <c r="O1223" s="129" t="s">
        <v>2850</v>
      </c>
      <c r="Q1223" s="129" t="b">
        <v>0</v>
      </c>
    </row>
    <row r="1224" spans="1:17" s="5" customFormat="1" ht="15" hidden="1" customHeight="1">
      <c r="A1224" s="129">
        <v>6203</v>
      </c>
      <c r="B1224" s="129">
        <v>2015</v>
      </c>
      <c r="C1224" s="129">
        <v>0</v>
      </c>
      <c r="D1224" s="129">
        <v>214</v>
      </c>
      <c r="E1224" s="129" t="b">
        <v>1</v>
      </c>
      <c r="F1224" s="129" t="b">
        <v>0</v>
      </c>
      <c r="G1224" s="129" t="s">
        <v>2810</v>
      </c>
      <c r="H1224" s="129" t="s">
        <v>2848</v>
      </c>
      <c r="I1224" s="129" t="s">
        <v>2851</v>
      </c>
      <c r="J1224" s="129"/>
      <c r="K1224" s="129"/>
      <c r="L1224" s="129" t="s">
        <v>2812</v>
      </c>
      <c r="M1224" s="129" t="s">
        <v>2852</v>
      </c>
      <c r="N1224" s="129"/>
      <c r="O1224" s="129" t="s">
        <v>2853</v>
      </c>
      <c r="Q1224" s="129" t="b">
        <v>0</v>
      </c>
    </row>
    <row r="1225" spans="1:17" s="5" customFormat="1" ht="15" hidden="1" customHeight="1">
      <c r="A1225" s="129">
        <v>6204</v>
      </c>
      <c r="B1225" s="129">
        <v>2016</v>
      </c>
      <c r="C1225" s="129">
        <v>0</v>
      </c>
      <c r="D1225" s="129">
        <v>215</v>
      </c>
      <c r="E1225" s="129" t="b">
        <v>1</v>
      </c>
      <c r="F1225" s="129" t="b">
        <v>0</v>
      </c>
      <c r="G1225" s="129" t="s">
        <v>2810</v>
      </c>
      <c r="H1225" s="129" t="s">
        <v>2848</v>
      </c>
      <c r="I1225" s="129" t="s">
        <v>2854</v>
      </c>
      <c r="J1225" s="129"/>
      <c r="K1225" s="129"/>
      <c r="L1225" s="129" t="s">
        <v>2812</v>
      </c>
      <c r="M1225" s="129" t="s">
        <v>2855</v>
      </c>
      <c r="N1225" s="129"/>
      <c r="O1225" s="129" t="s">
        <v>2856</v>
      </c>
      <c r="Q1225" s="129" t="b">
        <v>0</v>
      </c>
    </row>
    <row r="1226" spans="1:17" s="5" customFormat="1" ht="15" hidden="1" customHeight="1">
      <c r="A1226" s="129">
        <v>6205</v>
      </c>
      <c r="B1226" s="129">
        <v>2017</v>
      </c>
      <c r="C1226" s="129">
        <v>0</v>
      </c>
      <c r="D1226" s="129">
        <v>216</v>
      </c>
      <c r="E1226" s="129" t="b">
        <v>1</v>
      </c>
      <c r="F1226" s="129" t="b">
        <v>0</v>
      </c>
      <c r="G1226" s="129" t="s">
        <v>2810</v>
      </c>
      <c r="H1226" s="129" t="s">
        <v>2848</v>
      </c>
      <c r="I1226" s="129" t="s">
        <v>2857</v>
      </c>
      <c r="J1226" s="129"/>
      <c r="K1226" s="129"/>
      <c r="L1226" s="129" t="s">
        <v>2812</v>
      </c>
      <c r="M1226" s="129" t="s">
        <v>2858</v>
      </c>
      <c r="N1226" s="129"/>
      <c r="O1226" s="129" t="s">
        <v>2859</v>
      </c>
      <c r="Q1226" s="129" t="b">
        <v>0</v>
      </c>
    </row>
    <row r="1227" spans="1:17" s="5" customFormat="1" ht="15" hidden="1" customHeight="1">
      <c r="A1227" s="129">
        <v>6211</v>
      </c>
      <c r="B1227" s="129">
        <v>2018</v>
      </c>
      <c r="C1227" s="129">
        <v>0</v>
      </c>
      <c r="D1227" s="129">
        <v>164</v>
      </c>
      <c r="E1227" s="129" t="b">
        <v>1</v>
      </c>
      <c r="F1227" s="129" t="b">
        <v>0</v>
      </c>
      <c r="G1227" s="129" t="s">
        <v>2810</v>
      </c>
      <c r="H1227" s="129" t="s">
        <v>2860</v>
      </c>
      <c r="I1227" s="129" t="s">
        <v>85</v>
      </c>
      <c r="J1227" s="129"/>
      <c r="K1227" s="129"/>
      <c r="L1227" s="129" t="s">
        <v>2812</v>
      </c>
      <c r="M1227" s="129" t="s">
        <v>2861</v>
      </c>
      <c r="N1227" s="129"/>
      <c r="O1227" s="129" t="s">
        <v>2862</v>
      </c>
      <c r="Q1227" s="129" t="b">
        <v>0</v>
      </c>
    </row>
    <row r="1228" spans="1:17" s="5" customFormat="1" ht="15" hidden="1" customHeight="1">
      <c r="A1228" s="129">
        <v>6212</v>
      </c>
      <c r="B1228" s="129">
        <v>2019</v>
      </c>
      <c r="C1228" s="129">
        <v>0</v>
      </c>
      <c r="D1228" s="129">
        <v>217</v>
      </c>
      <c r="E1228" s="129" t="b">
        <v>1</v>
      </c>
      <c r="F1228" s="129" t="b">
        <v>0</v>
      </c>
      <c r="G1228" s="129" t="s">
        <v>2810</v>
      </c>
      <c r="H1228" s="129" t="s">
        <v>2860</v>
      </c>
      <c r="I1228" s="129" t="s">
        <v>91</v>
      </c>
      <c r="J1228" s="129"/>
      <c r="K1228" s="129"/>
      <c r="L1228" s="129" t="s">
        <v>2812</v>
      </c>
      <c r="M1228" s="129" t="s">
        <v>2863</v>
      </c>
      <c r="N1228" s="129"/>
      <c r="O1228" s="129" t="s">
        <v>2864</v>
      </c>
      <c r="Q1228" s="129" t="b">
        <v>0</v>
      </c>
    </row>
    <row r="1229" spans="1:17" s="5" customFormat="1" ht="15" hidden="1" customHeight="1">
      <c r="A1229" s="129">
        <v>6213</v>
      </c>
      <c r="B1229" s="129">
        <v>2020</v>
      </c>
      <c r="C1229" s="129">
        <v>0</v>
      </c>
      <c r="D1229" s="129">
        <v>218</v>
      </c>
      <c r="E1229" s="129" t="b">
        <v>1</v>
      </c>
      <c r="F1229" s="129" t="b">
        <v>0</v>
      </c>
      <c r="G1229" s="129" t="s">
        <v>2810</v>
      </c>
      <c r="H1229" s="129" t="s">
        <v>2860</v>
      </c>
      <c r="I1229" s="129" t="s">
        <v>88</v>
      </c>
      <c r="J1229" s="129"/>
      <c r="K1229" s="129"/>
      <c r="L1229" s="129" t="s">
        <v>2812</v>
      </c>
      <c r="M1229" s="129" t="s">
        <v>2865</v>
      </c>
      <c r="N1229" s="129"/>
      <c r="O1229" s="129" t="s">
        <v>2866</v>
      </c>
      <c r="Q1229" s="129" t="b">
        <v>0</v>
      </c>
    </row>
    <row r="1230" spans="1:17" s="5" customFormat="1" ht="15" hidden="1" customHeight="1">
      <c r="A1230" s="129">
        <v>6221</v>
      </c>
      <c r="B1230" s="129">
        <v>2021</v>
      </c>
      <c r="C1230" s="129">
        <v>0</v>
      </c>
      <c r="D1230" s="129">
        <v>176</v>
      </c>
      <c r="E1230" s="129" t="b">
        <v>1</v>
      </c>
      <c r="F1230" s="129" t="b">
        <v>0</v>
      </c>
      <c r="G1230" s="129" t="s">
        <v>2810</v>
      </c>
      <c r="H1230" s="129" t="s">
        <v>2867</v>
      </c>
      <c r="I1230" s="129" t="s">
        <v>68</v>
      </c>
      <c r="J1230" s="129"/>
      <c r="K1230" s="129"/>
      <c r="L1230" s="129" t="s">
        <v>2812</v>
      </c>
      <c r="M1230" s="129" t="s">
        <v>2868</v>
      </c>
      <c r="N1230" s="129"/>
      <c r="O1230" s="129" t="s">
        <v>2869</v>
      </c>
      <c r="Q1230" s="129" t="b">
        <v>0</v>
      </c>
    </row>
    <row r="1231" spans="1:17" s="5" customFormat="1" ht="15" hidden="1" customHeight="1">
      <c r="A1231" s="129">
        <v>6222</v>
      </c>
      <c r="B1231" s="129">
        <v>2022</v>
      </c>
      <c r="C1231" s="129">
        <v>0</v>
      </c>
      <c r="D1231" s="129">
        <v>219</v>
      </c>
      <c r="E1231" s="129" t="b">
        <v>1</v>
      </c>
      <c r="F1231" s="129" t="b">
        <v>0</v>
      </c>
      <c r="G1231" s="129" t="s">
        <v>2810</v>
      </c>
      <c r="H1231" s="129" t="s">
        <v>2867</v>
      </c>
      <c r="I1231" s="129" t="s">
        <v>2870</v>
      </c>
      <c r="J1231" s="129"/>
      <c r="K1231" s="129"/>
      <c r="L1231" s="129" t="s">
        <v>2812</v>
      </c>
      <c r="M1231" s="129" t="s">
        <v>75</v>
      </c>
      <c r="N1231" s="129"/>
      <c r="O1231" s="129" t="s">
        <v>2871</v>
      </c>
      <c r="Q1231" s="129" t="b">
        <v>0</v>
      </c>
    </row>
    <row r="1232" spans="1:17" s="5" customFormat="1" ht="15" hidden="1" customHeight="1">
      <c r="A1232" s="129">
        <v>6231</v>
      </c>
      <c r="B1232" s="129">
        <v>2023</v>
      </c>
      <c r="C1232" s="129">
        <v>0</v>
      </c>
      <c r="D1232" s="129">
        <v>164</v>
      </c>
      <c r="E1232" s="129" t="b">
        <v>1</v>
      </c>
      <c r="F1232" s="129" t="b">
        <v>0</v>
      </c>
      <c r="G1232" s="129" t="s">
        <v>2810</v>
      </c>
      <c r="H1232" s="129" t="s">
        <v>2872</v>
      </c>
      <c r="I1232" s="129" t="s">
        <v>2873</v>
      </c>
      <c r="J1232" s="129"/>
      <c r="K1232" s="129"/>
      <c r="L1232" s="129" t="s">
        <v>2812</v>
      </c>
      <c r="M1232" s="129" t="s">
        <v>2874</v>
      </c>
      <c r="N1232" s="129"/>
      <c r="O1232" s="129" t="s">
        <v>2875</v>
      </c>
      <c r="Q1232" s="129" t="b">
        <v>0</v>
      </c>
    </row>
    <row r="1233" spans="1:17" s="5" customFormat="1" ht="15" hidden="1" customHeight="1">
      <c r="A1233" s="129">
        <v>6232</v>
      </c>
      <c r="B1233" s="129">
        <v>2024</v>
      </c>
      <c r="C1233" s="129">
        <v>0</v>
      </c>
      <c r="D1233" s="129">
        <v>220</v>
      </c>
      <c r="E1233" s="129" t="b">
        <v>1</v>
      </c>
      <c r="F1233" s="129" t="b">
        <v>0</v>
      </c>
      <c r="G1233" s="129" t="s">
        <v>2810</v>
      </c>
      <c r="H1233" s="129" t="s">
        <v>2872</v>
      </c>
      <c r="I1233" s="129" t="s">
        <v>2876</v>
      </c>
      <c r="J1233" s="129"/>
      <c r="K1233" s="129"/>
      <c r="L1233" s="129" t="s">
        <v>2812</v>
      </c>
      <c r="M1233" s="129" t="s">
        <v>2877</v>
      </c>
      <c r="N1233" s="129"/>
      <c r="O1233" s="129" t="s">
        <v>2878</v>
      </c>
      <c r="Q1233" s="129" t="b">
        <v>0</v>
      </c>
    </row>
    <row r="1234" spans="1:17" s="5" customFormat="1" ht="15" hidden="1" customHeight="1">
      <c r="A1234" s="129">
        <v>6233</v>
      </c>
      <c r="B1234" s="129">
        <v>2025</v>
      </c>
      <c r="C1234" s="129">
        <v>0</v>
      </c>
      <c r="D1234" s="129">
        <v>221</v>
      </c>
      <c r="E1234" s="129" t="b">
        <v>1</v>
      </c>
      <c r="F1234" s="129" t="b">
        <v>0</v>
      </c>
      <c r="G1234" s="129" t="s">
        <v>2810</v>
      </c>
      <c r="H1234" s="129" t="s">
        <v>2872</v>
      </c>
      <c r="I1234" s="129" t="s">
        <v>2879</v>
      </c>
      <c r="J1234" s="129"/>
      <c r="K1234" s="129"/>
      <c r="L1234" s="129" t="s">
        <v>2812</v>
      </c>
      <c r="M1234" s="129" t="s">
        <v>2880</v>
      </c>
      <c r="N1234" s="129"/>
      <c r="O1234" s="129" t="s">
        <v>2881</v>
      </c>
      <c r="Q1234" s="129" t="b">
        <v>0</v>
      </c>
    </row>
    <row r="1235" spans="1:17" s="5" customFormat="1" ht="15" hidden="1" customHeight="1">
      <c r="A1235" s="129">
        <v>6241</v>
      </c>
      <c r="B1235" s="129">
        <v>2026</v>
      </c>
      <c r="C1235" s="129">
        <v>0</v>
      </c>
      <c r="D1235" s="129">
        <v>164</v>
      </c>
      <c r="E1235" s="129" t="b">
        <v>1</v>
      </c>
      <c r="F1235" s="129" t="b">
        <v>0</v>
      </c>
      <c r="G1235" s="129" t="s">
        <v>2810</v>
      </c>
      <c r="H1235" s="129" t="s">
        <v>2882</v>
      </c>
      <c r="I1235" s="129" t="s">
        <v>78</v>
      </c>
      <c r="J1235" s="129"/>
      <c r="K1235" s="129"/>
      <c r="L1235" s="129" t="s">
        <v>2812</v>
      </c>
      <c r="M1235" s="129" t="s">
        <v>2883</v>
      </c>
      <c r="N1235" s="129"/>
      <c r="O1235" s="129" t="s">
        <v>2884</v>
      </c>
      <c r="Q1235" s="129" t="b">
        <v>0</v>
      </c>
    </row>
    <row r="1236" spans="1:17" s="5" customFormat="1" ht="15" hidden="1" customHeight="1">
      <c r="A1236" s="129">
        <v>6242</v>
      </c>
      <c r="B1236" s="129">
        <v>2027</v>
      </c>
      <c r="C1236" s="129">
        <v>0</v>
      </c>
      <c r="D1236" s="129">
        <v>222</v>
      </c>
      <c r="E1236" s="129" t="b">
        <v>1</v>
      </c>
      <c r="F1236" s="129" t="b">
        <v>0</v>
      </c>
      <c r="G1236" s="129" t="s">
        <v>2810</v>
      </c>
      <c r="H1236" s="129" t="s">
        <v>2882</v>
      </c>
      <c r="I1236" s="129" t="s">
        <v>2885</v>
      </c>
      <c r="J1236" s="129"/>
      <c r="K1236" s="129"/>
      <c r="L1236" s="129" t="s">
        <v>2812</v>
      </c>
      <c r="M1236" s="129" t="s">
        <v>2886</v>
      </c>
      <c r="N1236" s="129"/>
      <c r="O1236" s="129" t="s">
        <v>2887</v>
      </c>
      <c r="Q1236" s="129" t="b">
        <v>0</v>
      </c>
    </row>
    <row r="1237" spans="1:17" s="203" customFormat="1" ht="15" hidden="1" customHeight="1">
      <c r="A1237" s="91">
        <v>6243</v>
      </c>
      <c r="B1237" s="91">
        <v>2028</v>
      </c>
      <c r="C1237" s="91">
        <v>0</v>
      </c>
      <c r="D1237" s="203">
        <v>310</v>
      </c>
      <c r="E1237" s="91" t="b">
        <v>1</v>
      </c>
      <c r="F1237" s="91" t="b">
        <v>0</v>
      </c>
      <c r="G1237" s="91" t="s">
        <v>2810</v>
      </c>
      <c r="H1237" s="91" t="s">
        <v>2882</v>
      </c>
      <c r="I1237" s="138" t="s">
        <v>2888</v>
      </c>
      <c r="J1237" s="91"/>
      <c r="K1237" s="91"/>
      <c r="L1237" s="91" t="s">
        <v>2812</v>
      </c>
      <c r="M1237" s="91" t="s">
        <v>2889</v>
      </c>
      <c r="N1237" s="91"/>
      <c r="O1237" s="91" t="s">
        <v>2890</v>
      </c>
      <c r="Q1237" s="91" t="b">
        <v>0</v>
      </c>
    </row>
    <row r="1238" spans="1:17" s="5" customFormat="1" ht="15" hidden="1" customHeight="1">
      <c r="A1238" s="129">
        <v>6244</v>
      </c>
      <c r="B1238" s="129">
        <v>2029</v>
      </c>
      <c r="C1238" s="129">
        <v>0</v>
      </c>
      <c r="D1238" s="129">
        <v>223</v>
      </c>
      <c r="E1238" s="129" t="b">
        <v>1</v>
      </c>
      <c r="F1238" s="129" t="b">
        <v>0</v>
      </c>
      <c r="G1238" s="129" t="s">
        <v>2810</v>
      </c>
      <c r="H1238" s="129" t="s">
        <v>2882</v>
      </c>
      <c r="I1238" s="129" t="s">
        <v>2891</v>
      </c>
      <c r="J1238" s="129"/>
      <c r="K1238" s="129"/>
      <c r="L1238" s="129" t="s">
        <v>2812</v>
      </c>
      <c r="M1238" s="129" t="s">
        <v>2892</v>
      </c>
      <c r="N1238" s="129"/>
      <c r="O1238" s="129" t="s">
        <v>2893</v>
      </c>
      <c r="Q1238" s="129" t="b">
        <v>0</v>
      </c>
    </row>
    <row r="1239" spans="1:17" s="5" customFormat="1" ht="15" hidden="1" customHeight="1">
      <c r="A1239" s="129">
        <v>6301</v>
      </c>
      <c r="B1239" s="129">
        <v>2030</v>
      </c>
      <c r="C1239" s="129">
        <v>0</v>
      </c>
      <c r="D1239" s="129">
        <v>164</v>
      </c>
      <c r="E1239" s="129" t="b">
        <v>1</v>
      </c>
      <c r="F1239" s="129" t="b">
        <v>0</v>
      </c>
      <c r="G1239" s="129" t="s">
        <v>2810</v>
      </c>
      <c r="H1239" s="129" t="s">
        <v>2894</v>
      </c>
      <c r="I1239" s="129" t="s">
        <v>2895</v>
      </c>
      <c r="J1239" s="129">
        <v>33</v>
      </c>
      <c r="K1239" s="129"/>
      <c r="L1239" s="129" t="s">
        <v>2812</v>
      </c>
      <c r="M1239" s="129" t="s">
        <v>2896</v>
      </c>
      <c r="N1239" s="129"/>
      <c r="O1239" s="129" t="s">
        <v>2897</v>
      </c>
      <c r="Q1239" s="129" t="b">
        <v>0</v>
      </c>
    </row>
    <row r="1240" spans="1:17" s="5" customFormat="1" ht="15" hidden="1" customHeight="1">
      <c r="A1240" s="129">
        <v>6302</v>
      </c>
      <c r="B1240" s="129">
        <v>2031</v>
      </c>
      <c r="C1240" s="129">
        <v>0</v>
      </c>
      <c r="D1240" s="129">
        <v>164</v>
      </c>
      <c r="E1240" s="129" t="b">
        <v>1</v>
      </c>
      <c r="F1240" s="129" t="b">
        <v>0</v>
      </c>
      <c r="G1240" s="129" t="s">
        <v>2810</v>
      </c>
      <c r="H1240" s="129" t="s">
        <v>2898</v>
      </c>
      <c r="I1240" s="129" t="s">
        <v>49</v>
      </c>
      <c r="J1240" s="129"/>
      <c r="K1240" s="129"/>
      <c r="L1240" s="129" t="s">
        <v>2812</v>
      </c>
      <c r="M1240" s="129" t="s">
        <v>2849</v>
      </c>
      <c r="N1240" s="129"/>
      <c r="O1240" s="129" t="s">
        <v>2850</v>
      </c>
      <c r="Q1240" s="129" t="b">
        <v>0</v>
      </c>
    </row>
    <row r="1241" spans="1:17" s="5" customFormat="1" ht="15" hidden="1" customHeight="1">
      <c r="A1241" s="129">
        <v>6303</v>
      </c>
      <c r="B1241" s="129">
        <v>2032</v>
      </c>
      <c r="C1241" s="129">
        <v>0</v>
      </c>
      <c r="D1241" s="129">
        <v>214</v>
      </c>
      <c r="E1241" s="129" t="b">
        <v>1</v>
      </c>
      <c r="F1241" s="129" t="b">
        <v>0</v>
      </c>
      <c r="G1241" s="129" t="s">
        <v>2810</v>
      </c>
      <c r="H1241" s="129" t="s">
        <v>2898</v>
      </c>
      <c r="I1241" s="129" t="s">
        <v>2851</v>
      </c>
      <c r="J1241" s="129"/>
      <c r="K1241" s="129"/>
      <c r="L1241" s="129" t="s">
        <v>2812</v>
      </c>
      <c r="M1241" s="129" t="s">
        <v>2852</v>
      </c>
      <c r="N1241" s="129"/>
      <c r="O1241" s="129" t="s">
        <v>2853</v>
      </c>
      <c r="Q1241" s="129" t="b">
        <v>0</v>
      </c>
    </row>
    <row r="1242" spans="1:17" s="5" customFormat="1" ht="15" hidden="1" customHeight="1">
      <c r="A1242" s="129">
        <v>6304</v>
      </c>
      <c r="B1242" s="129">
        <v>2033</v>
      </c>
      <c r="C1242" s="129">
        <v>0</v>
      </c>
      <c r="D1242" s="129">
        <v>215</v>
      </c>
      <c r="E1242" s="129" t="b">
        <v>1</v>
      </c>
      <c r="F1242" s="129" t="b">
        <v>0</v>
      </c>
      <c r="G1242" s="129" t="s">
        <v>2810</v>
      </c>
      <c r="H1242" s="129" t="s">
        <v>2898</v>
      </c>
      <c r="I1242" s="129" t="s">
        <v>2854</v>
      </c>
      <c r="J1242" s="129"/>
      <c r="K1242" s="129"/>
      <c r="L1242" s="129" t="s">
        <v>2812</v>
      </c>
      <c r="M1242" s="129" t="s">
        <v>2855</v>
      </c>
      <c r="N1242" s="129"/>
      <c r="O1242" s="129" t="s">
        <v>2856</v>
      </c>
      <c r="Q1242" s="129" t="b">
        <v>0</v>
      </c>
    </row>
    <row r="1243" spans="1:17" s="5" customFormat="1" ht="15" hidden="1" customHeight="1">
      <c r="A1243" s="129">
        <v>6305</v>
      </c>
      <c r="B1243" s="129">
        <v>2034</v>
      </c>
      <c r="C1243" s="129">
        <v>0</v>
      </c>
      <c r="D1243" s="129">
        <v>216</v>
      </c>
      <c r="E1243" s="129" t="b">
        <v>1</v>
      </c>
      <c r="F1243" s="129" t="b">
        <v>0</v>
      </c>
      <c r="G1243" s="129" t="s">
        <v>2810</v>
      </c>
      <c r="H1243" s="129" t="s">
        <v>2898</v>
      </c>
      <c r="I1243" s="129" t="s">
        <v>2857</v>
      </c>
      <c r="J1243" s="129"/>
      <c r="K1243" s="129"/>
      <c r="L1243" s="129" t="s">
        <v>2812</v>
      </c>
      <c r="M1243" s="129" t="s">
        <v>2858</v>
      </c>
      <c r="N1243" s="129"/>
      <c r="O1243" s="129" t="s">
        <v>2859</v>
      </c>
      <c r="Q1243" s="129" t="b">
        <v>0</v>
      </c>
    </row>
    <row r="1244" spans="1:17" s="5" customFormat="1" ht="15" hidden="1" customHeight="1">
      <c r="A1244" s="129">
        <v>6311</v>
      </c>
      <c r="B1244" s="129">
        <v>2035</v>
      </c>
      <c r="C1244" s="129">
        <v>0</v>
      </c>
      <c r="D1244" s="129">
        <v>176</v>
      </c>
      <c r="E1244" s="129" t="b">
        <v>1</v>
      </c>
      <c r="F1244" s="129" t="b">
        <v>0</v>
      </c>
      <c r="G1244" s="129" t="s">
        <v>2810</v>
      </c>
      <c r="H1244" s="129" t="s">
        <v>2899</v>
      </c>
      <c r="I1244" s="129" t="s">
        <v>68</v>
      </c>
      <c r="J1244" s="129"/>
      <c r="K1244" s="129"/>
      <c r="L1244" s="129" t="s">
        <v>2812</v>
      </c>
      <c r="M1244" s="129" t="s">
        <v>2868</v>
      </c>
      <c r="N1244" s="129"/>
      <c r="O1244" s="129" t="s">
        <v>2869</v>
      </c>
      <c r="Q1244" s="129" t="b">
        <v>0</v>
      </c>
    </row>
    <row r="1245" spans="1:17" s="5" customFormat="1" ht="15" hidden="1" customHeight="1">
      <c r="A1245" s="129">
        <v>6312</v>
      </c>
      <c r="B1245" s="129">
        <v>2036</v>
      </c>
      <c r="C1245" s="129">
        <v>0</v>
      </c>
      <c r="D1245" s="129">
        <v>219</v>
      </c>
      <c r="E1245" s="129" t="b">
        <v>1</v>
      </c>
      <c r="F1245" s="129" t="b">
        <v>0</v>
      </c>
      <c r="G1245" s="129" t="s">
        <v>2810</v>
      </c>
      <c r="H1245" s="129" t="s">
        <v>2899</v>
      </c>
      <c r="I1245" s="129" t="s">
        <v>2870</v>
      </c>
      <c r="J1245" s="129"/>
      <c r="K1245" s="129"/>
      <c r="L1245" s="129" t="s">
        <v>2812</v>
      </c>
      <c r="M1245" s="129" t="s">
        <v>75</v>
      </c>
      <c r="N1245" s="129"/>
      <c r="O1245" s="129" t="s">
        <v>2871</v>
      </c>
      <c r="Q1245" s="129" t="b">
        <v>0</v>
      </c>
    </row>
    <row r="1246" spans="1:17" s="5" customFormat="1" ht="15" hidden="1" customHeight="1">
      <c r="A1246" s="129">
        <v>6321</v>
      </c>
      <c r="B1246" s="129">
        <v>2037</v>
      </c>
      <c r="C1246" s="129">
        <v>0</v>
      </c>
      <c r="D1246" s="129">
        <v>164</v>
      </c>
      <c r="E1246" s="129" t="b">
        <v>1</v>
      </c>
      <c r="F1246" s="129" t="b">
        <v>0</v>
      </c>
      <c r="G1246" s="129" t="s">
        <v>2810</v>
      </c>
      <c r="H1246" s="129" t="s">
        <v>2900</v>
      </c>
      <c r="I1246" s="129" t="s">
        <v>2873</v>
      </c>
      <c r="J1246" s="129"/>
      <c r="K1246" s="129"/>
      <c r="L1246" s="129" t="s">
        <v>2812</v>
      </c>
      <c r="M1246" s="129" t="s">
        <v>2874</v>
      </c>
      <c r="N1246" s="129"/>
      <c r="O1246" s="129" t="s">
        <v>2875</v>
      </c>
      <c r="Q1246" s="129" t="b">
        <v>0</v>
      </c>
    </row>
    <row r="1247" spans="1:17" s="5" customFormat="1" ht="15" hidden="1" customHeight="1">
      <c r="A1247" s="129">
        <v>6322</v>
      </c>
      <c r="B1247" s="129">
        <v>2038</v>
      </c>
      <c r="C1247" s="129">
        <v>0</v>
      </c>
      <c r="D1247" s="129">
        <v>220</v>
      </c>
      <c r="E1247" s="129" t="b">
        <v>1</v>
      </c>
      <c r="F1247" s="129" t="b">
        <v>0</v>
      </c>
      <c r="G1247" s="129" t="s">
        <v>2810</v>
      </c>
      <c r="H1247" s="129" t="s">
        <v>2900</v>
      </c>
      <c r="I1247" s="129" t="s">
        <v>2876</v>
      </c>
      <c r="J1247" s="129"/>
      <c r="K1247" s="129"/>
      <c r="L1247" s="129" t="s">
        <v>2812</v>
      </c>
      <c r="M1247" s="129" t="s">
        <v>2877</v>
      </c>
      <c r="N1247" s="129"/>
      <c r="O1247" s="129" t="s">
        <v>2878</v>
      </c>
      <c r="Q1247" s="129" t="b">
        <v>0</v>
      </c>
    </row>
    <row r="1248" spans="1:17" s="5" customFormat="1" ht="15" hidden="1" customHeight="1">
      <c r="A1248" s="129">
        <v>6323</v>
      </c>
      <c r="B1248" s="129">
        <v>2039</v>
      </c>
      <c r="C1248" s="129">
        <v>0</v>
      </c>
      <c r="D1248" s="129">
        <v>221</v>
      </c>
      <c r="E1248" s="129" t="b">
        <v>1</v>
      </c>
      <c r="F1248" s="129" t="b">
        <v>0</v>
      </c>
      <c r="G1248" s="129" t="s">
        <v>2810</v>
      </c>
      <c r="H1248" s="129" t="s">
        <v>2900</v>
      </c>
      <c r="I1248" s="129" t="s">
        <v>2879</v>
      </c>
      <c r="J1248" s="129"/>
      <c r="K1248" s="129"/>
      <c r="L1248" s="129" t="s">
        <v>2812</v>
      </c>
      <c r="M1248" s="129" t="s">
        <v>2880</v>
      </c>
      <c r="N1248" s="129"/>
      <c r="O1248" s="129" t="s">
        <v>2881</v>
      </c>
      <c r="Q1248" s="129" t="b">
        <v>0</v>
      </c>
    </row>
    <row r="1249" spans="1:17" s="5" customFormat="1" ht="15" hidden="1" customHeight="1">
      <c r="A1249" s="129">
        <v>6331</v>
      </c>
      <c r="B1249" s="129">
        <v>2040</v>
      </c>
      <c r="C1249" s="129">
        <v>0</v>
      </c>
      <c r="D1249" s="129">
        <v>164</v>
      </c>
      <c r="E1249" s="129" t="b">
        <v>1</v>
      </c>
      <c r="F1249" s="129" t="b">
        <v>0</v>
      </c>
      <c r="G1249" s="129" t="s">
        <v>2810</v>
      </c>
      <c r="H1249" s="129" t="s">
        <v>2901</v>
      </c>
      <c r="I1249" s="129" t="s">
        <v>78</v>
      </c>
      <c r="J1249" s="129"/>
      <c r="K1249" s="129"/>
      <c r="L1249" s="129" t="s">
        <v>2812</v>
      </c>
      <c r="M1249" s="129" t="s">
        <v>2883</v>
      </c>
      <c r="N1249" s="129"/>
      <c r="O1249" s="129" t="s">
        <v>2884</v>
      </c>
      <c r="Q1249" s="129" t="b">
        <v>0</v>
      </c>
    </row>
    <row r="1250" spans="1:17" s="5" customFormat="1" ht="15" hidden="1" customHeight="1">
      <c r="A1250" s="129">
        <v>6332</v>
      </c>
      <c r="B1250" s="129">
        <v>2041</v>
      </c>
      <c r="C1250" s="129">
        <v>0</v>
      </c>
      <c r="D1250" s="129">
        <v>222</v>
      </c>
      <c r="E1250" s="129" t="b">
        <v>1</v>
      </c>
      <c r="F1250" s="129" t="b">
        <v>0</v>
      </c>
      <c r="G1250" s="129" t="s">
        <v>2810</v>
      </c>
      <c r="H1250" s="129" t="s">
        <v>2901</v>
      </c>
      <c r="I1250" s="129" t="s">
        <v>2885</v>
      </c>
      <c r="J1250" s="129"/>
      <c r="K1250" s="129"/>
      <c r="L1250" s="129" t="s">
        <v>2812</v>
      </c>
      <c r="M1250" s="129" t="s">
        <v>2886</v>
      </c>
      <c r="N1250" s="129"/>
      <c r="O1250" s="129" t="s">
        <v>2887</v>
      </c>
      <c r="Q1250" s="129" t="b">
        <v>0</v>
      </c>
    </row>
    <row r="1251" spans="1:17" s="203" customFormat="1" ht="15" hidden="1" customHeight="1">
      <c r="A1251" s="91">
        <v>6333</v>
      </c>
      <c r="B1251" s="91">
        <v>2042</v>
      </c>
      <c r="C1251" s="91">
        <v>0</v>
      </c>
      <c r="D1251" s="203">
        <v>310</v>
      </c>
      <c r="E1251" s="91" t="b">
        <v>1</v>
      </c>
      <c r="F1251" s="91" t="b">
        <v>0</v>
      </c>
      <c r="G1251" s="91" t="s">
        <v>2810</v>
      </c>
      <c r="H1251" s="91" t="s">
        <v>2901</v>
      </c>
      <c r="I1251" s="138" t="s">
        <v>2888</v>
      </c>
      <c r="J1251" s="91"/>
      <c r="K1251" s="91"/>
      <c r="L1251" s="91" t="s">
        <v>2812</v>
      </c>
      <c r="M1251" s="91" t="s">
        <v>2889</v>
      </c>
      <c r="N1251" s="91"/>
      <c r="O1251" s="91" t="s">
        <v>2890</v>
      </c>
      <c r="Q1251" s="91" t="b">
        <v>0</v>
      </c>
    </row>
    <row r="1252" spans="1:17" s="5" customFormat="1" ht="15" hidden="1" customHeight="1">
      <c r="A1252" s="129">
        <v>6334</v>
      </c>
      <c r="B1252" s="129">
        <v>2043</v>
      </c>
      <c r="C1252" s="129">
        <v>0</v>
      </c>
      <c r="D1252" s="129">
        <v>223</v>
      </c>
      <c r="E1252" s="129" t="b">
        <v>1</v>
      </c>
      <c r="F1252" s="129" t="b">
        <v>0</v>
      </c>
      <c r="G1252" s="129" t="s">
        <v>2810</v>
      </c>
      <c r="H1252" s="129" t="s">
        <v>2901</v>
      </c>
      <c r="I1252" s="129" t="s">
        <v>2891</v>
      </c>
      <c r="J1252" s="129"/>
      <c r="K1252" s="129"/>
      <c r="L1252" s="129" t="s">
        <v>2812</v>
      </c>
      <c r="M1252" s="129" t="s">
        <v>2892</v>
      </c>
      <c r="N1252" s="129"/>
      <c r="O1252" s="129" t="s">
        <v>2893</v>
      </c>
      <c r="Q1252" s="129" t="b">
        <v>0</v>
      </c>
    </row>
    <row r="1253" spans="1:17" s="5" customFormat="1" ht="15" hidden="1" customHeight="1">
      <c r="A1253" s="129">
        <v>6341</v>
      </c>
      <c r="B1253" s="129">
        <v>2044</v>
      </c>
      <c r="C1253" s="129">
        <v>0</v>
      </c>
      <c r="D1253" s="129">
        <v>164</v>
      </c>
      <c r="E1253" s="129" t="b">
        <v>1</v>
      </c>
      <c r="F1253" s="129" t="b">
        <v>0</v>
      </c>
      <c r="G1253" s="129" t="s">
        <v>2810</v>
      </c>
      <c r="H1253" s="129" t="s">
        <v>2902</v>
      </c>
      <c r="I1253" s="129" t="s">
        <v>160</v>
      </c>
      <c r="J1253" s="129"/>
      <c r="K1253" s="129"/>
      <c r="L1253" s="129" t="s">
        <v>2812</v>
      </c>
      <c r="M1253" s="129" t="s">
        <v>2903</v>
      </c>
      <c r="N1253" s="129"/>
      <c r="O1253" s="129" t="s">
        <v>2904</v>
      </c>
      <c r="Q1253" s="129" t="b">
        <v>0</v>
      </c>
    </row>
    <row r="1254" spans="1:17" s="5" customFormat="1" ht="15" hidden="1" customHeight="1">
      <c r="A1254" s="129">
        <v>6342</v>
      </c>
      <c r="B1254" s="129">
        <v>2045</v>
      </c>
      <c r="C1254" s="129">
        <v>0</v>
      </c>
      <c r="D1254" s="129">
        <v>224</v>
      </c>
      <c r="E1254" s="129" t="b">
        <v>1</v>
      </c>
      <c r="F1254" s="129" t="b">
        <v>0</v>
      </c>
      <c r="G1254" s="129" t="s">
        <v>2810</v>
      </c>
      <c r="H1254" s="129" t="s">
        <v>2902</v>
      </c>
      <c r="I1254" s="129" t="s">
        <v>2748</v>
      </c>
      <c r="J1254" s="129"/>
      <c r="K1254" s="129"/>
      <c r="L1254" s="129" t="s">
        <v>2812</v>
      </c>
      <c r="M1254" s="129" t="s">
        <v>2905</v>
      </c>
      <c r="N1254" s="129"/>
      <c r="O1254" s="129" t="s">
        <v>2906</v>
      </c>
      <c r="Q1254" s="129" t="b">
        <v>0</v>
      </c>
    </row>
    <row r="1255" spans="1:17" s="5" customFormat="1" ht="15" hidden="1" customHeight="1">
      <c r="A1255" s="129">
        <v>6343</v>
      </c>
      <c r="B1255" s="129">
        <v>2046</v>
      </c>
      <c r="C1255" s="129">
        <v>0</v>
      </c>
      <c r="D1255" s="129">
        <v>225</v>
      </c>
      <c r="E1255" s="129" t="b">
        <v>1</v>
      </c>
      <c r="F1255" s="129" t="b">
        <v>0</v>
      </c>
      <c r="G1255" s="129" t="s">
        <v>2810</v>
      </c>
      <c r="H1255" s="129" t="s">
        <v>2902</v>
      </c>
      <c r="I1255" s="129" t="s">
        <v>2907</v>
      </c>
      <c r="J1255" s="129"/>
      <c r="K1255" s="129"/>
      <c r="L1255" s="129" t="s">
        <v>2812</v>
      </c>
      <c r="M1255" s="129" t="s">
        <v>2908</v>
      </c>
      <c r="N1255" s="129"/>
      <c r="O1255" s="129" t="s">
        <v>2909</v>
      </c>
      <c r="Q1255" s="129" t="b">
        <v>0</v>
      </c>
    </row>
    <row r="1256" spans="1:17" s="5" customFormat="1" ht="15" hidden="1" customHeight="1">
      <c r="A1256" s="129">
        <v>6351</v>
      </c>
      <c r="B1256" s="129">
        <v>2047</v>
      </c>
      <c r="C1256" s="129">
        <v>0</v>
      </c>
      <c r="D1256" s="129">
        <v>164</v>
      </c>
      <c r="E1256" s="129" t="b">
        <v>1</v>
      </c>
      <c r="F1256" s="129" t="b">
        <v>0</v>
      </c>
      <c r="G1256" s="129" t="s">
        <v>2810</v>
      </c>
      <c r="H1256" s="129" t="s">
        <v>2910</v>
      </c>
      <c r="I1256" s="129" t="s">
        <v>101</v>
      </c>
      <c r="J1256" s="129"/>
      <c r="K1256" s="129"/>
      <c r="L1256" s="129" t="s">
        <v>2812</v>
      </c>
      <c r="M1256" s="129" t="s">
        <v>2911</v>
      </c>
      <c r="N1256" s="129"/>
      <c r="O1256" s="129" t="s">
        <v>2912</v>
      </c>
      <c r="Q1256" s="129" t="b">
        <v>0</v>
      </c>
    </row>
    <row r="1257" spans="1:17" s="5" customFormat="1" ht="15" hidden="1" customHeight="1">
      <c r="A1257" s="129">
        <v>6352</v>
      </c>
      <c r="B1257" s="129">
        <v>2048</v>
      </c>
      <c r="C1257" s="129">
        <v>0</v>
      </c>
      <c r="D1257" s="129">
        <v>212</v>
      </c>
      <c r="E1257" s="129" t="b">
        <v>1</v>
      </c>
      <c r="F1257" s="129" t="b">
        <v>0</v>
      </c>
      <c r="G1257" s="129" t="s">
        <v>2810</v>
      </c>
      <c r="H1257" s="129" t="s">
        <v>2910</v>
      </c>
      <c r="I1257" s="129" t="s">
        <v>2829</v>
      </c>
      <c r="J1257" s="129"/>
      <c r="K1257" s="129"/>
      <c r="L1257" s="129" t="s">
        <v>2812</v>
      </c>
      <c r="M1257" s="129" t="s">
        <v>2830</v>
      </c>
      <c r="N1257" s="129"/>
      <c r="O1257" s="129" t="s">
        <v>2831</v>
      </c>
      <c r="Q1257" s="129" t="b">
        <v>0</v>
      </c>
    </row>
    <row r="1258" spans="1:17" s="5" customFormat="1" ht="15" hidden="1" customHeight="1">
      <c r="A1258" s="129">
        <v>6353</v>
      </c>
      <c r="B1258" s="129">
        <v>2049</v>
      </c>
      <c r="C1258" s="129">
        <v>0</v>
      </c>
      <c r="D1258" s="129">
        <v>237</v>
      </c>
      <c r="E1258" s="129" t="b">
        <v>1</v>
      </c>
      <c r="F1258" s="129" t="b">
        <v>0</v>
      </c>
      <c r="G1258" s="129" t="s">
        <v>2810</v>
      </c>
      <c r="H1258" s="129" t="s">
        <v>2910</v>
      </c>
      <c r="I1258" s="129" t="s">
        <v>2835</v>
      </c>
      <c r="J1258" s="129"/>
      <c r="K1258" s="129"/>
      <c r="L1258" s="129" t="s">
        <v>2812</v>
      </c>
      <c r="M1258" s="129" t="s">
        <v>2836</v>
      </c>
      <c r="N1258" s="129"/>
      <c r="O1258" s="129" t="s">
        <v>2837</v>
      </c>
      <c r="Q1258" s="129" t="b">
        <v>0</v>
      </c>
    </row>
    <row r="1259" spans="1:17" s="5" customFormat="1" ht="15" hidden="1" customHeight="1">
      <c r="A1259" s="129">
        <v>6354</v>
      </c>
      <c r="B1259" s="129">
        <v>2050</v>
      </c>
      <c r="C1259" s="129">
        <v>0</v>
      </c>
      <c r="D1259" s="129">
        <v>226</v>
      </c>
      <c r="E1259" s="129" t="b">
        <v>1</v>
      </c>
      <c r="F1259" s="129" t="b">
        <v>0</v>
      </c>
      <c r="G1259" s="129" t="s">
        <v>2810</v>
      </c>
      <c r="H1259" s="129" t="s">
        <v>2910</v>
      </c>
      <c r="I1259" s="129" t="s">
        <v>110</v>
      </c>
      <c r="J1259" s="129"/>
      <c r="K1259" s="129"/>
      <c r="L1259" s="129" t="s">
        <v>2812</v>
      </c>
      <c r="M1259" s="129" t="s">
        <v>2913</v>
      </c>
      <c r="N1259" s="129"/>
      <c r="O1259" s="129" t="s">
        <v>2914</v>
      </c>
      <c r="Q1259" s="129" t="b">
        <v>0</v>
      </c>
    </row>
    <row r="1260" spans="1:17" s="5" customFormat="1" ht="15" hidden="1" customHeight="1">
      <c r="A1260" s="129">
        <v>6355</v>
      </c>
      <c r="B1260" s="129">
        <v>2051</v>
      </c>
      <c r="C1260" s="129">
        <v>0</v>
      </c>
      <c r="D1260" s="129">
        <v>227</v>
      </c>
      <c r="E1260" s="129" t="b">
        <v>1</v>
      </c>
      <c r="F1260" s="129" t="b">
        <v>0</v>
      </c>
      <c r="G1260" s="129" t="s">
        <v>2810</v>
      </c>
      <c r="H1260" s="129" t="s">
        <v>2910</v>
      </c>
      <c r="I1260" s="129" t="s">
        <v>2915</v>
      </c>
      <c r="J1260" s="129"/>
      <c r="K1260" s="129"/>
      <c r="L1260" s="129" t="s">
        <v>2812</v>
      </c>
      <c r="M1260" s="129" t="s">
        <v>2916</v>
      </c>
      <c r="N1260" s="129"/>
      <c r="O1260" s="129" t="s">
        <v>2917</v>
      </c>
      <c r="Q1260" s="129" t="b">
        <v>0</v>
      </c>
    </row>
    <row r="1261" spans="1:17" s="5" customFormat="1" ht="15" hidden="1" customHeight="1">
      <c r="A1261" s="129">
        <v>6356</v>
      </c>
      <c r="B1261" s="129">
        <v>2052</v>
      </c>
      <c r="C1261" s="129">
        <v>0</v>
      </c>
      <c r="D1261" s="129">
        <v>228</v>
      </c>
      <c r="E1261" s="129" t="b">
        <v>1</v>
      </c>
      <c r="F1261" s="129" t="b">
        <v>0</v>
      </c>
      <c r="G1261" s="129" t="s">
        <v>2810</v>
      </c>
      <c r="H1261" s="129" t="s">
        <v>2910</v>
      </c>
      <c r="I1261" s="129" t="s">
        <v>2918</v>
      </c>
      <c r="J1261" s="129"/>
      <c r="K1261" s="129"/>
      <c r="L1261" s="129" t="s">
        <v>2812</v>
      </c>
      <c r="M1261" s="129" t="s">
        <v>2919</v>
      </c>
      <c r="N1261" s="129"/>
      <c r="O1261" s="129" t="s">
        <v>2920</v>
      </c>
      <c r="Q1261" s="129" t="b">
        <v>0</v>
      </c>
    </row>
    <row r="1262" spans="1:17" s="5" customFormat="1" ht="15" hidden="1" customHeight="1">
      <c r="A1262" s="129">
        <v>6361</v>
      </c>
      <c r="B1262" s="129">
        <v>2053</v>
      </c>
      <c r="C1262" s="129">
        <v>0</v>
      </c>
      <c r="D1262" s="129">
        <v>164</v>
      </c>
      <c r="E1262" s="129" t="b">
        <v>1</v>
      </c>
      <c r="F1262" s="129" t="b">
        <v>0</v>
      </c>
      <c r="G1262" s="129" t="s">
        <v>2810</v>
      </c>
      <c r="H1262" s="129" t="s">
        <v>2921</v>
      </c>
      <c r="I1262" s="129" t="s">
        <v>114</v>
      </c>
      <c r="J1262" s="129"/>
      <c r="K1262" s="129"/>
      <c r="L1262" s="129" t="s">
        <v>2812</v>
      </c>
      <c r="M1262" s="129" t="s">
        <v>2922</v>
      </c>
      <c r="N1262" s="129"/>
      <c r="O1262" s="129" t="s">
        <v>2923</v>
      </c>
      <c r="Q1262" s="129" t="b">
        <v>0</v>
      </c>
    </row>
    <row r="1263" spans="1:17" s="5" customFormat="1" ht="15" hidden="1" customHeight="1">
      <c r="A1263" s="129">
        <v>6362</v>
      </c>
      <c r="B1263" s="129">
        <v>2054</v>
      </c>
      <c r="C1263" s="129">
        <v>0</v>
      </c>
      <c r="D1263" s="129">
        <v>313</v>
      </c>
      <c r="E1263" s="129" t="b">
        <v>1</v>
      </c>
      <c r="F1263" s="129" t="b">
        <v>0</v>
      </c>
      <c r="G1263" s="129" t="s">
        <v>2810</v>
      </c>
      <c r="H1263" s="129" t="s">
        <v>2921</v>
      </c>
      <c r="I1263" s="129" t="s">
        <v>2758</v>
      </c>
      <c r="J1263" s="129"/>
      <c r="K1263" s="129"/>
      <c r="L1263" s="129" t="s">
        <v>2812</v>
      </c>
      <c r="M1263" s="129" t="s">
        <v>2924</v>
      </c>
      <c r="N1263" s="129"/>
      <c r="O1263" s="129" t="s">
        <v>2925</v>
      </c>
      <c r="Q1263" s="129" t="b">
        <v>0</v>
      </c>
    </row>
    <row r="1264" spans="1:17" s="5" customFormat="1" ht="15" hidden="1" customHeight="1">
      <c r="A1264" s="129">
        <v>6401</v>
      </c>
      <c r="B1264" s="129">
        <v>2055</v>
      </c>
      <c r="C1264" s="129">
        <v>0</v>
      </c>
      <c r="D1264" s="129">
        <v>164</v>
      </c>
      <c r="E1264" s="129" t="b">
        <v>1</v>
      </c>
      <c r="F1264" s="129" t="b">
        <v>0</v>
      </c>
      <c r="G1264" s="129" t="s">
        <v>2810</v>
      </c>
      <c r="H1264" s="129" t="s">
        <v>2926</v>
      </c>
      <c r="I1264" s="129" t="s">
        <v>2927</v>
      </c>
      <c r="J1264" s="129">
        <v>34</v>
      </c>
      <c r="K1264" s="129"/>
      <c r="L1264" s="129" t="s">
        <v>2812</v>
      </c>
      <c r="M1264" s="129" t="s">
        <v>2928</v>
      </c>
      <c r="N1264" s="129"/>
      <c r="O1264" s="129" t="s">
        <v>2929</v>
      </c>
      <c r="Q1264" s="129" t="b">
        <v>0</v>
      </c>
    </row>
    <row r="1265" spans="1:17" s="5" customFormat="1" ht="15" hidden="1" customHeight="1">
      <c r="A1265" s="129">
        <v>6402</v>
      </c>
      <c r="B1265" s="129">
        <v>2056</v>
      </c>
      <c r="C1265" s="129">
        <v>0</v>
      </c>
      <c r="D1265" s="129">
        <v>164</v>
      </c>
      <c r="E1265" s="129" t="b">
        <v>1</v>
      </c>
      <c r="F1265" s="129" t="b">
        <v>0</v>
      </c>
      <c r="G1265" s="129" t="s">
        <v>2810</v>
      </c>
      <c r="H1265" s="129" t="s">
        <v>2930</v>
      </c>
      <c r="I1265" s="129" t="s">
        <v>49</v>
      </c>
      <c r="J1265" s="129"/>
      <c r="K1265" s="129"/>
      <c r="L1265" s="129" t="s">
        <v>2812</v>
      </c>
      <c r="M1265" s="129" t="s">
        <v>2849</v>
      </c>
      <c r="N1265" s="129"/>
      <c r="O1265" s="129" t="s">
        <v>2850</v>
      </c>
      <c r="Q1265" s="129" t="b">
        <v>0</v>
      </c>
    </row>
    <row r="1266" spans="1:17" s="5" customFormat="1" ht="15" hidden="1" customHeight="1">
      <c r="A1266" s="129">
        <v>6403</v>
      </c>
      <c r="B1266" s="129">
        <v>2057</v>
      </c>
      <c r="C1266" s="129">
        <v>0</v>
      </c>
      <c r="D1266" s="129">
        <v>214</v>
      </c>
      <c r="E1266" s="129" t="b">
        <v>1</v>
      </c>
      <c r="F1266" s="129" t="b">
        <v>0</v>
      </c>
      <c r="G1266" s="129" t="s">
        <v>2810</v>
      </c>
      <c r="H1266" s="129" t="s">
        <v>2930</v>
      </c>
      <c r="I1266" s="129" t="s">
        <v>2851</v>
      </c>
      <c r="J1266" s="129"/>
      <c r="K1266" s="129"/>
      <c r="L1266" s="129" t="s">
        <v>2812</v>
      </c>
      <c r="M1266" s="129" t="s">
        <v>2852</v>
      </c>
      <c r="N1266" s="129"/>
      <c r="O1266" s="129" t="s">
        <v>2853</v>
      </c>
      <c r="Q1266" s="129" t="b">
        <v>0</v>
      </c>
    </row>
    <row r="1267" spans="1:17" s="5" customFormat="1" ht="15" hidden="1" customHeight="1">
      <c r="A1267" s="129">
        <v>6404</v>
      </c>
      <c r="B1267" s="129">
        <v>2058</v>
      </c>
      <c r="C1267" s="129">
        <v>0</v>
      </c>
      <c r="D1267" s="129">
        <v>215</v>
      </c>
      <c r="E1267" s="129" t="b">
        <v>1</v>
      </c>
      <c r="F1267" s="129" t="b">
        <v>0</v>
      </c>
      <c r="G1267" s="129" t="s">
        <v>2810</v>
      </c>
      <c r="H1267" s="129" t="s">
        <v>2930</v>
      </c>
      <c r="I1267" s="129" t="s">
        <v>2854</v>
      </c>
      <c r="J1267" s="129"/>
      <c r="K1267" s="129"/>
      <c r="L1267" s="129" t="s">
        <v>2812</v>
      </c>
      <c r="M1267" s="129" t="s">
        <v>2855</v>
      </c>
      <c r="N1267" s="129"/>
      <c r="O1267" s="129" t="s">
        <v>2856</v>
      </c>
      <c r="Q1267" s="129" t="b">
        <v>0</v>
      </c>
    </row>
    <row r="1268" spans="1:17" s="5" customFormat="1" ht="15" hidden="1" customHeight="1">
      <c r="A1268" s="129">
        <v>6405</v>
      </c>
      <c r="B1268" s="129">
        <v>2059</v>
      </c>
      <c r="C1268" s="129">
        <v>0</v>
      </c>
      <c r="D1268" s="129">
        <v>216</v>
      </c>
      <c r="E1268" s="129" t="b">
        <v>1</v>
      </c>
      <c r="F1268" s="129" t="b">
        <v>0</v>
      </c>
      <c r="G1268" s="129" t="s">
        <v>2810</v>
      </c>
      <c r="H1268" s="129" t="s">
        <v>2930</v>
      </c>
      <c r="I1268" s="129" t="s">
        <v>2857</v>
      </c>
      <c r="J1268" s="129"/>
      <c r="K1268" s="129"/>
      <c r="L1268" s="129" t="s">
        <v>2812</v>
      </c>
      <c r="M1268" s="129" t="s">
        <v>2858</v>
      </c>
      <c r="N1268" s="129"/>
      <c r="O1268" s="129" t="s">
        <v>2859</v>
      </c>
      <c r="Q1268" s="129" t="b">
        <v>0</v>
      </c>
    </row>
    <row r="1269" spans="1:17" s="5" customFormat="1" ht="15" hidden="1" customHeight="1">
      <c r="A1269" s="129">
        <v>6411</v>
      </c>
      <c r="B1269" s="129">
        <v>2060</v>
      </c>
      <c r="C1269" s="129">
        <v>0</v>
      </c>
      <c r="D1269" s="129">
        <v>176</v>
      </c>
      <c r="E1269" s="129" t="b">
        <v>1</v>
      </c>
      <c r="F1269" s="129" t="b">
        <v>0</v>
      </c>
      <c r="G1269" s="129" t="s">
        <v>2810</v>
      </c>
      <c r="H1269" s="129" t="s">
        <v>2931</v>
      </c>
      <c r="I1269" s="129" t="s">
        <v>68</v>
      </c>
      <c r="J1269" s="129"/>
      <c r="K1269" s="129"/>
      <c r="L1269" s="129" t="s">
        <v>2812</v>
      </c>
      <c r="M1269" s="129" t="s">
        <v>2868</v>
      </c>
      <c r="N1269" s="129"/>
      <c r="O1269" s="129" t="s">
        <v>2869</v>
      </c>
      <c r="Q1269" s="129" t="b">
        <v>0</v>
      </c>
    </row>
    <row r="1270" spans="1:17" s="5" customFormat="1" ht="15" hidden="1" customHeight="1">
      <c r="A1270" s="129">
        <v>6412</v>
      </c>
      <c r="B1270" s="129">
        <v>2061</v>
      </c>
      <c r="C1270" s="129">
        <v>0</v>
      </c>
      <c r="D1270" s="129">
        <v>219</v>
      </c>
      <c r="E1270" s="129" t="b">
        <v>1</v>
      </c>
      <c r="F1270" s="129" t="b">
        <v>0</v>
      </c>
      <c r="G1270" s="129" t="s">
        <v>2810</v>
      </c>
      <c r="H1270" s="129" t="s">
        <v>2931</v>
      </c>
      <c r="I1270" s="129" t="s">
        <v>2870</v>
      </c>
      <c r="J1270" s="129"/>
      <c r="K1270" s="129"/>
      <c r="L1270" s="129" t="s">
        <v>2812</v>
      </c>
      <c r="M1270" s="129" t="s">
        <v>75</v>
      </c>
      <c r="N1270" s="129"/>
      <c r="O1270" s="129" t="s">
        <v>2871</v>
      </c>
      <c r="Q1270" s="129" t="b">
        <v>0</v>
      </c>
    </row>
    <row r="1271" spans="1:17" s="5" customFormat="1" ht="15" hidden="1" customHeight="1">
      <c r="A1271" s="129">
        <v>6421</v>
      </c>
      <c r="B1271" s="129">
        <v>2062</v>
      </c>
      <c r="C1271" s="129">
        <v>0</v>
      </c>
      <c r="D1271" s="129">
        <v>164</v>
      </c>
      <c r="E1271" s="129" t="b">
        <v>1</v>
      </c>
      <c r="F1271" s="129" t="b">
        <v>0</v>
      </c>
      <c r="G1271" s="129" t="s">
        <v>2810</v>
      </c>
      <c r="H1271" s="129" t="s">
        <v>2932</v>
      </c>
      <c r="I1271" s="129" t="s">
        <v>2873</v>
      </c>
      <c r="J1271" s="129"/>
      <c r="K1271" s="129"/>
      <c r="L1271" s="129" t="s">
        <v>2812</v>
      </c>
      <c r="M1271" s="129" t="s">
        <v>2874</v>
      </c>
      <c r="N1271" s="129"/>
      <c r="O1271" s="129" t="s">
        <v>2875</v>
      </c>
      <c r="Q1271" s="129" t="b">
        <v>0</v>
      </c>
    </row>
    <row r="1272" spans="1:17" s="5" customFormat="1" ht="15" hidden="1" customHeight="1">
      <c r="A1272" s="129">
        <v>6422</v>
      </c>
      <c r="B1272" s="129">
        <v>2063</v>
      </c>
      <c r="C1272" s="129">
        <v>0</v>
      </c>
      <c r="D1272" s="129">
        <v>220</v>
      </c>
      <c r="E1272" s="129" t="b">
        <v>1</v>
      </c>
      <c r="F1272" s="129" t="b">
        <v>0</v>
      </c>
      <c r="G1272" s="129" t="s">
        <v>2810</v>
      </c>
      <c r="H1272" s="129" t="s">
        <v>2932</v>
      </c>
      <c r="I1272" s="129" t="s">
        <v>2876</v>
      </c>
      <c r="J1272" s="129"/>
      <c r="K1272" s="129"/>
      <c r="L1272" s="129" t="s">
        <v>2812</v>
      </c>
      <c r="M1272" s="129" t="s">
        <v>2877</v>
      </c>
      <c r="N1272" s="129"/>
      <c r="O1272" s="129" t="s">
        <v>2878</v>
      </c>
      <c r="Q1272" s="129" t="b">
        <v>0</v>
      </c>
    </row>
    <row r="1273" spans="1:17" s="5" customFormat="1" ht="15" hidden="1" customHeight="1">
      <c r="A1273" s="129">
        <v>6423</v>
      </c>
      <c r="B1273" s="129">
        <v>2064</v>
      </c>
      <c r="C1273" s="129">
        <v>0</v>
      </c>
      <c r="D1273" s="129">
        <v>221</v>
      </c>
      <c r="E1273" s="129" t="b">
        <v>1</v>
      </c>
      <c r="F1273" s="129" t="b">
        <v>0</v>
      </c>
      <c r="G1273" s="129" t="s">
        <v>2810</v>
      </c>
      <c r="H1273" s="129" t="s">
        <v>2932</v>
      </c>
      <c r="I1273" s="129" t="s">
        <v>2879</v>
      </c>
      <c r="J1273" s="129"/>
      <c r="K1273" s="129"/>
      <c r="L1273" s="129" t="s">
        <v>2812</v>
      </c>
      <c r="M1273" s="129" t="s">
        <v>2880</v>
      </c>
      <c r="N1273" s="129"/>
      <c r="O1273" s="129" t="s">
        <v>2881</v>
      </c>
      <c r="Q1273" s="129" t="b">
        <v>0</v>
      </c>
    </row>
    <row r="1274" spans="1:17" s="5" customFormat="1" ht="15" hidden="1" customHeight="1">
      <c r="A1274" s="129">
        <v>6431</v>
      </c>
      <c r="B1274" s="129">
        <v>2065</v>
      </c>
      <c r="C1274" s="129">
        <v>0</v>
      </c>
      <c r="D1274" s="129">
        <v>164</v>
      </c>
      <c r="E1274" s="129" t="b">
        <v>1</v>
      </c>
      <c r="F1274" s="129" t="b">
        <v>0</v>
      </c>
      <c r="G1274" s="129" t="s">
        <v>2810</v>
      </c>
      <c r="H1274" s="129" t="s">
        <v>2933</v>
      </c>
      <c r="I1274" s="129" t="s">
        <v>160</v>
      </c>
      <c r="J1274" s="129"/>
      <c r="K1274" s="129"/>
      <c r="L1274" s="129" t="s">
        <v>2812</v>
      </c>
      <c r="M1274" s="129" t="s">
        <v>2903</v>
      </c>
      <c r="N1274" s="129"/>
      <c r="O1274" s="129" t="s">
        <v>2904</v>
      </c>
      <c r="Q1274" s="129" t="b">
        <v>0</v>
      </c>
    </row>
    <row r="1275" spans="1:17" s="5" customFormat="1" ht="15" hidden="1" customHeight="1">
      <c r="A1275" s="129">
        <v>6432</v>
      </c>
      <c r="B1275" s="129">
        <v>2066</v>
      </c>
      <c r="C1275" s="129">
        <v>0</v>
      </c>
      <c r="D1275" s="129">
        <v>224</v>
      </c>
      <c r="E1275" s="129" t="b">
        <v>1</v>
      </c>
      <c r="F1275" s="129" t="b">
        <v>0</v>
      </c>
      <c r="G1275" s="129" t="s">
        <v>2810</v>
      </c>
      <c r="H1275" s="129" t="s">
        <v>2933</v>
      </c>
      <c r="I1275" s="129" t="s">
        <v>2748</v>
      </c>
      <c r="J1275" s="129"/>
      <c r="K1275" s="129"/>
      <c r="L1275" s="129" t="s">
        <v>2812</v>
      </c>
      <c r="M1275" s="129" t="s">
        <v>2905</v>
      </c>
      <c r="N1275" s="129"/>
      <c r="O1275" s="129" t="s">
        <v>2906</v>
      </c>
      <c r="Q1275" s="129" t="b">
        <v>0</v>
      </c>
    </row>
    <row r="1276" spans="1:17" s="5" customFormat="1" ht="15" hidden="1" customHeight="1">
      <c r="A1276" s="129">
        <v>6433</v>
      </c>
      <c r="B1276" s="129">
        <v>2067</v>
      </c>
      <c r="C1276" s="129">
        <v>0</v>
      </c>
      <c r="D1276" s="129">
        <v>225</v>
      </c>
      <c r="E1276" s="129" t="b">
        <v>1</v>
      </c>
      <c r="F1276" s="129" t="b">
        <v>0</v>
      </c>
      <c r="G1276" s="129" t="s">
        <v>2810</v>
      </c>
      <c r="H1276" s="129" t="s">
        <v>2933</v>
      </c>
      <c r="I1276" s="129" t="s">
        <v>2907</v>
      </c>
      <c r="J1276" s="129"/>
      <c r="K1276" s="129"/>
      <c r="L1276" s="129" t="s">
        <v>2812</v>
      </c>
      <c r="M1276" s="129" t="s">
        <v>2908</v>
      </c>
      <c r="N1276" s="129"/>
      <c r="O1276" s="129" t="s">
        <v>2909</v>
      </c>
      <c r="Q1276" s="129" t="b">
        <v>0</v>
      </c>
    </row>
    <row r="1277" spans="1:17" s="5" customFormat="1" ht="15" hidden="1" customHeight="1">
      <c r="A1277" s="129">
        <v>6441</v>
      </c>
      <c r="B1277" s="129">
        <v>2068</v>
      </c>
      <c r="C1277" s="129">
        <v>0</v>
      </c>
      <c r="D1277" s="129">
        <v>164</v>
      </c>
      <c r="E1277" s="129" t="b">
        <v>1</v>
      </c>
      <c r="F1277" s="129" t="b">
        <v>0</v>
      </c>
      <c r="G1277" s="129" t="s">
        <v>2810</v>
      </c>
      <c r="H1277" s="129" t="s">
        <v>2934</v>
      </c>
      <c r="I1277" s="129" t="s">
        <v>101</v>
      </c>
      <c r="J1277" s="129"/>
      <c r="K1277" s="129"/>
      <c r="L1277" s="129" t="s">
        <v>2812</v>
      </c>
      <c r="M1277" s="129" t="s">
        <v>2911</v>
      </c>
      <c r="N1277" s="129"/>
      <c r="O1277" s="129" t="s">
        <v>2912</v>
      </c>
      <c r="Q1277" s="129" t="b">
        <v>0</v>
      </c>
    </row>
    <row r="1278" spans="1:17" s="5" customFormat="1" ht="15" hidden="1" customHeight="1">
      <c r="A1278" s="129">
        <v>6442</v>
      </c>
      <c r="B1278" s="129">
        <v>2069</v>
      </c>
      <c r="C1278" s="129">
        <v>0</v>
      </c>
      <c r="D1278" s="129">
        <v>212</v>
      </c>
      <c r="E1278" s="129" t="b">
        <v>1</v>
      </c>
      <c r="F1278" s="129" t="b">
        <v>0</v>
      </c>
      <c r="G1278" s="129" t="s">
        <v>2810</v>
      </c>
      <c r="H1278" s="129" t="s">
        <v>2934</v>
      </c>
      <c r="I1278" s="129" t="s">
        <v>2829</v>
      </c>
      <c r="J1278" s="129"/>
      <c r="K1278" s="129"/>
      <c r="L1278" s="129" t="s">
        <v>2812</v>
      </c>
      <c r="M1278" s="129" t="s">
        <v>2830</v>
      </c>
      <c r="N1278" s="129"/>
      <c r="O1278" s="129" t="s">
        <v>2831</v>
      </c>
      <c r="Q1278" s="129" t="b">
        <v>0</v>
      </c>
    </row>
    <row r="1279" spans="1:17" s="5" customFormat="1" ht="15" hidden="1" customHeight="1">
      <c r="A1279" s="129">
        <v>6443</v>
      </c>
      <c r="B1279" s="129">
        <v>2070</v>
      </c>
      <c r="C1279" s="129">
        <v>0</v>
      </c>
      <c r="D1279" s="129">
        <v>237</v>
      </c>
      <c r="E1279" s="129" t="b">
        <v>1</v>
      </c>
      <c r="F1279" s="129" t="b">
        <v>0</v>
      </c>
      <c r="G1279" s="129" t="s">
        <v>2810</v>
      </c>
      <c r="H1279" s="129" t="s">
        <v>2934</v>
      </c>
      <c r="I1279" s="129" t="s">
        <v>2835</v>
      </c>
      <c r="J1279" s="129"/>
      <c r="K1279" s="129"/>
      <c r="L1279" s="129" t="s">
        <v>2812</v>
      </c>
      <c r="M1279" s="129" t="s">
        <v>2836</v>
      </c>
      <c r="N1279" s="129"/>
      <c r="O1279" s="129" t="s">
        <v>2837</v>
      </c>
      <c r="Q1279" s="129" t="b">
        <v>0</v>
      </c>
    </row>
    <row r="1280" spans="1:17" s="5" customFormat="1" ht="15" hidden="1" customHeight="1">
      <c r="A1280" s="129">
        <v>6444</v>
      </c>
      <c r="B1280" s="129">
        <v>2071</v>
      </c>
      <c r="C1280" s="129">
        <v>0</v>
      </c>
      <c r="D1280" s="129">
        <v>226</v>
      </c>
      <c r="E1280" s="129" t="b">
        <v>1</v>
      </c>
      <c r="F1280" s="129" t="b">
        <v>0</v>
      </c>
      <c r="G1280" s="129" t="s">
        <v>2810</v>
      </c>
      <c r="H1280" s="129" t="s">
        <v>2934</v>
      </c>
      <c r="I1280" s="129" t="s">
        <v>110</v>
      </c>
      <c r="J1280" s="129"/>
      <c r="K1280" s="129"/>
      <c r="L1280" s="129" t="s">
        <v>2812</v>
      </c>
      <c r="M1280" s="129" t="s">
        <v>2913</v>
      </c>
      <c r="N1280" s="129"/>
      <c r="O1280" s="129" t="s">
        <v>2914</v>
      </c>
      <c r="Q1280" s="129" t="b">
        <v>0</v>
      </c>
    </row>
    <row r="1281" spans="1:17" s="5" customFormat="1" ht="15" hidden="1" customHeight="1">
      <c r="A1281" s="129">
        <v>6445</v>
      </c>
      <c r="B1281" s="129">
        <v>2072</v>
      </c>
      <c r="C1281" s="129">
        <v>0</v>
      </c>
      <c r="D1281" s="129">
        <v>227</v>
      </c>
      <c r="E1281" s="129" t="b">
        <v>1</v>
      </c>
      <c r="F1281" s="129" t="b">
        <v>0</v>
      </c>
      <c r="G1281" s="129" t="s">
        <v>2810</v>
      </c>
      <c r="H1281" s="129" t="s">
        <v>2934</v>
      </c>
      <c r="I1281" s="129" t="s">
        <v>2915</v>
      </c>
      <c r="J1281" s="129"/>
      <c r="K1281" s="129"/>
      <c r="L1281" s="129" t="s">
        <v>2812</v>
      </c>
      <c r="M1281" s="129" t="s">
        <v>2916</v>
      </c>
      <c r="N1281" s="129"/>
      <c r="O1281" s="129" t="s">
        <v>2917</v>
      </c>
      <c r="Q1281" s="129" t="b">
        <v>0</v>
      </c>
    </row>
    <row r="1282" spans="1:17" s="5" customFormat="1" ht="15" hidden="1" customHeight="1">
      <c r="A1282" s="129">
        <v>6446</v>
      </c>
      <c r="B1282" s="129">
        <v>2073</v>
      </c>
      <c r="C1282" s="129">
        <v>0</v>
      </c>
      <c r="D1282" s="129">
        <v>228</v>
      </c>
      <c r="E1282" s="129" t="b">
        <v>1</v>
      </c>
      <c r="F1282" s="129" t="b">
        <v>0</v>
      </c>
      <c r="G1282" s="129" t="s">
        <v>2810</v>
      </c>
      <c r="H1282" s="129" t="s">
        <v>2934</v>
      </c>
      <c r="I1282" s="129" t="s">
        <v>2918</v>
      </c>
      <c r="J1282" s="129"/>
      <c r="K1282" s="129"/>
      <c r="L1282" s="129" t="s">
        <v>2812</v>
      </c>
      <c r="M1282" s="129" t="s">
        <v>2919</v>
      </c>
      <c r="N1282" s="129"/>
      <c r="O1282" s="129" t="s">
        <v>2920</v>
      </c>
      <c r="Q1282" s="129" t="b">
        <v>0</v>
      </c>
    </row>
    <row r="1283" spans="1:17" s="5" customFormat="1" ht="15" hidden="1" customHeight="1">
      <c r="A1283" s="129">
        <v>6471</v>
      </c>
      <c r="B1283" s="129">
        <v>2074</v>
      </c>
      <c r="C1283" s="129">
        <v>0</v>
      </c>
      <c r="D1283" s="129">
        <v>164</v>
      </c>
      <c r="E1283" s="129" t="b">
        <v>1</v>
      </c>
      <c r="F1283" s="129" t="b">
        <v>0</v>
      </c>
      <c r="G1283" s="129" t="s">
        <v>2810</v>
      </c>
      <c r="H1283" s="129" t="s">
        <v>2935</v>
      </c>
      <c r="I1283" s="129" t="s">
        <v>2936</v>
      </c>
      <c r="J1283" s="129"/>
      <c r="K1283" s="129"/>
      <c r="L1283" s="129" t="s">
        <v>2812</v>
      </c>
      <c r="M1283" s="129" t="s">
        <v>2937</v>
      </c>
      <c r="N1283" s="129"/>
      <c r="O1283" s="129" t="s">
        <v>2938</v>
      </c>
      <c r="Q1283" s="129" t="b">
        <v>0</v>
      </c>
    </row>
    <row r="1284" spans="1:17" s="5" customFormat="1" ht="15" hidden="1" customHeight="1">
      <c r="A1284" s="129">
        <v>6472</v>
      </c>
      <c r="B1284" s="129">
        <v>2075</v>
      </c>
      <c r="C1284" s="129">
        <v>0</v>
      </c>
      <c r="D1284" s="129">
        <v>258</v>
      </c>
      <c r="E1284" s="129" t="b">
        <v>1</v>
      </c>
      <c r="F1284" s="129" t="b">
        <v>0</v>
      </c>
      <c r="G1284" s="129" t="s">
        <v>2810</v>
      </c>
      <c r="H1284" s="129" t="s">
        <v>2935</v>
      </c>
      <c r="I1284" s="129" t="s">
        <v>2939</v>
      </c>
      <c r="J1284" s="129"/>
      <c r="K1284" s="129"/>
      <c r="L1284" s="129" t="s">
        <v>2812</v>
      </c>
      <c r="M1284" s="129" t="s">
        <v>2940</v>
      </c>
      <c r="N1284" s="129"/>
      <c r="O1284" s="129" t="s">
        <v>2941</v>
      </c>
      <c r="Q1284" s="129" t="b">
        <v>0</v>
      </c>
    </row>
    <row r="1285" spans="1:17" s="5" customFormat="1" ht="15" hidden="1" customHeight="1">
      <c r="A1285" s="129">
        <v>6481</v>
      </c>
      <c r="B1285" s="129">
        <v>2076</v>
      </c>
      <c r="C1285" s="129">
        <v>0</v>
      </c>
      <c r="D1285" s="129">
        <v>164</v>
      </c>
      <c r="E1285" s="129" t="b">
        <v>1</v>
      </c>
      <c r="F1285" s="129" t="b">
        <v>0</v>
      </c>
      <c r="G1285" s="129" t="s">
        <v>2810</v>
      </c>
      <c r="H1285" s="129" t="s">
        <v>2942</v>
      </c>
      <c r="I1285" s="129" t="s">
        <v>2943</v>
      </c>
      <c r="J1285" s="129"/>
      <c r="K1285" s="129"/>
      <c r="L1285" s="129" t="s">
        <v>2812</v>
      </c>
      <c r="M1285" s="129" t="s">
        <v>2944</v>
      </c>
      <c r="N1285" s="129"/>
      <c r="O1285" s="129" t="s">
        <v>2945</v>
      </c>
      <c r="Q1285" s="129" t="b">
        <v>0</v>
      </c>
    </row>
    <row r="1286" spans="1:17" s="5" customFormat="1" ht="15" hidden="1" customHeight="1">
      <c r="A1286" s="129">
        <v>6482</v>
      </c>
      <c r="B1286" s="129">
        <v>2077</v>
      </c>
      <c r="C1286" s="129">
        <v>0</v>
      </c>
      <c r="D1286" s="129">
        <v>229</v>
      </c>
      <c r="E1286" s="129" t="b">
        <v>1</v>
      </c>
      <c r="F1286" s="129" t="b">
        <v>0</v>
      </c>
      <c r="G1286" s="129" t="s">
        <v>2810</v>
      </c>
      <c r="H1286" s="129" t="s">
        <v>2942</v>
      </c>
      <c r="I1286" s="129" t="s">
        <v>2946</v>
      </c>
      <c r="J1286" s="129"/>
      <c r="K1286" s="129"/>
      <c r="L1286" s="129" t="s">
        <v>2812</v>
      </c>
      <c r="M1286" s="129" t="s">
        <v>2947</v>
      </c>
      <c r="N1286" s="129"/>
      <c r="O1286" s="129" t="s">
        <v>2948</v>
      </c>
      <c r="Q1286" s="129" t="b">
        <v>0</v>
      </c>
    </row>
    <row r="1287" spans="1:17" s="5" customFormat="1" ht="15" hidden="1" customHeight="1">
      <c r="A1287" s="129">
        <v>6501</v>
      </c>
      <c r="B1287" s="129">
        <v>2078</v>
      </c>
      <c r="C1287" s="129">
        <v>0</v>
      </c>
      <c r="D1287" s="129">
        <v>230</v>
      </c>
      <c r="E1287" s="129" t="b">
        <v>1</v>
      </c>
      <c r="F1287" s="129" t="b">
        <v>0</v>
      </c>
      <c r="G1287" s="129" t="s">
        <v>2810</v>
      </c>
      <c r="H1287" s="129" t="s">
        <v>2949</v>
      </c>
      <c r="I1287" s="129" t="s">
        <v>2950</v>
      </c>
      <c r="J1287" s="129">
        <v>35</v>
      </c>
      <c r="K1287" s="129"/>
      <c r="L1287" s="129" t="s">
        <v>2812</v>
      </c>
      <c r="M1287" s="129" t="s">
        <v>2951</v>
      </c>
      <c r="N1287" s="129"/>
      <c r="O1287" s="129" t="s">
        <v>2952</v>
      </c>
      <c r="Q1287" s="129" t="b">
        <v>0</v>
      </c>
    </row>
    <row r="1288" spans="1:17" s="5" customFormat="1" ht="15" hidden="1" customHeight="1">
      <c r="A1288" s="129">
        <v>6502</v>
      </c>
      <c r="B1288" s="129">
        <v>2079</v>
      </c>
      <c r="C1288" s="129">
        <v>0</v>
      </c>
      <c r="D1288" s="129">
        <v>164</v>
      </c>
      <c r="E1288" s="129" t="b">
        <v>1</v>
      </c>
      <c r="F1288" s="129" t="b">
        <v>0</v>
      </c>
      <c r="G1288" s="129" t="s">
        <v>2810</v>
      </c>
      <c r="H1288" s="129" t="s">
        <v>2953</v>
      </c>
      <c r="I1288" s="129" t="s">
        <v>2954</v>
      </c>
      <c r="J1288" s="129"/>
      <c r="K1288" s="129"/>
      <c r="L1288" s="129" t="s">
        <v>2812</v>
      </c>
      <c r="M1288" s="129" t="s">
        <v>2955</v>
      </c>
      <c r="N1288" s="129"/>
      <c r="O1288" s="129" t="s">
        <v>2956</v>
      </c>
      <c r="Q1288" s="129" t="b">
        <v>0</v>
      </c>
    </row>
    <row r="1289" spans="1:17" s="5" customFormat="1" ht="15" hidden="1" customHeight="1">
      <c r="A1289" s="129">
        <v>6503</v>
      </c>
      <c r="B1289" s="129">
        <v>2080</v>
      </c>
      <c r="C1289" s="129">
        <v>0</v>
      </c>
      <c r="D1289" s="129">
        <v>231</v>
      </c>
      <c r="E1289" s="129" t="b">
        <v>1</v>
      </c>
      <c r="F1289" s="129" t="b">
        <v>0</v>
      </c>
      <c r="G1289" s="129" t="s">
        <v>2810</v>
      </c>
      <c r="H1289" s="129" t="s">
        <v>2953</v>
      </c>
      <c r="I1289" s="129" t="s">
        <v>2694</v>
      </c>
      <c r="J1289" s="129"/>
      <c r="K1289" s="129"/>
      <c r="L1289" s="129" t="s">
        <v>2812</v>
      </c>
      <c r="M1289" s="129" t="s">
        <v>2957</v>
      </c>
      <c r="N1289" s="129"/>
      <c r="O1289" s="129" t="s">
        <v>2958</v>
      </c>
      <c r="Q1289" s="129" t="b">
        <v>0</v>
      </c>
    </row>
    <row r="1290" spans="1:17" s="5" customFormat="1" ht="15" hidden="1" customHeight="1">
      <c r="A1290" s="129">
        <v>6504</v>
      </c>
      <c r="B1290" s="129">
        <v>2081</v>
      </c>
      <c r="C1290" s="129">
        <v>0</v>
      </c>
      <c r="D1290" s="129">
        <v>259</v>
      </c>
      <c r="E1290" s="129" t="b">
        <v>1</v>
      </c>
      <c r="F1290" s="129" t="b">
        <v>0</v>
      </c>
      <c r="G1290" s="129" t="s">
        <v>2810</v>
      </c>
      <c r="H1290" s="129" t="s">
        <v>2953</v>
      </c>
      <c r="I1290" s="129" t="s">
        <v>2959</v>
      </c>
      <c r="J1290" s="129"/>
      <c r="K1290" s="129"/>
      <c r="L1290" s="129" t="s">
        <v>2812</v>
      </c>
      <c r="M1290" s="129" t="s">
        <v>2960</v>
      </c>
      <c r="N1290" s="129"/>
      <c r="O1290" s="129" t="s">
        <v>2961</v>
      </c>
      <c r="Q1290" s="129" t="b">
        <v>0</v>
      </c>
    </row>
    <row r="1291" spans="1:17" s="5" customFormat="1" ht="15" hidden="1" customHeight="1">
      <c r="A1291" s="129">
        <v>6505</v>
      </c>
      <c r="B1291" s="129">
        <v>2082</v>
      </c>
      <c r="C1291" s="129">
        <v>0</v>
      </c>
      <c r="D1291" s="129">
        <v>233</v>
      </c>
      <c r="E1291" s="129" t="b">
        <v>1</v>
      </c>
      <c r="F1291" s="129" t="b">
        <v>0</v>
      </c>
      <c r="G1291" s="129" t="s">
        <v>2810</v>
      </c>
      <c r="H1291" s="129" t="s">
        <v>2953</v>
      </c>
      <c r="I1291" s="129" t="s">
        <v>2962</v>
      </c>
      <c r="J1291" s="129"/>
      <c r="K1291" s="129"/>
      <c r="L1291" s="129" t="s">
        <v>2812</v>
      </c>
      <c r="M1291" s="129" t="s">
        <v>2963</v>
      </c>
      <c r="N1291" s="129"/>
      <c r="O1291" s="129" t="s">
        <v>2964</v>
      </c>
      <c r="Q1291" s="129" t="b">
        <v>0</v>
      </c>
    </row>
    <row r="1292" spans="1:17" s="5" customFormat="1" ht="15" hidden="1" customHeight="1">
      <c r="A1292" s="129">
        <v>6511</v>
      </c>
      <c r="B1292" s="129">
        <v>2083</v>
      </c>
      <c r="C1292" s="129">
        <v>0</v>
      </c>
      <c r="D1292" s="129">
        <v>164</v>
      </c>
      <c r="E1292" s="129" t="b">
        <v>1</v>
      </c>
      <c r="F1292" s="129" t="b">
        <v>0</v>
      </c>
      <c r="G1292" s="129" t="s">
        <v>2810</v>
      </c>
      <c r="H1292" s="129" t="s">
        <v>2965</v>
      </c>
      <c r="I1292" s="129" t="s">
        <v>131</v>
      </c>
      <c r="J1292" s="129"/>
      <c r="K1292" s="129"/>
      <c r="L1292" s="129" t="s">
        <v>2812</v>
      </c>
      <c r="M1292" s="129" t="s">
        <v>2966</v>
      </c>
      <c r="N1292" s="129"/>
      <c r="O1292" s="129" t="s">
        <v>2967</v>
      </c>
      <c r="Q1292" s="129" t="b">
        <v>0</v>
      </c>
    </row>
    <row r="1293" spans="1:17" s="5" customFormat="1" ht="15" hidden="1" customHeight="1">
      <c r="A1293" s="129">
        <v>6512</v>
      </c>
      <c r="B1293" s="129">
        <v>2084</v>
      </c>
      <c r="C1293" s="129">
        <v>0</v>
      </c>
      <c r="D1293" s="129">
        <v>213</v>
      </c>
      <c r="E1293" s="129" t="b">
        <v>1</v>
      </c>
      <c r="F1293" s="129" t="b">
        <v>0</v>
      </c>
      <c r="G1293" s="129" t="s">
        <v>2810</v>
      </c>
      <c r="H1293" s="129" t="s">
        <v>2965</v>
      </c>
      <c r="I1293" s="129" t="s">
        <v>2841</v>
      </c>
      <c r="J1293" s="129"/>
      <c r="K1293" s="129"/>
      <c r="L1293" s="129" t="s">
        <v>2812</v>
      </c>
      <c r="M1293" s="129" t="s">
        <v>2842</v>
      </c>
      <c r="N1293" s="129"/>
      <c r="O1293" s="129" t="s">
        <v>2843</v>
      </c>
      <c r="Q1293" s="129" t="b">
        <v>0</v>
      </c>
    </row>
    <row r="1294" spans="1:17" s="5" customFormat="1" ht="15" hidden="1" customHeight="1">
      <c r="A1294" s="129">
        <v>6513</v>
      </c>
      <c r="B1294" s="129">
        <v>2085</v>
      </c>
      <c r="C1294" s="129">
        <v>0</v>
      </c>
      <c r="D1294" s="129">
        <v>234</v>
      </c>
      <c r="E1294" s="129" t="b">
        <v>1</v>
      </c>
      <c r="F1294" s="129" t="b">
        <v>0</v>
      </c>
      <c r="G1294" s="129" t="s">
        <v>2810</v>
      </c>
      <c r="H1294" s="129" t="s">
        <v>2965</v>
      </c>
      <c r="I1294" s="129" t="s">
        <v>2968</v>
      </c>
      <c r="J1294" s="129"/>
      <c r="K1294" s="129"/>
      <c r="L1294" s="129" t="s">
        <v>2812</v>
      </c>
      <c r="M1294" s="129" t="s">
        <v>2969</v>
      </c>
      <c r="N1294" s="129"/>
      <c r="O1294" s="129" t="s">
        <v>2970</v>
      </c>
      <c r="Q1294" s="129" t="b">
        <v>0</v>
      </c>
    </row>
    <row r="1295" spans="1:17" s="5" customFormat="1" ht="15" hidden="1" customHeight="1">
      <c r="A1295" s="129">
        <v>6002</v>
      </c>
      <c r="B1295" s="129">
        <v>2086</v>
      </c>
      <c r="C1295" s="129">
        <v>0</v>
      </c>
      <c r="D1295" s="129">
        <v>201</v>
      </c>
      <c r="E1295" s="129" t="b">
        <v>1</v>
      </c>
      <c r="F1295" s="129" t="b">
        <v>0</v>
      </c>
      <c r="G1295" s="129" t="s">
        <v>2810</v>
      </c>
      <c r="H1295" s="129" t="s">
        <v>2971</v>
      </c>
      <c r="I1295" s="129" t="s">
        <v>2972</v>
      </c>
      <c r="J1295" s="5">
        <v>30</v>
      </c>
      <c r="K1295" s="129"/>
      <c r="L1295" s="129" t="s">
        <v>2812</v>
      </c>
      <c r="M1295" s="129" t="s">
        <v>2973</v>
      </c>
      <c r="N1295" s="129"/>
      <c r="O1295" s="129" t="s">
        <v>2973</v>
      </c>
      <c r="Q1295" s="129" t="b">
        <v>0</v>
      </c>
    </row>
    <row r="1296" spans="1:17" s="5" customFormat="1" ht="15" hidden="1" customHeight="1">
      <c r="A1296" s="129">
        <v>6003</v>
      </c>
      <c r="B1296" s="129">
        <v>2087</v>
      </c>
      <c r="C1296" s="129">
        <v>0</v>
      </c>
      <c r="D1296" s="136">
        <v>202</v>
      </c>
      <c r="E1296" s="129" t="b">
        <v>1</v>
      </c>
      <c r="F1296" s="129" t="b">
        <v>0</v>
      </c>
      <c r="G1296" s="129" t="s">
        <v>2810</v>
      </c>
      <c r="H1296" s="129" t="s">
        <v>2971</v>
      </c>
      <c r="I1296" s="129" t="s">
        <v>2974</v>
      </c>
      <c r="J1296" s="129"/>
      <c r="K1296" s="129"/>
      <c r="L1296" s="129" t="s">
        <v>2812</v>
      </c>
      <c r="M1296" s="129" t="s">
        <v>2975</v>
      </c>
      <c r="N1296" s="129"/>
      <c r="O1296" s="129" t="s">
        <v>2974</v>
      </c>
      <c r="Q1296" s="129" t="b">
        <v>0</v>
      </c>
    </row>
    <row r="1297" spans="1:17" s="5" customFormat="1" ht="15" hidden="1" customHeight="1">
      <c r="A1297" s="129">
        <v>6004</v>
      </c>
      <c r="B1297" s="129">
        <v>2088</v>
      </c>
      <c r="C1297" s="129">
        <v>0</v>
      </c>
      <c r="D1297" s="129">
        <v>203</v>
      </c>
      <c r="E1297" s="129" t="b">
        <v>1</v>
      </c>
      <c r="F1297" s="129" t="b">
        <v>0</v>
      </c>
      <c r="G1297" s="129" t="s">
        <v>2810</v>
      </c>
      <c r="H1297" s="129" t="s">
        <v>2971</v>
      </c>
      <c r="I1297" s="129" t="s">
        <v>2976</v>
      </c>
      <c r="J1297" s="129"/>
      <c r="K1297" s="129"/>
      <c r="L1297" s="129" t="s">
        <v>2812</v>
      </c>
      <c r="M1297" s="129" t="s">
        <v>2977</v>
      </c>
      <c r="N1297" s="129"/>
      <c r="O1297" s="129" t="s">
        <v>2976</v>
      </c>
      <c r="Q1297" s="129" t="b">
        <v>0</v>
      </c>
    </row>
    <row r="1298" spans="1:17" s="5" customFormat="1" ht="15" hidden="1" customHeight="1">
      <c r="A1298" s="129">
        <v>6005</v>
      </c>
      <c r="B1298" s="129">
        <v>2089</v>
      </c>
      <c r="C1298" s="129">
        <v>0</v>
      </c>
      <c r="D1298" s="129">
        <v>256</v>
      </c>
      <c r="E1298" s="129" t="b">
        <v>1</v>
      </c>
      <c r="F1298" s="129" t="b">
        <v>0</v>
      </c>
      <c r="G1298" s="129" t="s">
        <v>2810</v>
      </c>
      <c r="H1298" s="129" t="s">
        <v>2971</v>
      </c>
      <c r="I1298" s="129" t="s">
        <v>2978</v>
      </c>
      <c r="J1298" s="129"/>
      <c r="K1298" s="129"/>
      <c r="L1298" s="129" t="s">
        <v>2812</v>
      </c>
      <c r="M1298" s="129" t="s">
        <v>2979</v>
      </c>
      <c r="N1298" s="129"/>
      <c r="O1298" s="129" t="s">
        <v>2980</v>
      </c>
      <c r="Q1298" s="129" t="b">
        <v>0</v>
      </c>
    </row>
    <row r="1299" spans="1:17" s="5" customFormat="1" ht="15" hidden="1" customHeight="1">
      <c r="A1299" s="129">
        <v>6006</v>
      </c>
      <c r="B1299" s="129">
        <v>2090</v>
      </c>
      <c r="C1299" s="129">
        <v>0</v>
      </c>
      <c r="D1299" s="129">
        <v>319</v>
      </c>
      <c r="E1299" s="129" t="b">
        <v>1</v>
      </c>
      <c r="F1299" s="129" t="b">
        <v>0</v>
      </c>
      <c r="G1299" s="129" t="s">
        <v>2810</v>
      </c>
      <c r="H1299" s="129" t="s">
        <v>2971</v>
      </c>
      <c r="I1299" s="129" t="s">
        <v>2981</v>
      </c>
      <c r="J1299" s="129"/>
      <c r="K1299" s="129"/>
      <c r="L1299" s="129" t="s">
        <v>2812</v>
      </c>
      <c r="M1299" s="129" t="s">
        <v>2982</v>
      </c>
      <c r="N1299" s="129"/>
      <c r="O1299" s="129" t="s">
        <v>2983</v>
      </c>
      <c r="Q1299" s="129" t="b">
        <v>0</v>
      </c>
    </row>
    <row r="1300" spans="1:17" s="5" customFormat="1" ht="15" hidden="1" customHeight="1">
      <c r="A1300" s="129">
        <v>6007</v>
      </c>
      <c r="B1300" s="129">
        <v>2091</v>
      </c>
      <c r="C1300" s="129">
        <v>0</v>
      </c>
      <c r="D1300" s="129">
        <v>319</v>
      </c>
      <c r="E1300" s="129" t="b">
        <v>1</v>
      </c>
      <c r="F1300" s="129" t="b">
        <v>0</v>
      </c>
      <c r="G1300" s="129" t="s">
        <v>2810</v>
      </c>
      <c r="H1300" s="129" t="s">
        <v>2971</v>
      </c>
      <c r="I1300" s="129" t="s">
        <v>2984</v>
      </c>
      <c r="J1300" s="129"/>
      <c r="K1300" s="129"/>
      <c r="L1300" s="129" t="s">
        <v>2812</v>
      </c>
      <c r="M1300" s="129" t="s">
        <v>2985</v>
      </c>
      <c r="N1300" s="129"/>
      <c r="O1300" s="129" t="s">
        <v>2986</v>
      </c>
      <c r="P1300" s="76"/>
      <c r="Q1300" s="129" t="b">
        <v>0</v>
      </c>
    </row>
    <row r="1301" spans="1:17" s="5" customFormat="1" ht="15" hidden="1" customHeight="1">
      <c r="A1301" s="129">
        <v>6008</v>
      </c>
      <c r="B1301" s="129">
        <v>2092</v>
      </c>
      <c r="C1301" s="129">
        <v>0</v>
      </c>
      <c r="D1301" s="129">
        <v>319</v>
      </c>
      <c r="E1301" s="129" t="b">
        <v>1</v>
      </c>
      <c r="F1301" s="129" t="b">
        <v>0</v>
      </c>
      <c r="G1301" s="129" t="s">
        <v>2810</v>
      </c>
      <c r="H1301" s="129" t="s">
        <v>2971</v>
      </c>
      <c r="I1301" s="129" t="s">
        <v>2987</v>
      </c>
      <c r="J1301" s="129"/>
      <c r="K1301" s="129"/>
      <c r="L1301" s="129" t="s">
        <v>2812</v>
      </c>
      <c r="M1301" s="129" t="s">
        <v>2988</v>
      </c>
      <c r="N1301" s="129"/>
      <c r="O1301" s="129" t="s">
        <v>2989</v>
      </c>
      <c r="Q1301" s="129" t="b">
        <v>0</v>
      </c>
    </row>
    <row r="1302" spans="1:17" s="5" customFormat="1" ht="15" hidden="1" customHeight="1">
      <c r="A1302" s="129">
        <v>6009</v>
      </c>
      <c r="B1302" s="129">
        <v>2093</v>
      </c>
      <c r="C1302" s="129">
        <v>0</v>
      </c>
      <c r="D1302" s="129">
        <v>319</v>
      </c>
      <c r="E1302" s="129" t="b">
        <v>1</v>
      </c>
      <c r="F1302" s="129" t="b">
        <v>0</v>
      </c>
      <c r="G1302" s="129" t="s">
        <v>2810</v>
      </c>
      <c r="H1302" s="129" t="s">
        <v>2971</v>
      </c>
      <c r="I1302" s="129" t="s">
        <v>2990</v>
      </c>
      <c r="J1302" s="129"/>
      <c r="K1302" s="129"/>
      <c r="L1302" s="129" t="s">
        <v>2812</v>
      </c>
      <c r="M1302" s="129" t="s">
        <v>2991</v>
      </c>
      <c r="N1302" s="129"/>
      <c r="O1302" s="129" t="s">
        <v>2992</v>
      </c>
      <c r="Q1302" s="129" t="b">
        <v>0</v>
      </c>
    </row>
    <row r="1303" spans="1:17" s="5" customFormat="1" ht="15" customHeight="1">
      <c r="A1303" s="129">
        <v>7001</v>
      </c>
      <c r="B1303" s="129">
        <v>2095</v>
      </c>
      <c r="C1303" s="129">
        <v>0</v>
      </c>
      <c r="D1303" s="129">
        <v>164</v>
      </c>
      <c r="E1303" s="129" t="b">
        <v>1</v>
      </c>
      <c r="F1303" s="129" t="b">
        <v>0</v>
      </c>
      <c r="G1303" s="129" t="s">
        <v>2993</v>
      </c>
      <c r="H1303" s="129"/>
      <c r="I1303" s="129" t="s">
        <v>2811</v>
      </c>
      <c r="J1303" s="129"/>
      <c r="K1303" s="129">
        <v>202</v>
      </c>
      <c r="L1303" s="129" t="s">
        <v>2994</v>
      </c>
      <c r="M1303" s="129" t="s">
        <v>2813</v>
      </c>
      <c r="N1303" s="129"/>
      <c r="O1303" s="129" t="s">
        <v>2814</v>
      </c>
      <c r="Q1303" s="129" t="b">
        <v>0</v>
      </c>
    </row>
    <row r="1304" spans="1:17" s="5" customFormat="1" ht="15" hidden="1" customHeight="1">
      <c r="A1304" s="129">
        <v>7101</v>
      </c>
      <c r="B1304" s="129">
        <v>2096</v>
      </c>
      <c r="C1304" s="129">
        <v>0</v>
      </c>
      <c r="D1304" s="129">
        <v>164</v>
      </c>
      <c r="E1304" s="129" t="b">
        <v>1</v>
      </c>
      <c r="F1304" s="129" t="b">
        <v>0</v>
      </c>
      <c r="G1304" s="129" t="s">
        <v>2993</v>
      </c>
      <c r="H1304" s="129" t="s">
        <v>2815</v>
      </c>
      <c r="I1304" s="129" t="s">
        <v>2816</v>
      </c>
      <c r="J1304" s="129">
        <v>37</v>
      </c>
      <c r="K1304" s="129"/>
      <c r="L1304" s="129" t="s">
        <v>2994</v>
      </c>
      <c r="M1304" s="129" t="s">
        <v>2817</v>
      </c>
      <c r="N1304" s="129"/>
      <c r="O1304" s="129" t="s">
        <v>2815</v>
      </c>
      <c r="Q1304" s="129" t="b">
        <v>0</v>
      </c>
    </row>
    <row r="1305" spans="1:17" s="5" customFormat="1" ht="15" hidden="1" customHeight="1">
      <c r="A1305" s="129">
        <v>7104</v>
      </c>
      <c r="B1305" s="129">
        <v>2097</v>
      </c>
      <c r="C1305" s="129">
        <v>0</v>
      </c>
      <c r="D1305" s="129">
        <v>164</v>
      </c>
      <c r="E1305" s="129" t="b">
        <v>1</v>
      </c>
      <c r="F1305" s="129" t="b">
        <v>0</v>
      </c>
      <c r="G1305" s="129" t="s">
        <v>2993</v>
      </c>
      <c r="H1305" s="129" t="s">
        <v>2818</v>
      </c>
      <c r="I1305" s="129" t="s">
        <v>26</v>
      </c>
      <c r="J1305" s="129"/>
      <c r="K1305" s="129"/>
      <c r="L1305" s="129" t="s">
        <v>2994</v>
      </c>
      <c r="M1305" s="129" t="s">
        <v>2819</v>
      </c>
      <c r="N1305" s="129"/>
      <c r="O1305" s="129" t="s">
        <v>2995</v>
      </c>
      <c r="Q1305" s="129" t="b">
        <v>0</v>
      </c>
    </row>
    <row r="1306" spans="1:17" s="5" customFormat="1" ht="15" hidden="1" customHeight="1">
      <c r="A1306" s="129">
        <v>7102</v>
      </c>
      <c r="B1306" s="129">
        <v>2098</v>
      </c>
      <c r="C1306" s="129">
        <v>0</v>
      </c>
      <c r="D1306" s="129">
        <v>273</v>
      </c>
      <c r="E1306" s="129" t="b">
        <v>1</v>
      </c>
      <c r="F1306" s="129" t="b">
        <v>0</v>
      </c>
      <c r="G1306" s="129" t="s">
        <v>2993</v>
      </c>
      <c r="H1306" s="129" t="s">
        <v>2818</v>
      </c>
      <c r="I1306" s="129" t="s">
        <v>29</v>
      </c>
      <c r="J1306" s="129"/>
      <c r="K1306" s="129"/>
      <c r="L1306" s="129" t="s">
        <v>2994</v>
      </c>
      <c r="M1306" s="129" t="s">
        <v>30</v>
      </c>
      <c r="N1306" s="129"/>
      <c r="O1306" s="129" t="s">
        <v>2996</v>
      </c>
      <c r="Q1306" s="129" t="b">
        <v>0</v>
      </c>
    </row>
    <row r="1307" spans="1:17" s="5" customFormat="1" ht="15" hidden="1" customHeight="1">
      <c r="A1307" s="129">
        <v>7103</v>
      </c>
      <c r="B1307" s="129">
        <v>2099</v>
      </c>
      <c r="C1307" s="129">
        <v>0</v>
      </c>
      <c r="D1307" s="129">
        <v>274</v>
      </c>
      <c r="E1307" s="129" t="b">
        <v>1</v>
      </c>
      <c r="F1307" s="129" t="b">
        <v>0</v>
      </c>
      <c r="G1307" s="129" t="s">
        <v>2993</v>
      </c>
      <c r="H1307" s="129" t="s">
        <v>2818</v>
      </c>
      <c r="I1307" s="129" t="s">
        <v>32</v>
      </c>
      <c r="J1307" s="129"/>
      <c r="K1307" s="129"/>
      <c r="L1307" s="129" t="s">
        <v>2994</v>
      </c>
      <c r="M1307" s="129" t="s">
        <v>33</v>
      </c>
      <c r="N1307" s="129"/>
      <c r="O1307" s="129" t="s">
        <v>2997</v>
      </c>
      <c r="Q1307" s="129" t="b">
        <v>0</v>
      </c>
    </row>
    <row r="1308" spans="1:17" s="5" customFormat="1" ht="15" hidden="1" customHeight="1">
      <c r="A1308" s="129">
        <v>7115</v>
      </c>
      <c r="B1308" s="129">
        <v>2100</v>
      </c>
      <c r="C1308" s="129">
        <v>0</v>
      </c>
      <c r="D1308" s="129">
        <v>164</v>
      </c>
      <c r="E1308" s="129" t="b">
        <v>1</v>
      </c>
      <c r="F1308" s="129" t="b">
        <v>0</v>
      </c>
      <c r="G1308" s="129" t="s">
        <v>2993</v>
      </c>
      <c r="H1308" s="129" t="s">
        <v>2823</v>
      </c>
      <c r="I1308" s="129" t="s">
        <v>36</v>
      </c>
      <c r="J1308" s="129"/>
      <c r="K1308" s="129"/>
      <c r="L1308" s="129" t="s">
        <v>2994</v>
      </c>
      <c r="M1308" s="129" t="s">
        <v>2824</v>
      </c>
      <c r="N1308" s="129"/>
      <c r="O1308" s="129" t="s">
        <v>2998</v>
      </c>
      <c r="Q1308" s="129" t="b">
        <v>0</v>
      </c>
    </row>
    <row r="1309" spans="1:17" s="5" customFormat="1" ht="15" hidden="1" customHeight="1">
      <c r="A1309" s="129">
        <v>7111</v>
      </c>
      <c r="B1309" s="129">
        <v>2101</v>
      </c>
      <c r="C1309" s="129">
        <v>0</v>
      </c>
      <c r="D1309" s="129">
        <v>235</v>
      </c>
      <c r="E1309" s="129" t="b">
        <v>1</v>
      </c>
      <c r="F1309" s="129" t="b">
        <v>0</v>
      </c>
      <c r="G1309" s="129" t="s">
        <v>2993</v>
      </c>
      <c r="H1309" s="129" t="s">
        <v>2823</v>
      </c>
      <c r="I1309" s="5" t="s">
        <v>2999</v>
      </c>
      <c r="J1309" s="129"/>
      <c r="K1309" s="129"/>
      <c r="L1309" s="129" t="s">
        <v>2994</v>
      </c>
      <c r="M1309" s="129" t="s">
        <v>2827</v>
      </c>
      <c r="N1309" s="129"/>
      <c r="O1309" s="129" t="s">
        <v>2999</v>
      </c>
      <c r="Q1309" s="129" t="b">
        <v>0</v>
      </c>
    </row>
    <row r="1310" spans="1:17" s="5" customFormat="1" ht="15" hidden="1" customHeight="1">
      <c r="A1310" s="129">
        <v>7112</v>
      </c>
      <c r="B1310" s="129">
        <v>2102</v>
      </c>
      <c r="C1310" s="129">
        <v>0</v>
      </c>
      <c r="D1310" s="129">
        <v>275</v>
      </c>
      <c r="E1310" s="129" t="b">
        <v>1</v>
      </c>
      <c r="F1310" s="129" t="b">
        <v>0</v>
      </c>
      <c r="G1310" s="129" t="s">
        <v>2993</v>
      </c>
      <c r="H1310" s="129" t="s">
        <v>2823</v>
      </c>
      <c r="I1310" s="5" t="s">
        <v>3000</v>
      </c>
      <c r="J1310" s="129"/>
      <c r="K1310" s="129"/>
      <c r="L1310" s="129" t="s">
        <v>2994</v>
      </c>
      <c r="M1310" s="129" t="s">
        <v>2830</v>
      </c>
      <c r="N1310" s="129"/>
      <c r="O1310" s="129" t="s">
        <v>3000</v>
      </c>
      <c r="Q1310" s="129" t="b">
        <v>0</v>
      </c>
    </row>
    <row r="1311" spans="1:17" s="5" customFormat="1" ht="15" hidden="1" customHeight="1">
      <c r="A1311" s="129">
        <v>7113</v>
      </c>
      <c r="B1311" s="129">
        <v>2103</v>
      </c>
      <c r="C1311" s="129">
        <v>0</v>
      </c>
      <c r="D1311" s="129">
        <v>276</v>
      </c>
      <c r="E1311" s="129" t="b">
        <v>1</v>
      </c>
      <c r="F1311" s="129" t="b">
        <v>0</v>
      </c>
      <c r="G1311" s="129" t="s">
        <v>2993</v>
      </c>
      <c r="H1311" s="129" t="s">
        <v>2823</v>
      </c>
      <c r="I1311" s="5" t="s">
        <v>3001</v>
      </c>
      <c r="J1311" s="129"/>
      <c r="K1311" s="129"/>
      <c r="L1311" s="129" t="s">
        <v>2994</v>
      </c>
      <c r="M1311" s="129" t="s">
        <v>2833</v>
      </c>
      <c r="N1311" s="129"/>
      <c r="O1311" s="129" t="s">
        <v>3001</v>
      </c>
      <c r="Q1311" s="129" t="b">
        <v>0</v>
      </c>
    </row>
    <row r="1312" spans="1:17" s="5" customFormat="1" ht="15" hidden="1" customHeight="1">
      <c r="A1312" s="129">
        <v>7114</v>
      </c>
      <c r="B1312" s="129">
        <v>2104</v>
      </c>
      <c r="C1312" s="129">
        <v>0</v>
      </c>
      <c r="D1312" s="129">
        <v>277</v>
      </c>
      <c r="E1312" s="129" t="b">
        <v>1</v>
      </c>
      <c r="F1312" s="129" t="b">
        <v>0</v>
      </c>
      <c r="G1312" s="129" t="s">
        <v>2993</v>
      </c>
      <c r="H1312" s="129" t="s">
        <v>2823</v>
      </c>
      <c r="I1312" s="129" t="s">
        <v>2835</v>
      </c>
      <c r="J1312" s="129"/>
      <c r="K1312" s="129"/>
      <c r="L1312" s="129" t="s">
        <v>2994</v>
      </c>
      <c r="M1312" s="129" t="s">
        <v>2836</v>
      </c>
      <c r="N1312" s="129"/>
      <c r="O1312" s="129" t="s">
        <v>3002</v>
      </c>
      <c r="Q1312" s="129" t="b">
        <v>0</v>
      </c>
    </row>
    <row r="1313" spans="1:17" s="5" customFormat="1" ht="15" hidden="1" customHeight="1">
      <c r="A1313" s="129">
        <v>7201</v>
      </c>
      <c r="B1313" s="129">
        <v>2105</v>
      </c>
      <c r="C1313" s="129">
        <v>0</v>
      </c>
      <c r="D1313" s="129">
        <v>164</v>
      </c>
      <c r="E1313" s="129" t="b">
        <v>1</v>
      </c>
      <c r="F1313" s="129" t="b">
        <v>0</v>
      </c>
      <c r="G1313" s="129" t="s">
        <v>2993</v>
      </c>
      <c r="H1313" s="129" t="s">
        <v>2844</v>
      </c>
      <c r="I1313" s="129" t="s">
        <v>2845</v>
      </c>
      <c r="J1313" s="129">
        <v>38</v>
      </c>
      <c r="K1313" s="129"/>
      <c r="L1313" s="129" t="s">
        <v>2994</v>
      </c>
      <c r="M1313" s="129" t="s">
        <v>2846</v>
      </c>
      <c r="N1313" s="129"/>
      <c r="O1313" s="129" t="s">
        <v>2847</v>
      </c>
      <c r="Q1313" s="129" t="b">
        <v>0</v>
      </c>
    </row>
    <row r="1314" spans="1:17" s="5" customFormat="1" ht="15" hidden="1" customHeight="1">
      <c r="A1314" s="129">
        <v>7205</v>
      </c>
      <c r="B1314" s="129">
        <v>2106</v>
      </c>
      <c r="C1314" s="129">
        <v>0</v>
      </c>
      <c r="D1314" s="129">
        <v>164</v>
      </c>
      <c r="E1314" s="129" t="b">
        <v>1</v>
      </c>
      <c r="F1314" s="129" t="b">
        <v>0</v>
      </c>
      <c r="G1314" s="129" t="s">
        <v>2993</v>
      </c>
      <c r="H1314" s="129" t="s">
        <v>2848</v>
      </c>
      <c r="I1314" s="129" t="s">
        <v>49</v>
      </c>
      <c r="J1314" s="129"/>
      <c r="K1314" s="129"/>
      <c r="L1314" s="129" t="s">
        <v>2994</v>
      </c>
      <c r="M1314" s="129" t="s">
        <v>2849</v>
      </c>
      <c r="N1314" s="129"/>
      <c r="O1314" s="129" t="s">
        <v>3003</v>
      </c>
      <c r="Q1314" s="129" t="b">
        <v>0</v>
      </c>
    </row>
    <row r="1315" spans="1:17" s="5" customFormat="1" ht="15" hidden="1" customHeight="1">
      <c r="A1315" s="129">
        <v>7202</v>
      </c>
      <c r="B1315" s="129">
        <v>2107</v>
      </c>
      <c r="C1315" s="129">
        <v>0</v>
      </c>
      <c r="D1315" s="129">
        <v>278</v>
      </c>
      <c r="E1315" s="129" t="b">
        <v>1</v>
      </c>
      <c r="F1315" s="129" t="b">
        <v>0</v>
      </c>
      <c r="G1315" s="129" t="s">
        <v>2993</v>
      </c>
      <c r="H1315" s="129" t="s">
        <v>2848</v>
      </c>
      <c r="I1315" s="129" t="s">
        <v>2851</v>
      </c>
      <c r="J1315" s="129"/>
      <c r="K1315" s="129"/>
      <c r="L1315" s="129" t="s">
        <v>2994</v>
      </c>
      <c r="M1315" s="129" t="s">
        <v>2852</v>
      </c>
      <c r="N1315" s="129"/>
      <c r="O1315" s="129" t="s">
        <v>3004</v>
      </c>
      <c r="Q1315" s="129" t="b">
        <v>0</v>
      </c>
    </row>
    <row r="1316" spans="1:17" s="5" customFormat="1" ht="15" hidden="1" customHeight="1">
      <c r="A1316" s="129">
        <v>7203</v>
      </c>
      <c r="B1316" s="129">
        <v>2108</v>
      </c>
      <c r="C1316" s="129">
        <v>0</v>
      </c>
      <c r="D1316" s="129">
        <v>279</v>
      </c>
      <c r="E1316" s="129" t="b">
        <v>1</v>
      </c>
      <c r="F1316" s="129" t="b">
        <v>0</v>
      </c>
      <c r="G1316" s="129" t="s">
        <v>2993</v>
      </c>
      <c r="H1316" s="129" t="s">
        <v>2848</v>
      </c>
      <c r="I1316" s="129" t="s">
        <v>2854</v>
      </c>
      <c r="J1316" s="129"/>
      <c r="K1316" s="129"/>
      <c r="L1316" s="129" t="s">
        <v>2994</v>
      </c>
      <c r="M1316" s="129" t="s">
        <v>2855</v>
      </c>
      <c r="N1316" s="129"/>
      <c r="O1316" s="129" t="s">
        <v>3005</v>
      </c>
      <c r="Q1316" s="129" t="b">
        <v>0</v>
      </c>
    </row>
    <row r="1317" spans="1:17" s="5" customFormat="1" ht="15" hidden="1" customHeight="1">
      <c r="A1317" s="129">
        <v>7204</v>
      </c>
      <c r="B1317" s="129">
        <v>2109</v>
      </c>
      <c r="C1317" s="129">
        <v>0</v>
      </c>
      <c r="D1317" s="129">
        <v>280</v>
      </c>
      <c r="E1317" s="129" t="b">
        <v>1</v>
      </c>
      <c r="F1317" s="129" t="b">
        <v>0</v>
      </c>
      <c r="G1317" s="129" t="s">
        <v>2993</v>
      </c>
      <c r="H1317" s="129" t="s">
        <v>2848</v>
      </c>
      <c r="I1317" s="129" t="s">
        <v>2857</v>
      </c>
      <c r="J1317" s="129"/>
      <c r="K1317" s="129"/>
      <c r="L1317" s="129" t="s">
        <v>2994</v>
      </c>
      <c r="M1317" s="129" t="s">
        <v>2858</v>
      </c>
      <c r="N1317" s="129"/>
      <c r="O1317" s="129" t="s">
        <v>3006</v>
      </c>
      <c r="Q1317" s="129" t="b">
        <v>0</v>
      </c>
    </row>
    <row r="1318" spans="1:17" s="5" customFormat="1" ht="15" hidden="1" customHeight="1">
      <c r="A1318" s="129">
        <v>7213</v>
      </c>
      <c r="B1318" s="129">
        <v>2110</v>
      </c>
      <c r="C1318" s="129">
        <v>0</v>
      </c>
      <c r="D1318" s="129">
        <v>164</v>
      </c>
      <c r="E1318" s="129" t="b">
        <v>1</v>
      </c>
      <c r="F1318" s="129" t="b">
        <v>0</v>
      </c>
      <c r="G1318" s="129" t="s">
        <v>2993</v>
      </c>
      <c r="H1318" s="129" t="s">
        <v>2860</v>
      </c>
      <c r="I1318" s="129" t="s">
        <v>85</v>
      </c>
      <c r="J1318" s="129"/>
      <c r="K1318" s="129"/>
      <c r="L1318" s="129" t="s">
        <v>2994</v>
      </c>
      <c r="M1318" s="129" t="s">
        <v>2861</v>
      </c>
      <c r="N1318" s="129"/>
      <c r="O1318" s="129" t="s">
        <v>3007</v>
      </c>
      <c r="Q1318" s="129" t="b">
        <v>0</v>
      </c>
    </row>
    <row r="1319" spans="1:17" s="5" customFormat="1" ht="15" hidden="1" customHeight="1">
      <c r="A1319" s="129">
        <v>7211</v>
      </c>
      <c r="B1319" s="129">
        <v>2111</v>
      </c>
      <c r="C1319" s="129">
        <v>0</v>
      </c>
      <c r="D1319" s="129">
        <v>281</v>
      </c>
      <c r="E1319" s="129" t="b">
        <v>1</v>
      </c>
      <c r="F1319" s="129" t="b">
        <v>0</v>
      </c>
      <c r="G1319" s="129" t="s">
        <v>2993</v>
      </c>
      <c r="H1319" s="129" t="s">
        <v>2860</v>
      </c>
      <c r="I1319" s="129" t="s">
        <v>91</v>
      </c>
      <c r="J1319" s="129"/>
      <c r="K1319" s="129"/>
      <c r="L1319" s="129" t="s">
        <v>2994</v>
      </c>
      <c r="M1319" s="129" t="s">
        <v>2863</v>
      </c>
      <c r="N1319" s="129"/>
      <c r="O1319" s="129" t="s">
        <v>3008</v>
      </c>
      <c r="Q1319" s="129" t="b">
        <v>0</v>
      </c>
    </row>
    <row r="1320" spans="1:17" s="5" customFormat="1" ht="15" hidden="1" customHeight="1">
      <c r="A1320" s="129">
        <v>7212</v>
      </c>
      <c r="B1320" s="129">
        <v>2112</v>
      </c>
      <c r="C1320" s="129">
        <v>0</v>
      </c>
      <c r="D1320" s="129">
        <v>282</v>
      </c>
      <c r="E1320" s="129" t="b">
        <v>1</v>
      </c>
      <c r="F1320" s="129" t="b">
        <v>0</v>
      </c>
      <c r="G1320" s="129" t="s">
        <v>2993</v>
      </c>
      <c r="H1320" s="129" t="s">
        <v>2860</v>
      </c>
      <c r="I1320" s="129" t="s">
        <v>88</v>
      </c>
      <c r="J1320" s="129"/>
      <c r="K1320" s="129"/>
      <c r="L1320" s="129" t="s">
        <v>2994</v>
      </c>
      <c r="M1320" s="129" t="s">
        <v>2865</v>
      </c>
      <c r="N1320" s="129"/>
      <c r="O1320" s="129" t="s">
        <v>3009</v>
      </c>
      <c r="Q1320" s="129" t="b">
        <v>0</v>
      </c>
    </row>
    <row r="1321" spans="1:17" s="5" customFormat="1" ht="15" hidden="1" customHeight="1">
      <c r="A1321" s="129">
        <v>7222</v>
      </c>
      <c r="B1321" s="129">
        <v>2113</v>
      </c>
      <c r="C1321" s="129">
        <v>0</v>
      </c>
      <c r="D1321" s="129">
        <v>176</v>
      </c>
      <c r="E1321" s="129" t="b">
        <v>1</v>
      </c>
      <c r="F1321" s="129" t="b">
        <v>0</v>
      </c>
      <c r="G1321" s="129" t="s">
        <v>2993</v>
      </c>
      <c r="H1321" s="129" t="s">
        <v>2867</v>
      </c>
      <c r="I1321" s="129" t="s">
        <v>68</v>
      </c>
      <c r="J1321" s="129"/>
      <c r="K1321" s="129"/>
      <c r="L1321" s="129" t="s">
        <v>2994</v>
      </c>
      <c r="M1321" s="129" t="s">
        <v>2868</v>
      </c>
      <c r="N1321" s="129"/>
      <c r="O1321" s="129" t="s">
        <v>3010</v>
      </c>
      <c r="Q1321" s="129" t="b">
        <v>0</v>
      </c>
    </row>
    <row r="1322" spans="1:17" s="5" customFormat="1" ht="15" hidden="1" customHeight="1">
      <c r="A1322" s="129">
        <v>7221</v>
      </c>
      <c r="B1322" s="129">
        <v>2114</v>
      </c>
      <c r="C1322" s="129">
        <v>0</v>
      </c>
      <c r="D1322" s="129">
        <v>283</v>
      </c>
      <c r="E1322" s="129" t="b">
        <v>1</v>
      </c>
      <c r="F1322" s="129" t="b">
        <v>0</v>
      </c>
      <c r="G1322" s="129" t="s">
        <v>2993</v>
      </c>
      <c r="H1322" s="129" t="s">
        <v>2867</v>
      </c>
      <c r="I1322" s="129" t="s">
        <v>2870</v>
      </c>
      <c r="J1322" s="129"/>
      <c r="K1322" s="129"/>
      <c r="L1322" s="129" t="s">
        <v>2994</v>
      </c>
      <c r="M1322" s="129" t="s">
        <v>75</v>
      </c>
      <c r="N1322" s="129"/>
      <c r="O1322" s="129" t="s">
        <v>3011</v>
      </c>
      <c r="Q1322" s="129" t="b">
        <v>0</v>
      </c>
    </row>
    <row r="1323" spans="1:17" s="5" customFormat="1" ht="15" hidden="1" customHeight="1">
      <c r="A1323" s="129">
        <v>7233</v>
      </c>
      <c r="B1323" s="129">
        <v>2115</v>
      </c>
      <c r="C1323" s="129">
        <v>0</v>
      </c>
      <c r="D1323" s="129">
        <v>164</v>
      </c>
      <c r="E1323" s="129" t="b">
        <v>1</v>
      </c>
      <c r="F1323" s="129" t="b">
        <v>0</v>
      </c>
      <c r="G1323" s="129" t="s">
        <v>2993</v>
      </c>
      <c r="H1323" s="129" t="s">
        <v>2872</v>
      </c>
      <c r="I1323" s="129" t="s">
        <v>2873</v>
      </c>
      <c r="J1323" s="129"/>
      <c r="K1323" s="129"/>
      <c r="L1323" s="129" t="s">
        <v>2994</v>
      </c>
      <c r="M1323" s="129" t="s">
        <v>2874</v>
      </c>
      <c r="N1323" s="129"/>
      <c r="O1323" s="129" t="s">
        <v>3012</v>
      </c>
      <c r="Q1323" s="129" t="b">
        <v>0</v>
      </c>
    </row>
    <row r="1324" spans="1:17" s="5" customFormat="1" ht="15" hidden="1" customHeight="1">
      <c r="A1324" s="129">
        <v>7231</v>
      </c>
      <c r="B1324" s="129">
        <v>2116</v>
      </c>
      <c r="C1324" s="129">
        <v>0</v>
      </c>
      <c r="D1324" s="129">
        <v>284</v>
      </c>
      <c r="E1324" s="129" t="b">
        <v>1</v>
      </c>
      <c r="F1324" s="129" t="b">
        <v>0</v>
      </c>
      <c r="G1324" s="129" t="s">
        <v>2993</v>
      </c>
      <c r="H1324" s="129" t="s">
        <v>2872</v>
      </c>
      <c r="I1324" s="129" t="s">
        <v>2876</v>
      </c>
      <c r="J1324" s="129"/>
      <c r="K1324" s="129"/>
      <c r="L1324" s="129" t="s">
        <v>2994</v>
      </c>
      <c r="M1324" s="129" t="s">
        <v>2877</v>
      </c>
      <c r="N1324" s="129"/>
      <c r="O1324" s="129" t="s">
        <v>3013</v>
      </c>
      <c r="Q1324" s="129" t="b">
        <v>0</v>
      </c>
    </row>
    <row r="1325" spans="1:17" s="5" customFormat="1" ht="15" hidden="1" customHeight="1">
      <c r="A1325" s="129">
        <v>7232</v>
      </c>
      <c r="B1325" s="129">
        <v>2117</v>
      </c>
      <c r="C1325" s="129">
        <v>0</v>
      </c>
      <c r="D1325" s="129">
        <v>285</v>
      </c>
      <c r="E1325" s="129" t="b">
        <v>1</v>
      </c>
      <c r="F1325" s="129" t="b">
        <v>0</v>
      </c>
      <c r="G1325" s="129" t="s">
        <v>2993</v>
      </c>
      <c r="H1325" s="129" t="s">
        <v>2872</v>
      </c>
      <c r="I1325" s="129" t="s">
        <v>3014</v>
      </c>
      <c r="J1325" s="129"/>
      <c r="K1325" s="129"/>
      <c r="L1325" s="129" t="s">
        <v>2994</v>
      </c>
      <c r="M1325" s="129" t="s">
        <v>2880</v>
      </c>
      <c r="N1325" s="129"/>
      <c r="O1325" s="129" t="s">
        <v>3015</v>
      </c>
      <c r="Q1325" s="129" t="b">
        <v>0</v>
      </c>
    </row>
    <row r="1326" spans="1:17" s="5" customFormat="1" ht="15" hidden="1" customHeight="1">
      <c r="A1326" s="129">
        <v>7244</v>
      </c>
      <c r="B1326" s="129">
        <v>2118</v>
      </c>
      <c r="C1326" s="129">
        <v>0</v>
      </c>
      <c r="D1326" s="129">
        <v>164</v>
      </c>
      <c r="E1326" s="129" t="b">
        <v>1</v>
      </c>
      <c r="F1326" s="129" t="b">
        <v>0</v>
      </c>
      <c r="G1326" s="129" t="s">
        <v>2993</v>
      </c>
      <c r="H1326" s="129" t="s">
        <v>2882</v>
      </c>
      <c r="I1326" s="129" t="s">
        <v>78</v>
      </c>
      <c r="J1326" s="129"/>
      <c r="K1326" s="129"/>
      <c r="L1326" s="129" t="s">
        <v>2994</v>
      </c>
      <c r="M1326" s="129" t="s">
        <v>2883</v>
      </c>
      <c r="N1326" s="129"/>
      <c r="O1326" s="129" t="s">
        <v>3016</v>
      </c>
      <c r="Q1326" s="129" t="b">
        <v>0</v>
      </c>
    </row>
    <row r="1327" spans="1:17" s="5" customFormat="1" ht="15" hidden="1" customHeight="1">
      <c r="A1327" s="129">
        <v>7241</v>
      </c>
      <c r="B1327" s="129">
        <v>2119</v>
      </c>
      <c r="C1327" s="129">
        <v>0</v>
      </c>
      <c r="D1327" s="129">
        <v>286</v>
      </c>
      <c r="E1327" s="129" t="b">
        <v>1</v>
      </c>
      <c r="F1327" s="129" t="b">
        <v>0</v>
      </c>
      <c r="G1327" s="129" t="s">
        <v>2993</v>
      </c>
      <c r="H1327" s="129" t="s">
        <v>2882</v>
      </c>
      <c r="I1327" s="129" t="s">
        <v>2885</v>
      </c>
      <c r="J1327" s="129"/>
      <c r="K1327" s="129"/>
      <c r="L1327" s="129" t="s">
        <v>2994</v>
      </c>
      <c r="M1327" s="129" t="s">
        <v>2886</v>
      </c>
      <c r="N1327" s="129"/>
      <c r="O1327" s="129" t="s">
        <v>3017</v>
      </c>
      <c r="Q1327" s="129" t="b">
        <v>0</v>
      </c>
    </row>
    <row r="1328" spans="1:17" s="203" customFormat="1" ht="15" hidden="1" customHeight="1">
      <c r="A1328" s="91">
        <v>7242</v>
      </c>
      <c r="B1328" s="91">
        <v>2120</v>
      </c>
      <c r="C1328" s="91">
        <v>0</v>
      </c>
      <c r="D1328" s="91">
        <v>287</v>
      </c>
      <c r="E1328" s="91" t="b">
        <v>1</v>
      </c>
      <c r="F1328" s="91" t="b">
        <v>0</v>
      </c>
      <c r="G1328" s="91" t="s">
        <v>2993</v>
      </c>
      <c r="H1328" s="91" t="s">
        <v>2882</v>
      </c>
      <c r="I1328" s="138" t="s">
        <v>2888</v>
      </c>
      <c r="J1328" s="91"/>
      <c r="K1328" s="91"/>
      <c r="L1328" s="91" t="s">
        <v>2994</v>
      </c>
      <c r="M1328" s="91" t="s">
        <v>2889</v>
      </c>
      <c r="N1328" s="91"/>
      <c r="O1328" s="91" t="s">
        <v>3018</v>
      </c>
      <c r="Q1328" s="91" t="b">
        <v>0</v>
      </c>
    </row>
    <row r="1329" spans="1:17" s="5" customFormat="1" ht="15" hidden="1" customHeight="1">
      <c r="A1329" s="129">
        <v>7243</v>
      </c>
      <c r="B1329" s="129">
        <v>2121</v>
      </c>
      <c r="C1329" s="129">
        <v>0</v>
      </c>
      <c r="D1329" s="129">
        <v>288</v>
      </c>
      <c r="E1329" s="129" t="b">
        <v>1</v>
      </c>
      <c r="F1329" s="129" t="b">
        <v>0</v>
      </c>
      <c r="G1329" s="129" t="s">
        <v>2993</v>
      </c>
      <c r="H1329" s="129" t="s">
        <v>2882</v>
      </c>
      <c r="I1329" s="129" t="s">
        <v>2891</v>
      </c>
      <c r="J1329" s="129"/>
      <c r="K1329" s="129"/>
      <c r="L1329" s="129" t="s">
        <v>2994</v>
      </c>
      <c r="M1329" s="129" t="s">
        <v>2892</v>
      </c>
      <c r="N1329" s="129"/>
      <c r="O1329" s="129" t="s">
        <v>3019</v>
      </c>
      <c r="Q1329" s="129" t="b">
        <v>0</v>
      </c>
    </row>
    <row r="1330" spans="1:17" s="5" customFormat="1" ht="15" hidden="1" customHeight="1">
      <c r="A1330" s="129">
        <v>7301</v>
      </c>
      <c r="B1330" s="129">
        <v>2122</v>
      </c>
      <c r="C1330" s="129">
        <v>0</v>
      </c>
      <c r="D1330" s="129">
        <v>164</v>
      </c>
      <c r="E1330" s="129" t="b">
        <v>1</v>
      </c>
      <c r="F1330" s="129" t="b">
        <v>0</v>
      </c>
      <c r="G1330" s="129" t="s">
        <v>2993</v>
      </c>
      <c r="H1330" s="129" t="s">
        <v>2894</v>
      </c>
      <c r="I1330" s="129" t="s">
        <v>2895</v>
      </c>
      <c r="J1330" s="129">
        <v>39</v>
      </c>
      <c r="K1330" s="129"/>
      <c r="L1330" s="129" t="s">
        <v>2994</v>
      </c>
      <c r="M1330" s="129" t="s">
        <v>2896</v>
      </c>
      <c r="N1330" s="129"/>
      <c r="O1330" s="129" t="s">
        <v>2897</v>
      </c>
      <c r="Q1330" s="129" t="b">
        <v>0</v>
      </c>
    </row>
    <row r="1331" spans="1:17" s="5" customFormat="1" ht="15" hidden="1" customHeight="1">
      <c r="A1331" s="129">
        <v>7305</v>
      </c>
      <c r="B1331" s="129">
        <v>2123</v>
      </c>
      <c r="C1331" s="129">
        <v>0</v>
      </c>
      <c r="D1331" s="129">
        <v>164</v>
      </c>
      <c r="E1331" s="129" t="b">
        <v>1</v>
      </c>
      <c r="F1331" s="129" t="b">
        <v>0</v>
      </c>
      <c r="G1331" s="129" t="s">
        <v>2993</v>
      </c>
      <c r="H1331" s="129" t="s">
        <v>2898</v>
      </c>
      <c r="I1331" s="129" t="s">
        <v>49</v>
      </c>
      <c r="J1331" s="129"/>
      <c r="K1331" s="129"/>
      <c r="L1331" s="129" t="s">
        <v>2994</v>
      </c>
      <c r="M1331" s="129" t="s">
        <v>2849</v>
      </c>
      <c r="N1331" s="129"/>
      <c r="O1331" s="129" t="s">
        <v>3003</v>
      </c>
      <c r="Q1331" s="129" t="b">
        <v>0</v>
      </c>
    </row>
    <row r="1332" spans="1:17" s="5" customFormat="1" ht="15" hidden="1" customHeight="1">
      <c r="A1332" s="129">
        <v>7302</v>
      </c>
      <c r="B1332" s="129">
        <v>2124</v>
      </c>
      <c r="C1332" s="129">
        <v>0</v>
      </c>
      <c r="D1332" s="129">
        <v>278</v>
      </c>
      <c r="E1332" s="129" t="b">
        <v>1</v>
      </c>
      <c r="F1332" s="129" t="b">
        <v>0</v>
      </c>
      <c r="G1332" s="129" t="s">
        <v>2993</v>
      </c>
      <c r="H1332" s="129" t="s">
        <v>2898</v>
      </c>
      <c r="I1332" s="129" t="s">
        <v>2851</v>
      </c>
      <c r="J1332" s="129"/>
      <c r="K1332" s="129"/>
      <c r="L1332" s="129" t="s">
        <v>2994</v>
      </c>
      <c r="M1332" s="129" t="s">
        <v>2852</v>
      </c>
      <c r="N1332" s="129"/>
      <c r="O1332" s="129" t="s">
        <v>3004</v>
      </c>
      <c r="Q1332" s="129" t="b">
        <v>0</v>
      </c>
    </row>
    <row r="1333" spans="1:17" s="5" customFormat="1" ht="15" hidden="1" customHeight="1">
      <c r="A1333" s="129">
        <v>7303</v>
      </c>
      <c r="B1333" s="129">
        <v>2125</v>
      </c>
      <c r="C1333" s="129">
        <v>0</v>
      </c>
      <c r="D1333" s="129">
        <v>279</v>
      </c>
      <c r="E1333" s="129" t="b">
        <v>1</v>
      </c>
      <c r="F1333" s="129" t="b">
        <v>0</v>
      </c>
      <c r="G1333" s="129" t="s">
        <v>2993</v>
      </c>
      <c r="H1333" s="129" t="s">
        <v>2898</v>
      </c>
      <c r="I1333" s="129" t="s">
        <v>2854</v>
      </c>
      <c r="J1333" s="129"/>
      <c r="K1333" s="129"/>
      <c r="L1333" s="129" t="s">
        <v>2994</v>
      </c>
      <c r="M1333" s="129" t="s">
        <v>2855</v>
      </c>
      <c r="N1333" s="129"/>
      <c r="O1333" s="129" t="s">
        <v>3005</v>
      </c>
      <c r="Q1333" s="129" t="b">
        <v>0</v>
      </c>
    </row>
    <row r="1334" spans="1:17" s="5" customFormat="1" ht="15" hidden="1" customHeight="1">
      <c r="A1334" s="129">
        <v>7304</v>
      </c>
      <c r="B1334" s="129">
        <v>2126</v>
      </c>
      <c r="C1334" s="129">
        <v>0</v>
      </c>
      <c r="D1334" s="129">
        <v>280</v>
      </c>
      <c r="E1334" s="129" t="b">
        <v>1</v>
      </c>
      <c r="F1334" s="129" t="b">
        <v>0</v>
      </c>
      <c r="G1334" s="129" t="s">
        <v>2993</v>
      </c>
      <c r="H1334" s="129" t="s">
        <v>2898</v>
      </c>
      <c r="I1334" s="129" t="s">
        <v>2857</v>
      </c>
      <c r="J1334" s="129"/>
      <c r="K1334" s="129"/>
      <c r="L1334" s="129" t="s">
        <v>2994</v>
      </c>
      <c r="M1334" s="129" t="s">
        <v>2858</v>
      </c>
      <c r="N1334" s="129"/>
      <c r="O1334" s="129" t="s">
        <v>3006</v>
      </c>
      <c r="Q1334" s="129" t="b">
        <v>0</v>
      </c>
    </row>
    <row r="1335" spans="1:17" s="5" customFormat="1" ht="15" hidden="1" customHeight="1">
      <c r="A1335" s="129">
        <v>7312</v>
      </c>
      <c r="B1335" s="129">
        <v>2127</v>
      </c>
      <c r="C1335" s="129">
        <v>0</v>
      </c>
      <c r="D1335" s="129">
        <v>176</v>
      </c>
      <c r="E1335" s="129" t="b">
        <v>1</v>
      </c>
      <c r="F1335" s="129" t="b">
        <v>0</v>
      </c>
      <c r="G1335" s="129" t="s">
        <v>2993</v>
      </c>
      <c r="H1335" s="129" t="s">
        <v>2899</v>
      </c>
      <c r="I1335" s="129" t="s">
        <v>68</v>
      </c>
      <c r="J1335" s="129"/>
      <c r="K1335" s="129"/>
      <c r="L1335" s="129" t="s">
        <v>2994</v>
      </c>
      <c r="M1335" s="129" t="s">
        <v>2868</v>
      </c>
      <c r="N1335" s="129"/>
      <c r="O1335" s="129" t="s">
        <v>3010</v>
      </c>
      <c r="Q1335" s="129" t="b">
        <v>0</v>
      </c>
    </row>
    <row r="1336" spans="1:17" s="5" customFormat="1" ht="15" hidden="1" customHeight="1">
      <c r="A1336" s="129">
        <v>7311</v>
      </c>
      <c r="B1336" s="129">
        <v>2128</v>
      </c>
      <c r="C1336" s="129">
        <v>0</v>
      </c>
      <c r="D1336" s="129">
        <v>283</v>
      </c>
      <c r="E1336" s="129" t="b">
        <v>1</v>
      </c>
      <c r="F1336" s="129" t="b">
        <v>0</v>
      </c>
      <c r="G1336" s="129" t="s">
        <v>2993</v>
      </c>
      <c r="H1336" s="129" t="s">
        <v>2899</v>
      </c>
      <c r="I1336" s="129" t="s">
        <v>2870</v>
      </c>
      <c r="J1336" s="129"/>
      <c r="K1336" s="129"/>
      <c r="L1336" s="129" t="s">
        <v>2994</v>
      </c>
      <c r="M1336" s="129" t="s">
        <v>75</v>
      </c>
      <c r="N1336" s="129"/>
      <c r="O1336" s="129" t="s">
        <v>3011</v>
      </c>
      <c r="Q1336" s="129" t="b">
        <v>0</v>
      </c>
    </row>
    <row r="1337" spans="1:17" s="5" customFormat="1" ht="15" hidden="1" customHeight="1">
      <c r="A1337" s="129">
        <v>7323</v>
      </c>
      <c r="B1337" s="129">
        <v>2129</v>
      </c>
      <c r="C1337" s="129">
        <v>0</v>
      </c>
      <c r="D1337" s="129">
        <v>164</v>
      </c>
      <c r="E1337" s="129" t="b">
        <v>1</v>
      </c>
      <c r="F1337" s="129" t="b">
        <v>0</v>
      </c>
      <c r="G1337" s="129" t="s">
        <v>2993</v>
      </c>
      <c r="H1337" s="129" t="s">
        <v>2900</v>
      </c>
      <c r="I1337" s="129" t="s">
        <v>2873</v>
      </c>
      <c r="J1337" s="129"/>
      <c r="K1337" s="129"/>
      <c r="L1337" s="129" t="s">
        <v>2994</v>
      </c>
      <c r="M1337" s="129" t="s">
        <v>2874</v>
      </c>
      <c r="N1337" s="129"/>
      <c r="O1337" s="129" t="s">
        <v>3012</v>
      </c>
      <c r="Q1337" s="129" t="b">
        <v>0</v>
      </c>
    </row>
    <row r="1338" spans="1:17" s="5" customFormat="1" ht="15" hidden="1" customHeight="1">
      <c r="A1338" s="129">
        <v>7321</v>
      </c>
      <c r="B1338" s="129">
        <v>2130</v>
      </c>
      <c r="C1338" s="129">
        <v>0</v>
      </c>
      <c r="D1338" s="129">
        <v>284</v>
      </c>
      <c r="E1338" s="129" t="b">
        <v>1</v>
      </c>
      <c r="F1338" s="129" t="b">
        <v>0</v>
      </c>
      <c r="G1338" s="129" t="s">
        <v>2993</v>
      </c>
      <c r="H1338" s="129" t="s">
        <v>2900</v>
      </c>
      <c r="I1338" s="129" t="s">
        <v>2876</v>
      </c>
      <c r="J1338" s="129"/>
      <c r="K1338" s="129"/>
      <c r="L1338" s="129" t="s">
        <v>2994</v>
      </c>
      <c r="M1338" s="129" t="s">
        <v>2877</v>
      </c>
      <c r="N1338" s="129"/>
      <c r="O1338" s="129" t="s">
        <v>3013</v>
      </c>
      <c r="Q1338" s="129" t="b">
        <v>0</v>
      </c>
    </row>
    <row r="1339" spans="1:17" s="5" customFormat="1" ht="15" hidden="1" customHeight="1">
      <c r="A1339" s="129">
        <v>7322</v>
      </c>
      <c r="B1339" s="129">
        <v>2131</v>
      </c>
      <c r="C1339" s="129">
        <v>0</v>
      </c>
      <c r="D1339" s="129">
        <v>285</v>
      </c>
      <c r="E1339" s="129" t="b">
        <v>1</v>
      </c>
      <c r="F1339" s="129" t="b">
        <v>0</v>
      </c>
      <c r="G1339" s="129" t="s">
        <v>2993</v>
      </c>
      <c r="H1339" s="129" t="s">
        <v>2900</v>
      </c>
      <c r="I1339" s="129" t="s">
        <v>3014</v>
      </c>
      <c r="J1339" s="129"/>
      <c r="K1339" s="129"/>
      <c r="L1339" s="129" t="s">
        <v>2994</v>
      </c>
      <c r="M1339" s="129" t="s">
        <v>2880</v>
      </c>
      <c r="N1339" s="129"/>
      <c r="O1339" s="129" t="s">
        <v>3015</v>
      </c>
      <c r="Q1339" s="129" t="b">
        <v>0</v>
      </c>
    </row>
    <row r="1340" spans="1:17" s="5" customFormat="1" ht="15" hidden="1" customHeight="1">
      <c r="A1340" s="129">
        <v>7334</v>
      </c>
      <c r="B1340" s="129">
        <v>2132</v>
      </c>
      <c r="C1340" s="129">
        <v>0</v>
      </c>
      <c r="D1340" s="129">
        <v>164</v>
      </c>
      <c r="E1340" s="129" t="b">
        <v>1</v>
      </c>
      <c r="F1340" s="129" t="b">
        <v>0</v>
      </c>
      <c r="G1340" s="129" t="s">
        <v>2993</v>
      </c>
      <c r="H1340" s="129" t="s">
        <v>2901</v>
      </c>
      <c r="I1340" s="129" t="s">
        <v>78</v>
      </c>
      <c r="J1340" s="129"/>
      <c r="K1340" s="129"/>
      <c r="L1340" s="129" t="s">
        <v>2994</v>
      </c>
      <c r="M1340" s="129" t="s">
        <v>2883</v>
      </c>
      <c r="N1340" s="129"/>
      <c r="O1340" s="129" t="s">
        <v>3016</v>
      </c>
      <c r="Q1340" s="129" t="b">
        <v>0</v>
      </c>
    </row>
    <row r="1341" spans="1:17" s="5" customFormat="1" ht="15" hidden="1" customHeight="1">
      <c r="A1341" s="129">
        <v>7331</v>
      </c>
      <c r="B1341" s="129">
        <v>2133</v>
      </c>
      <c r="C1341" s="129">
        <v>0</v>
      </c>
      <c r="D1341" s="129">
        <v>286</v>
      </c>
      <c r="E1341" s="129" t="b">
        <v>1</v>
      </c>
      <c r="F1341" s="129" t="b">
        <v>0</v>
      </c>
      <c r="G1341" s="129" t="s">
        <v>2993</v>
      </c>
      <c r="H1341" s="129" t="s">
        <v>2901</v>
      </c>
      <c r="I1341" s="129" t="s">
        <v>2885</v>
      </c>
      <c r="J1341" s="129"/>
      <c r="K1341" s="129"/>
      <c r="L1341" s="129" t="s">
        <v>2994</v>
      </c>
      <c r="M1341" s="129" t="s">
        <v>2886</v>
      </c>
      <c r="N1341" s="129"/>
      <c r="O1341" s="129" t="s">
        <v>3017</v>
      </c>
      <c r="Q1341" s="129" t="b">
        <v>0</v>
      </c>
    </row>
    <row r="1342" spans="1:17" s="203" customFormat="1" ht="15" hidden="1" customHeight="1">
      <c r="A1342" s="91">
        <v>7332</v>
      </c>
      <c r="B1342" s="91">
        <v>2134</v>
      </c>
      <c r="C1342" s="91">
        <v>0</v>
      </c>
      <c r="D1342" s="91">
        <v>287</v>
      </c>
      <c r="E1342" s="91" t="b">
        <v>1</v>
      </c>
      <c r="F1342" s="91" t="b">
        <v>0</v>
      </c>
      <c r="G1342" s="91" t="s">
        <v>2993</v>
      </c>
      <c r="H1342" s="91" t="s">
        <v>2901</v>
      </c>
      <c r="I1342" s="138" t="s">
        <v>2888</v>
      </c>
      <c r="J1342" s="91"/>
      <c r="K1342" s="91"/>
      <c r="L1342" s="91" t="s">
        <v>2994</v>
      </c>
      <c r="M1342" s="91" t="s">
        <v>2889</v>
      </c>
      <c r="N1342" s="91"/>
      <c r="O1342" s="91" t="s">
        <v>3018</v>
      </c>
      <c r="Q1342" s="91" t="b">
        <v>0</v>
      </c>
    </row>
    <row r="1343" spans="1:17" s="5" customFormat="1" ht="15" hidden="1" customHeight="1">
      <c r="A1343" s="129">
        <v>7333</v>
      </c>
      <c r="B1343" s="129">
        <v>2135</v>
      </c>
      <c r="C1343" s="129">
        <v>0</v>
      </c>
      <c r="D1343" s="129">
        <v>288</v>
      </c>
      <c r="E1343" s="129" t="b">
        <v>1</v>
      </c>
      <c r="F1343" s="129" t="b">
        <v>0</v>
      </c>
      <c r="G1343" s="129" t="s">
        <v>2993</v>
      </c>
      <c r="H1343" s="129" t="s">
        <v>2901</v>
      </c>
      <c r="I1343" s="129" t="s">
        <v>2891</v>
      </c>
      <c r="J1343" s="129"/>
      <c r="K1343" s="129"/>
      <c r="L1343" s="129" t="s">
        <v>2994</v>
      </c>
      <c r="M1343" s="129" t="s">
        <v>2892</v>
      </c>
      <c r="N1343" s="129"/>
      <c r="O1343" s="129" t="s">
        <v>3019</v>
      </c>
      <c r="Q1343" s="129" t="b">
        <v>0</v>
      </c>
    </row>
    <row r="1344" spans="1:17" s="5" customFormat="1" ht="15" hidden="1" customHeight="1">
      <c r="A1344" s="129">
        <v>7343</v>
      </c>
      <c r="B1344" s="129">
        <v>2136</v>
      </c>
      <c r="C1344" s="129">
        <v>0</v>
      </c>
      <c r="D1344" s="129">
        <v>164</v>
      </c>
      <c r="E1344" s="129" t="b">
        <v>1</v>
      </c>
      <c r="F1344" s="129" t="b">
        <v>0</v>
      </c>
      <c r="G1344" s="129" t="s">
        <v>2993</v>
      </c>
      <c r="H1344" s="129" t="s">
        <v>2902</v>
      </c>
      <c r="I1344" s="129" t="s">
        <v>160</v>
      </c>
      <c r="J1344" s="129"/>
      <c r="K1344" s="129"/>
      <c r="L1344" s="129" t="s">
        <v>2994</v>
      </c>
      <c r="M1344" s="129" t="s">
        <v>2903</v>
      </c>
      <c r="N1344" s="129"/>
      <c r="O1344" s="129" t="s">
        <v>3020</v>
      </c>
      <c r="Q1344" s="129" t="b">
        <v>0</v>
      </c>
    </row>
    <row r="1345" spans="1:17" s="5" customFormat="1" ht="15" hidden="1" customHeight="1">
      <c r="A1345" s="129">
        <v>7341</v>
      </c>
      <c r="B1345" s="129">
        <v>2137</v>
      </c>
      <c r="C1345" s="129">
        <v>0</v>
      </c>
      <c r="D1345" s="129">
        <v>289</v>
      </c>
      <c r="E1345" s="129" t="b">
        <v>1</v>
      </c>
      <c r="F1345" s="129" t="b">
        <v>0</v>
      </c>
      <c r="G1345" s="129" t="s">
        <v>2993</v>
      </c>
      <c r="H1345" s="129" t="s">
        <v>2902</v>
      </c>
      <c r="I1345" s="129" t="s">
        <v>2748</v>
      </c>
      <c r="J1345" s="129"/>
      <c r="K1345" s="129"/>
      <c r="L1345" s="129" t="s">
        <v>2994</v>
      </c>
      <c r="M1345" s="129" t="s">
        <v>2905</v>
      </c>
      <c r="N1345" s="129"/>
      <c r="O1345" s="129" t="s">
        <v>2748</v>
      </c>
      <c r="Q1345" s="129" t="b">
        <v>0</v>
      </c>
    </row>
    <row r="1346" spans="1:17" s="5" customFormat="1" ht="15" hidden="1" customHeight="1">
      <c r="A1346" s="129">
        <v>7342</v>
      </c>
      <c r="B1346" s="129">
        <v>2138</v>
      </c>
      <c r="C1346" s="129">
        <v>0</v>
      </c>
      <c r="D1346" s="129">
        <v>290</v>
      </c>
      <c r="E1346" s="129" t="b">
        <v>1</v>
      </c>
      <c r="F1346" s="129" t="b">
        <v>0</v>
      </c>
      <c r="G1346" s="129" t="s">
        <v>2993</v>
      </c>
      <c r="H1346" s="129" t="s">
        <v>2902</v>
      </c>
      <c r="I1346" s="129" t="s">
        <v>2907</v>
      </c>
      <c r="J1346" s="129"/>
      <c r="K1346" s="129"/>
      <c r="L1346" s="129" t="s">
        <v>2994</v>
      </c>
      <c r="M1346" s="129" t="s">
        <v>2908</v>
      </c>
      <c r="N1346" s="129"/>
      <c r="O1346" s="129" t="s">
        <v>3021</v>
      </c>
      <c r="Q1346" s="129" t="b">
        <v>0</v>
      </c>
    </row>
    <row r="1347" spans="1:17" s="5" customFormat="1" ht="15" hidden="1" customHeight="1">
      <c r="A1347" s="129">
        <v>7354</v>
      </c>
      <c r="B1347" s="129">
        <v>2139</v>
      </c>
      <c r="C1347" s="129">
        <v>0</v>
      </c>
      <c r="D1347" s="129">
        <v>164</v>
      </c>
      <c r="E1347" s="129" t="b">
        <v>1</v>
      </c>
      <c r="F1347" s="129" t="b">
        <v>0</v>
      </c>
      <c r="G1347" s="129" t="s">
        <v>2993</v>
      </c>
      <c r="H1347" s="129" t="s">
        <v>2910</v>
      </c>
      <c r="I1347" s="129" t="s">
        <v>101</v>
      </c>
      <c r="J1347" s="129"/>
      <c r="K1347" s="129"/>
      <c r="L1347" s="129" t="s">
        <v>2994</v>
      </c>
      <c r="M1347" s="129" t="s">
        <v>2911</v>
      </c>
      <c r="N1347" s="129"/>
      <c r="O1347" s="129" t="s">
        <v>3022</v>
      </c>
      <c r="Q1347" s="129" t="b">
        <v>0</v>
      </c>
    </row>
    <row r="1348" spans="1:17" s="5" customFormat="1" ht="15" hidden="1" customHeight="1">
      <c r="A1348" s="129">
        <v>7351</v>
      </c>
      <c r="B1348" s="129">
        <v>2140</v>
      </c>
      <c r="C1348" s="129">
        <v>0</v>
      </c>
      <c r="D1348" s="129">
        <v>275</v>
      </c>
      <c r="E1348" s="129" t="b">
        <v>1</v>
      </c>
      <c r="F1348" s="129" t="b">
        <v>0</v>
      </c>
      <c r="G1348" s="129" t="s">
        <v>2993</v>
      </c>
      <c r="H1348" s="129" t="s">
        <v>2910</v>
      </c>
      <c r="I1348" s="5" t="s">
        <v>3000</v>
      </c>
      <c r="J1348" s="129"/>
      <c r="K1348" s="129"/>
      <c r="L1348" s="129" t="s">
        <v>2994</v>
      </c>
      <c r="M1348" s="129" t="s">
        <v>2830</v>
      </c>
      <c r="N1348" s="129"/>
      <c r="O1348" s="129" t="s">
        <v>3000</v>
      </c>
      <c r="Q1348" s="129" t="b">
        <v>0</v>
      </c>
    </row>
    <row r="1349" spans="1:17" s="5" customFormat="1" ht="15" hidden="1" customHeight="1">
      <c r="A1349" s="129">
        <v>7352</v>
      </c>
      <c r="B1349" s="129">
        <v>2141</v>
      </c>
      <c r="C1349" s="129">
        <v>0</v>
      </c>
      <c r="D1349" s="129">
        <v>277</v>
      </c>
      <c r="E1349" s="129" t="b">
        <v>1</v>
      </c>
      <c r="F1349" s="129" t="b">
        <v>0</v>
      </c>
      <c r="G1349" s="129" t="s">
        <v>2993</v>
      </c>
      <c r="H1349" s="129" t="s">
        <v>2910</v>
      </c>
      <c r="I1349" s="129" t="s">
        <v>2835</v>
      </c>
      <c r="J1349" s="129"/>
      <c r="K1349" s="129"/>
      <c r="L1349" s="129" t="s">
        <v>2994</v>
      </c>
      <c r="M1349" s="129" t="s">
        <v>2836</v>
      </c>
      <c r="N1349" s="129"/>
      <c r="O1349" s="129" t="s">
        <v>3002</v>
      </c>
      <c r="Q1349" s="129" t="b">
        <v>0</v>
      </c>
    </row>
    <row r="1350" spans="1:17" s="5" customFormat="1" ht="15" hidden="1" customHeight="1">
      <c r="A1350" s="129">
        <v>7353</v>
      </c>
      <c r="B1350" s="129">
        <v>2142</v>
      </c>
      <c r="C1350" s="129">
        <v>0</v>
      </c>
      <c r="D1350" s="129">
        <v>291</v>
      </c>
      <c r="E1350" s="129" t="b">
        <v>1</v>
      </c>
      <c r="F1350" s="129" t="b">
        <v>0</v>
      </c>
      <c r="G1350" s="129" t="s">
        <v>2993</v>
      </c>
      <c r="H1350" s="129" t="s">
        <v>2910</v>
      </c>
      <c r="I1350" s="129" t="s">
        <v>110</v>
      </c>
      <c r="J1350" s="129"/>
      <c r="K1350" s="129"/>
      <c r="L1350" s="129" t="s">
        <v>2994</v>
      </c>
      <c r="M1350" s="129" t="s">
        <v>2913</v>
      </c>
      <c r="N1350" s="129"/>
      <c r="O1350" s="129" t="s">
        <v>3023</v>
      </c>
      <c r="Q1350" s="129" t="b">
        <v>0</v>
      </c>
    </row>
    <row r="1351" spans="1:17" s="5" customFormat="1" ht="15" hidden="1" customHeight="1">
      <c r="A1351" s="129">
        <v>7362</v>
      </c>
      <c r="B1351" s="129">
        <v>2143</v>
      </c>
      <c r="C1351" s="129">
        <v>0</v>
      </c>
      <c r="D1351" s="129">
        <v>164</v>
      </c>
      <c r="E1351" s="129" t="b">
        <v>1</v>
      </c>
      <c r="F1351" s="129" t="b">
        <v>0</v>
      </c>
      <c r="G1351" s="129" t="s">
        <v>2993</v>
      </c>
      <c r="H1351" s="129" t="s">
        <v>2921</v>
      </c>
      <c r="I1351" s="129" t="s">
        <v>114</v>
      </c>
      <c r="J1351" s="129"/>
      <c r="K1351" s="129"/>
      <c r="L1351" s="129" t="s">
        <v>2994</v>
      </c>
      <c r="M1351" s="129" t="s">
        <v>2922</v>
      </c>
      <c r="N1351" s="129"/>
      <c r="O1351" s="129" t="s">
        <v>3024</v>
      </c>
      <c r="Q1351" s="129" t="b">
        <v>0</v>
      </c>
    </row>
    <row r="1352" spans="1:17" s="5" customFormat="1" ht="15" hidden="1" customHeight="1">
      <c r="A1352" s="129">
        <v>7361</v>
      </c>
      <c r="B1352" s="129">
        <v>2144</v>
      </c>
      <c r="C1352" s="129">
        <v>0</v>
      </c>
      <c r="D1352" s="129">
        <v>292</v>
      </c>
      <c r="E1352" s="129" t="b">
        <v>1</v>
      </c>
      <c r="F1352" s="129" t="b">
        <v>0</v>
      </c>
      <c r="G1352" s="129" t="s">
        <v>2993</v>
      </c>
      <c r="H1352" s="129" t="s">
        <v>2921</v>
      </c>
      <c r="I1352" s="129" t="s">
        <v>3025</v>
      </c>
      <c r="J1352" s="129"/>
      <c r="K1352" s="129"/>
      <c r="L1352" s="129" t="s">
        <v>2994</v>
      </c>
      <c r="M1352" s="129" t="s">
        <v>2923</v>
      </c>
      <c r="N1352" s="129"/>
      <c r="O1352" s="129" t="s">
        <v>3026</v>
      </c>
      <c r="Q1352" s="129" t="b">
        <v>0</v>
      </c>
    </row>
    <row r="1353" spans="1:17" s="5" customFormat="1" ht="15" hidden="1" customHeight="1">
      <c r="A1353" s="129">
        <v>7401</v>
      </c>
      <c r="B1353" s="129">
        <v>2145</v>
      </c>
      <c r="C1353" s="129">
        <v>0</v>
      </c>
      <c r="D1353" s="129">
        <v>164</v>
      </c>
      <c r="E1353" s="129" t="b">
        <v>1</v>
      </c>
      <c r="F1353" s="129" t="b">
        <v>0</v>
      </c>
      <c r="G1353" s="129" t="s">
        <v>2993</v>
      </c>
      <c r="H1353" s="129" t="s">
        <v>2926</v>
      </c>
      <c r="I1353" s="129" t="s">
        <v>2927</v>
      </c>
      <c r="J1353" s="129">
        <v>40</v>
      </c>
      <c r="K1353" s="129"/>
      <c r="L1353" s="129" t="s">
        <v>2994</v>
      </c>
      <c r="M1353" s="129" t="s">
        <v>2928</v>
      </c>
      <c r="N1353" s="129"/>
      <c r="O1353" s="129" t="s">
        <v>2929</v>
      </c>
      <c r="Q1353" s="129" t="b">
        <v>0</v>
      </c>
    </row>
    <row r="1354" spans="1:17" s="5" customFormat="1" ht="15" hidden="1" customHeight="1">
      <c r="A1354" s="129">
        <v>7405</v>
      </c>
      <c r="B1354" s="129">
        <v>2146</v>
      </c>
      <c r="C1354" s="129">
        <v>0</v>
      </c>
      <c r="D1354" s="129">
        <v>164</v>
      </c>
      <c r="E1354" s="129" t="b">
        <v>1</v>
      </c>
      <c r="F1354" s="129" t="b">
        <v>0</v>
      </c>
      <c r="G1354" s="129" t="s">
        <v>2993</v>
      </c>
      <c r="H1354" s="129" t="s">
        <v>2930</v>
      </c>
      <c r="I1354" s="129" t="s">
        <v>49</v>
      </c>
      <c r="J1354" s="129"/>
      <c r="K1354" s="129"/>
      <c r="L1354" s="129" t="s">
        <v>2994</v>
      </c>
      <c r="M1354" s="129" t="s">
        <v>2849</v>
      </c>
      <c r="N1354" s="129"/>
      <c r="O1354" s="129" t="s">
        <v>3003</v>
      </c>
      <c r="Q1354" s="129" t="b">
        <v>0</v>
      </c>
    </row>
    <row r="1355" spans="1:17" s="5" customFormat="1" ht="15" hidden="1" customHeight="1">
      <c r="A1355" s="129">
        <v>7402</v>
      </c>
      <c r="B1355" s="129">
        <v>2147</v>
      </c>
      <c r="C1355" s="129">
        <v>0</v>
      </c>
      <c r="D1355" s="129">
        <v>278</v>
      </c>
      <c r="E1355" s="129" t="b">
        <v>1</v>
      </c>
      <c r="F1355" s="129" t="b">
        <v>0</v>
      </c>
      <c r="G1355" s="129" t="s">
        <v>2993</v>
      </c>
      <c r="H1355" s="129" t="s">
        <v>2930</v>
      </c>
      <c r="I1355" s="129" t="s">
        <v>2851</v>
      </c>
      <c r="J1355" s="129"/>
      <c r="K1355" s="129"/>
      <c r="L1355" s="129" t="s">
        <v>2994</v>
      </c>
      <c r="M1355" s="129" t="s">
        <v>2852</v>
      </c>
      <c r="N1355" s="129"/>
      <c r="O1355" s="129" t="s">
        <v>3004</v>
      </c>
      <c r="Q1355" s="129" t="b">
        <v>0</v>
      </c>
    </row>
    <row r="1356" spans="1:17" s="5" customFormat="1" ht="15" hidden="1" customHeight="1">
      <c r="A1356" s="129">
        <v>7403</v>
      </c>
      <c r="B1356" s="129">
        <v>2148</v>
      </c>
      <c r="C1356" s="129">
        <v>0</v>
      </c>
      <c r="D1356" s="129">
        <v>279</v>
      </c>
      <c r="E1356" s="129" t="b">
        <v>1</v>
      </c>
      <c r="F1356" s="129" t="b">
        <v>0</v>
      </c>
      <c r="G1356" s="129" t="s">
        <v>2993</v>
      </c>
      <c r="H1356" s="129" t="s">
        <v>2930</v>
      </c>
      <c r="I1356" s="129" t="s">
        <v>2854</v>
      </c>
      <c r="J1356" s="129"/>
      <c r="K1356" s="129"/>
      <c r="L1356" s="129" t="s">
        <v>2994</v>
      </c>
      <c r="M1356" s="129" t="s">
        <v>2855</v>
      </c>
      <c r="N1356" s="129"/>
      <c r="O1356" s="129" t="s">
        <v>3005</v>
      </c>
      <c r="Q1356" s="129" t="b">
        <v>0</v>
      </c>
    </row>
    <row r="1357" spans="1:17" s="5" customFormat="1" ht="15" hidden="1" customHeight="1">
      <c r="A1357" s="129">
        <v>7404</v>
      </c>
      <c r="B1357" s="129">
        <v>2149</v>
      </c>
      <c r="C1357" s="129">
        <v>0</v>
      </c>
      <c r="D1357" s="129">
        <v>280</v>
      </c>
      <c r="E1357" s="129" t="b">
        <v>1</v>
      </c>
      <c r="F1357" s="129" t="b">
        <v>0</v>
      </c>
      <c r="G1357" s="129" t="s">
        <v>2993</v>
      </c>
      <c r="H1357" s="129" t="s">
        <v>2930</v>
      </c>
      <c r="I1357" s="129" t="s">
        <v>2857</v>
      </c>
      <c r="J1357" s="129"/>
      <c r="K1357" s="129"/>
      <c r="L1357" s="129" t="s">
        <v>2994</v>
      </c>
      <c r="M1357" s="129" t="s">
        <v>2858</v>
      </c>
      <c r="N1357" s="129"/>
      <c r="O1357" s="129" t="s">
        <v>3006</v>
      </c>
      <c r="Q1357" s="129" t="b">
        <v>0</v>
      </c>
    </row>
    <row r="1358" spans="1:17" s="5" customFormat="1" ht="15" hidden="1" customHeight="1">
      <c r="A1358" s="129">
        <v>7412</v>
      </c>
      <c r="B1358" s="129">
        <v>2150</v>
      </c>
      <c r="C1358" s="129">
        <v>0</v>
      </c>
      <c r="D1358" s="129">
        <v>176</v>
      </c>
      <c r="E1358" s="129" t="b">
        <v>1</v>
      </c>
      <c r="F1358" s="129" t="b">
        <v>0</v>
      </c>
      <c r="G1358" s="129" t="s">
        <v>2993</v>
      </c>
      <c r="H1358" s="129" t="s">
        <v>2931</v>
      </c>
      <c r="I1358" s="129" t="s">
        <v>68</v>
      </c>
      <c r="J1358" s="129"/>
      <c r="K1358" s="129"/>
      <c r="L1358" s="129" t="s">
        <v>2994</v>
      </c>
      <c r="M1358" s="129" t="s">
        <v>2868</v>
      </c>
      <c r="N1358" s="129"/>
      <c r="O1358" s="129" t="s">
        <v>3010</v>
      </c>
      <c r="Q1358" s="129" t="b">
        <v>0</v>
      </c>
    </row>
    <row r="1359" spans="1:17" s="5" customFormat="1" ht="15" hidden="1" customHeight="1">
      <c r="A1359" s="129">
        <v>7411</v>
      </c>
      <c r="B1359" s="129">
        <v>2151</v>
      </c>
      <c r="C1359" s="129">
        <v>0</v>
      </c>
      <c r="D1359" s="129">
        <v>283</v>
      </c>
      <c r="E1359" s="129" t="b">
        <v>1</v>
      </c>
      <c r="F1359" s="129" t="b">
        <v>0</v>
      </c>
      <c r="G1359" s="129" t="s">
        <v>2993</v>
      </c>
      <c r="H1359" s="129" t="s">
        <v>2931</v>
      </c>
      <c r="I1359" s="129" t="s">
        <v>2870</v>
      </c>
      <c r="J1359" s="129"/>
      <c r="K1359" s="129"/>
      <c r="L1359" s="129" t="s">
        <v>2994</v>
      </c>
      <c r="M1359" s="129" t="s">
        <v>75</v>
      </c>
      <c r="N1359" s="129"/>
      <c r="O1359" s="129" t="s">
        <v>3011</v>
      </c>
      <c r="Q1359" s="129" t="b">
        <v>0</v>
      </c>
    </row>
    <row r="1360" spans="1:17" s="5" customFormat="1" ht="15" hidden="1" customHeight="1">
      <c r="A1360" s="129">
        <v>7423</v>
      </c>
      <c r="B1360" s="129">
        <v>2152</v>
      </c>
      <c r="C1360" s="129">
        <v>0</v>
      </c>
      <c r="D1360" s="129">
        <v>164</v>
      </c>
      <c r="E1360" s="129" t="b">
        <v>1</v>
      </c>
      <c r="F1360" s="129" t="b">
        <v>0</v>
      </c>
      <c r="G1360" s="129" t="s">
        <v>2993</v>
      </c>
      <c r="H1360" s="129" t="s">
        <v>2932</v>
      </c>
      <c r="I1360" s="129" t="s">
        <v>2873</v>
      </c>
      <c r="J1360" s="129"/>
      <c r="K1360" s="129"/>
      <c r="L1360" s="129" t="s">
        <v>2994</v>
      </c>
      <c r="M1360" s="129" t="s">
        <v>2874</v>
      </c>
      <c r="N1360" s="129"/>
      <c r="O1360" s="129" t="s">
        <v>3012</v>
      </c>
      <c r="Q1360" s="129" t="b">
        <v>0</v>
      </c>
    </row>
    <row r="1361" spans="1:17" s="5" customFormat="1" ht="15" hidden="1" customHeight="1">
      <c r="A1361" s="129">
        <v>7421</v>
      </c>
      <c r="B1361" s="129">
        <v>2153</v>
      </c>
      <c r="C1361" s="129">
        <v>0</v>
      </c>
      <c r="D1361" s="129">
        <v>284</v>
      </c>
      <c r="E1361" s="129" t="b">
        <v>1</v>
      </c>
      <c r="F1361" s="129" t="b">
        <v>0</v>
      </c>
      <c r="G1361" s="129" t="s">
        <v>2993</v>
      </c>
      <c r="H1361" s="129" t="s">
        <v>2932</v>
      </c>
      <c r="I1361" s="129" t="s">
        <v>2876</v>
      </c>
      <c r="J1361" s="129"/>
      <c r="K1361" s="129"/>
      <c r="L1361" s="129" t="s">
        <v>2994</v>
      </c>
      <c r="M1361" s="129" t="s">
        <v>2877</v>
      </c>
      <c r="N1361" s="129"/>
      <c r="O1361" s="129" t="s">
        <v>3013</v>
      </c>
      <c r="Q1361" s="129" t="b">
        <v>0</v>
      </c>
    </row>
    <row r="1362" spans="1:17" s="5" customFormat="1" ht="15" hidden="1" customHeight="1">
      <c r="A1362" s="129">
        <v>7422</v>
      </c>
      <c r="B1362" s="129">
        <v>2154</v>
      </c>
      <c r="C1362" s="129">
        <v>0</v>
      </c>
      <c r="D1362" s="129">
        <v>285</v>
      </c>
      <c r="E1362" s="129" t="b">
        <v>1</v>
      </c>
      <c r="F1362" s="129" t="b">
        <v>0</v>
      </c>
      <c r="G1362" s="129" t="s">
        <v>2993</v>
      </c>
      <c r="H1362" s="129" t="s">
        <v>2932</v>
      </c>
      <c r="I1362" s="129" t="s">
        <v>3014</v>
      </c>
      <c r="J1362" s="129"/>
      <c r="K1362" s="129"/>
      <c r="L1362" s="129" t="s">
        <v>2994</v>
      </c>
      <c r="M1362" s="129" t="s">
        <v>2880</v>
      </c>
      <c r="N1362" s="129"/>
      <c r="O1362" s="129" t="s">
        <v>3015</v>
      </c>
      <c r="Q1362" s="129" t="b">
        <v>0</v>
      </c>
    </row>
    <row r="1363" spans="1:17" s="5" customFormat="1" ht="15" hidden="1" customHeight="1">
      <c r="A1363" s="129">
        <v>7433</v>
      </c>
      <c r="B1363" s="129">
        <v>2155</v>
      </c>
      <c r="C1363" s="129">
        <v>0</v>
      </c>
      <c r="D1363" s="129">
        <v>164</v>
      </c>
      <c r="E1363" s="129" t="b">
        <v>1</v>
      </c>
      <c r="F1363" s="129" t="b">
        <v>0</v>
      </c>
      <c r="G1363" s="129" t="s">
        <v>2993</v>
      </c>
      <c r="H1363" s="129" t="s">
        <v>2933</v>
      </c>
      <c r="I1363" s="129" t="s">
        <v>160</v>
      </c>
      <c r="J1363" s="129"/>
      <c r="K1363" s="129"/>
      <c r="L1363" s="129" t="s">
        <v>2994</v>
      </c>
      <c r="M1363" s="129" t="s">
        <v>2903</v>
      </c>
      <c r="N1363" s="129"/>
      <c r="O1363" s="129" t="s">
        <v>3020</v>
      </c>
      <c r="Q1363" s="129" t="b">
        <v>0</v>
      </c>
    </row>
    <row r="1364" spans="1:17" s="5" customFormat="1" ht="15" hidden="1" customHeight="1">
      <c r="A1364" s="129">
        <v>7431</v>
      </c>
      <c r="B1364" s="129">
        <v>2156</v>
      </c>
      <c r="C1364" s="129">
        <v>0</v>
      </c>
      <c r="D1364" s="129">
        <v>289</v>
      </c>
      <c r="E1364" s="129" t="b">
        <v>1</v>
      </c>
      <c r="F1364" s="129" t="b">
        <v>0</v>
      </c>
      <c r="G1364" s="129" t="s">
        <v>2993</v>
      </c>
      <c r="H1364" s="129" t="s">
        <v>2933</v>
      </c>
      <c r="I1364" s="129" t="s">
        <v>2748</v>
      </c>
      <c r="J1364" s="129"/>
      <c r="K1364" s="129"/>
      <c r="L1364" s="129" t="s">
        <v>2994</v>
      </c>
      <c r="M1364" s="129" t="s">
        <v>2905</v>
      </c>
      <c r="N1364" s="129"/>
      <c r="O1364" s="129" t="s">
        <v>2748</v>
      </c>
      <c r="Q1364" s="129" t="b">
        <v>0</v>
      </c>
    </row>
    <row r="1365" spans="1:17" s="5" customFormat="1" ht="15" hidden="1" customHeight="1">
      <c r="A1365" s="129">
        <v>7432</v>
      </c>
      <c r="B1365" s="129">
        <v>2157</v>
      </c>
      <c r="C1365" s="129">
        <v>0</v>
      </c>
      <c r="D1365" s="129">
        <v>290</v>
      </c>
      <c r="E1365" s="129" t="b">
        <v>1</v>
      </c>
      <c r="F1365" s="129" t="b">
        <v>0</v>
      </c>
      <c r="G1365" s="129" t="s">
        <v>2993</v>
      </c>
      <c r="H1365" s="129" t="s">
        <v>2933</v>
      </c>
      <c r="I1365" s="129" t="s">
        <v>2907</v>
      </c>
      <c r="J1365" s="129"/>
      <c r="K1365" s="129"/>
      <c r="L1365" s="129" t="s">
        <v>2994</v>
      </c>
      <c r="M1365" s="129" t="s">
        <v>2908</v>
      </c>
      <c r="N1365" s="129"/>
      <c r="O1365" s="129" t="s">
        <v>3021</v>
      </c>
      <c r="Q1365" s="129" t="b">
        <v>0</v>
      </c>
    </row>
    <row r="1366" spans="1:17" s="5" customFormat="1" ht="15" hidden="1" customHeight="1">
      <c r="A1366" s="129">
        <v>7444</v>
      </c>
      <c r="B1366" s="129">
        <v>2158</v>
      </c>
      <c r="C1366" s="129">
        <v>0</v>
      </c>
      <c r="D1366" s="129">
        <v>164</v>
      </c>
      <c r="E1366" s="129" t="b">
        <v>1</v>
      </c>
      <c r="F1366" s="129" t="b">
        <v>0</v>
      </c>
      <c r="G1366" s="129" t="s">
        <v>2993</v>
      </c>
      <c r="H1366" s="129" t="s">
        <v>2934</v>
      </c>
      <c r="I1366" s="129" t="s">
        <v>101</v>
      </c>
      <c r="J1366" s="129"/>
      <c r="K1366" s="129"/>
      <c r="L1366" s="129" t="s">
        <v>2994</v>
      </c>
      <c r="M1366" s="129" t="s">
        <v>2911</v>
      </c>
      <c r="N1366" s="129"/>
      <c r="O1366" s="129" t="s">
        <v>3022</v>
      </c>
      <c r="Q1366" s="129" t="b">
        <v>0</v>
      </c>
    </row>
    <row r="1367" spans="1:17" s="5" customFormat="1" ht="15" hidden="1" customHeight="1">
      <c r="A1367" s="129">
        <v>7441</v>
      </c>
      <c r="B1367" s="129">
        <v>2159</v>
      </c>
      <c r="C1367" s="129">
        <v>0</v>
      </c>
      <c r="D1367" s="129">
        <v>275</v>
      </c>
      <c r="E1367" s="129" t="b">
        <v>1</v>
      </c>
      <c r="F1367" s="129" t="b">
        <v>0</v>
      </c>
      <c r="G1367" s="129" t="s">
        <v>2993</v>
      </c>
      <c r="H1367" s="129" t="s">
        <v>2934</v>
      </c>
      <c r="I1367" s="5" t="s">
        <v>3000</v>
      </c>
      <c r="J1367" s="129"/>
      <c r="K1367" s="129"/>
      <c r="L1367" s="129" t="s">
        <v>2994</v>
      </c>
      <c r="M1367" s="129" t="s">
        <v>2830</v>
      </c>
      <c r="N1367" s="129"/>
      <c r="O1367" s="129" t="s">
        <v>3000</v>
      </c>
      <c r="Q1367" s="129" t="b">
        <v>0</v>
      </c>
    </row>
    <row r="1368" spans="1:17" s="5" customFormat="1" ht="15" hidden="1" customHeight="1">
      <c r="A1368" s="129">
        <v>7442</v>
      </c>
      <c r="B1368" s="129">
        <v>2160</v>
      </c>
      <c r="C1368" s="129">
        <v>0</v>
      </c>
      <c r="D1368" s="129">
        <v>277</v>
      </c>
      <c r="E1368" s="129" t="b">
        <v>1</v>
      </c>
      <c r="F1368" s="129" t="b">
        <v>0</v>
      </c>
      <c r="G1368" s="129" t="s">
        <v>2993</v>
      </c>
      <c r="H1368" s="129" t="s">
        <v>2934</v>
      </c>
      <c r="I1368" s="129" t="s">
        <v>2835</v>
      </c>
      <c r="J1368" s="129"/>
      <c r="K1368" s="129"/>
      <c r="L1368" s="129" t="s">
        <v>2994</v>
      </c>
      <c r="M1368" s="129" t="s">
        <v>2836</v>
      </c>
      <c r="N1368" s="129"/>
      <c r="O1368" s="129" t="s">
        <v>3002</v>
      </c>
      <c r="Q1368" s="129" t="b">
        <v>0</v>
      </c>
    </row>
    <row r="1369" spans="1:17" s="5" customFormat="1" ht="15" hidden="1" customHeight="1">
      <c r="A1369" s="129">
        <v>7443</v>
      </c>
      <c r="B1369" s="129">
        <v>2161</v>
      </c>
      <c r="C1369" s="129">
        <v>0</v>
      </c>
      <c r="D1369" s="129">
        <v>291</v>
      </c>
      <c r="E1369" s="129" t="b">
        <v>1</v>
      </c>
      <c r="F1369" s="129" t="b">
        <v>0</v>
      </c>
      <c r="G1369" s="129" t="s">
        <v>2993</v>
      </c>
      <c r="H1369" s="129" t="s">
        <v>2934</v>
      </c>
      <c r="I1369" s="129" t="s">
        <v>110</v>
      </c>
      <c r="J1369" s="129"/>
      <c r="K1369" s="129"/>
      <c r="L1369" s="129" t="s">
        <v>2994</v>
      </c>
      <c r="M1369" s="129" t="s">
        <v>2913</v>
      </c>
      <c r="N1369" s="129"/>
      <c r="O1369" s="129" t="s">
        <v>3023</v>
      </c>
      <c r="Q1369" s="129" t="b">
        <v>0</v>
      </c>
    </row>
    <row r="1370" spans="1:17" s="5" customFormat="1" ht="15" hidden="1" customHeight="1">
      <c r="A1370" s="129">
        <v>7473</v>
      </c>
      <c r="B1370" s="129">
        <v>2162</v>
      </c>
      <c r="C1370" s="129">
        <v>0</v>
      </c>
      <c r="D1370" s="129">
        <v>164</v>
      </c>
      <c r="E1370" s="129" t="b">
        <v>1</v>
      </c>
      <c r="F1370" s="129" t="b">
        <v>0</v>
      </c>
      <c r="G1370" s="129" t="s">
        <v>2993</v>
      </c>
      <c r="H1370" s="129" t="s">
        <v>2935</v>
      </c>
      <c r="I1370" s="129" t="s">
        <v>2936</v>
      </c>
      <c r="J1370" s="129"/>
      <c r="K1370" s="129"/>
      <c r="L1370" s="129" t="s">
        <v>2994</v>
      </c>
      <c r="M1370" s="129" t="s">
        <v>2937</v>
      </c>
      <c r="N1370" s="129"/>
      <c r="O1370" s="129" t="s">
        <v>3027</v>
      </c>
      <c r="Q1370" s="129" t="b">
        <v>0</v>
      </c>
    </row>
    <row r="1371" spans="1:17" s="5" customFormat="1" ht="15" hidden="1" customHeight="1">
      <c r="A1371" s="129">
        <v>7471</v>
      </c>
      <c r="B1371" s="129">
        <v>2163</v>
      </c>
      <c r="C1371" s="129">
        <v>0</v>
      </c>
      <c r="D1371" s="129">
        <v>239</v>
      </c>
      <c r="E1371" s="129" t="b">
        <v>1</v>
      </c>
      <c r="F1371" s="129" t="b">
        <v>0</v>
      </c>
      <c r="G1371" s="129" t="s">
        <v>2993</v>
      </c>
      <c r="H1371" s="129" t="s">
        <v>2935</v>
      </c>
      <c r="I1371" s="129" t="s">
        <v>3028</v>
      </c>
      <c r="J1371" s="129"/>
      <c r="K1371" s="129"/>
      <c r="L1371" s="129" t="s">
        <v>2994</v>
      </c>
      <c r="M1371" s="129" t="s">
        <v>3029</v>
      </c>
      <c r="N1371" s="129"/>
      <c r="O1371" s="129" t="s">
        <v>3030</v>
      </c>
      <c r="Q1371" s="129" t="b">
        <v>0</v>
      </c>
    </row>
    <row r="1372" spans="1:17" s="5" customFormat="1" ht="15" hidden="1" customHeight="1">
      <c r="A1372" s="129">
        <v>7472</v>
      </c>
      <c r="B1372" s="129">
        <v>2164</v>
      </c>
      <c r="C1372" s="129">
        <v>0</v>
      </c>
      <c r="D1372" s="129">
        <v>240</v>
      </c>
      <c r="E1372" s="129" t="b">
        <v>1</v>
      </c>
      <c r="F1372" s="129" t="b">
        <v>0</v>
      </c>
      <c r="G1372" s="129" t="s">
        <v>2993</v>
      </c>
      <c r="H1372" s="129" t="s">
        <v>2935</v>
      </c>
      <c r="I1372" s="129" t="s">
        <v>3031</v>
      </c>
      <c r="J1372" s="129"/>
      <c r="K1372" s="129"/>
      <c r="L1372" s="129" t="s">
        <v>2994</v>
      </c>
      <c r="M1372" s="129" t="s">
        <v>3032</v>
      </c>
      <c r="N1372" s="129"/>
      <c r="O1372" s="129" t="s">
        <v>3033</v>
      </c>
      <c r="Q1372" s="129" t="b">
        <v>0</v>
      </c>
    </row>
    <row r="1373" spans="1:17" s="5" customFormat="1" ht="15" hidden="1" customHeight="1">
      <c r="A1373" s="129">
        <v>7482</v>
      </c>
      <c r="B1373" s="129">
        <v>2165</v>
      </c>
      <c r="C1373" s="129">
        <v>0</v>
      </c>
      <c r="D1373" s="129">
        <v>164</v>
      </c>
      <c r="E1373" s="129" t="b">
        <v>1</v>
      </c>
      <c r="F1373" s="129" t="b">
        <v>0</v>
      </c>
      <c r="G1373" s="129" t="s">
        <v>2993</v>
      </c>
      <c r="H1373" s="129" t="s">
        <v>2942</v>
      </c>
      <c r="I1373" s="129" t="s">
        <v>2943</v>
      </c>
      <c r="J1373" s="129"/>
      <c r="K1373" s="129"/>
      <c r="L1373" s="129" t="s">
        <v>2994</v>
      </c>
      <c r="M1373" s="129" t="s">
        <v>2944</v>
      </c>
      <c r="N1373" s="129"/>
      <c r="O1373" s="129" t="s">
        <v>3034</v>
      </c>
      <c r="Q1373" s="129" t="b">
        <v>0</v>
      </c>
    </row>
    <row r="1374" spans="1:17" s="5" customFormat="1" ht="15" hidden="1" customHeight="1">
      <c r="A1374" s="129">
        <v>7481</v>
      </c>
      <c r="B1374" s="129">
        <v>2166</v>
      </c>
      <c r="C1374" s="129">
        <v>0</v>
      </c>
      <c r="D1374" s="129">
        <v>293</v>
      </c>
      <c r="E1374" s="129" t="b">
        <v>1</v>
      </c>
      <c r="F1374" s="129" t="b">
        <v>0</v>
      </c>
      <c r="G1374" s="129" t="s">
        <v>2993</v>
      </c>
      <c r="H1374" s="129" t="s">
        <v>2942</v>
      </c>
      <c r="I1374" s="129" t="s">
        <v>2946</v>
      </c>
      <c r="J1374" s="129"/>
      <c r="K1374" s="129"/>
      <c r="L1374" s="129" t="s">
        <v>2994</v>
      </c>
      <c r="M1374" s="129" t="s">
        <v>2947</v>
      </c>
      <c r="N1374" s="129"/>
      <c r="O1374" s="129" t="s">
        <v>3035</v>
      </c>
      <c r="Q1374" s="129" t="b">
        <v>0</v>
      </c>
    </row>
    <row r="1375" spans="1:17" s="5" customFormat="1" ht="15" hidden="1" customHeight="1">
      <c r="A1375" s="129">
        <v>7501</v>
      </c>
      <c r="B1375" s="129">
        <v>2167</v>
      </c>
      <c r="C1375" s="129">
        <v>0</v>
      </c>
      <c r="D1375" s="129">
        <v>164</v>
      </c>
      <c r="E1375" s="129" t="b">
        <v>1</v>
      </c>
      <c r="F1375" s="129" t="b">
        <v>0</v>
      </c>
      <c r="G1375" s="129" t="s">
        <v>2993</v>
      </c>
      <c r="H1375" s="129" t="s">
        <v>2949</v>
      </c>
      <c r="I1375" s="129" t="s">
        <v>2950</v>
      </c>
      <c r="J1375" s="129">
        <v>41</v>
      </c>
      <c r="K1375" s="129"/>
      <c r="L1375" s="129" t="s">
        <v>2994</v>
      </c>
      <c r="M1375" s="129" t="s">
        <v>2951</v>
      </c>
      <c r="N1375" s="129"/>
      <c r="O1375" s="129" t="s">
        <v>2952</v>
      </c>
      <c r="Q1375" s="129" t="b">
        <v>0</v>
      </c>
    </row>
    <row r="1376" spans="1:17" s="5" customFormat="1" ht="15" hidden="1" customHeight="1">
      <c r="A1376" s="129">
        <v>7505</v>
      </c>
      <c r="B1376" s="129">
        <v>2168</v>
      </c>
      <c r="C1376" s="129">
        <v>0</v>
      </c>
      <c r="D1376" s="129">
        <v>164</v>
      </c>
      <c r="E1376" s="129" t="b">
        <v>1</v>
      </c>
      <c r="F1376" s="129" t="b">
        <v>0</v>
      </c>
      <c r="G1376" s="129" t="s">
        <v>2993</v>
      </c>
      <c r="H1376" s="129" t="s">
        <v>2953</v>
      </c>
      <c r="I1376" s="129" t="s">
        <v>2954</v>
      </c>
      <c r="J1376" s="129"/>
      <c r="K1376" s="129"/>
      <c r="L1376" s="129" t="s">
        <v>2994</v>
      </c>
      <c r="M1376" s="129" t="s">
        <v>2955</v>
      </c>
      <c r="N1376" s="129"/>
      <c r="O1376" s="129" t="s">
        <v>3036</v>
      </c>
      <c r="Q1376" s="129" t="b">
        <v>0</v>
      </c>
    </row>
    <row r="1377" spans="1:17" s="5" customFormat="1" ht="15" hidden="1" customHeight="1">
      <c r="A1377" s="129">
        <v>7502</v>
      </c>
      <c r="B1377" s="129">
        <v>2169</v>
      </c>
      <c r="C1377" s="129">
        <v>0</v>
      </c>
      <c r="D1377" s="129">
        <v>294</v>
      </c>
      <c r="E1377" s="129" t="b">
        <v>1</v>
      </c>
      <c r="F1377" s="129" t="b">
        <v>0</v>
      </c>
      <c r="G1377" s="129" t="s">
        <v>2993</v>
      </c>
      <c r="H1377" s="129" t="s">
        <v>2953</v>
      </c>
      <c r="I1377" s="129" t="s">
        <v>2694</v>
      </c>
      <c r="J1377" s="129"/>
      <c r="K1377" s="129"/>
      <c r="L1377" s="129" t="s">
        <v>2994</v>
      </c>
      <c r="M1377" s="129" t="s">
        <v>2957</v>
      </c>
      <c r="N1377" s="129"/>
      <c r="O1377" s="129" t="s">
        <v>3037</v>
      </c>
      <c r="Q1377" s="129" t="b">
        <v>0</v>
      </c>
    </row>
    <row r="1378" spans="1:17" s="5" customFormat="1" ht="15" hidden="1" customHeight="1">
      <c r="A1378" s="129">
        <v>7503</v>
      </c>
      <c r="B1378" s="129">
        <v>2170</v>
      </c>
      <c r="C1378" s="129">
        <v>0</v>
      </c>
      <c r="D1378" s="129">
        <v>295</v>
      </c>
      <c r="E1378" s="129" t="b">
        <v>1</v>
      </c>
      <c r="F1378" s="129" t="b">
        <v>0</v>
      </c>
      <c r="G1378" s="129" t="s">
        <v>2993</v>
      </c>
      <c r="H1378" s="129" t="s">
        <v>2953</v>
      </c>
      <c r="I1378" s="129" t="s">
        <v>2959</v>
      </c>
      <c r="J1378" s="129"/>
      <c r="K1378" s="129"/>
      <c r="L1378" s="129" t="s">
        <v>2994</v>
      </c>
      <c r="M1378" s="129" t="s">
        <v>2960</v>
      </c>
      <c r="N1378" s="129"/>
      <c r="O1378" s="129" t="s">
        <v>3038</v>
      </c>
      <c r="Q1378" s="129" t="b">
        <v>0</v>
      </c>
    </row>
    <row r="1379" spans="1:17" s="5" customFormat="1" ht="15" hidden="1" customHeight="1">
      <c r="A1379" s="129">
        <v>7504</v>
      </c>
      <c r="B1379" s="129">
        <v>2171</v>
      </c>
      <c r="C1379" s="129">
        <v>0</v>
      </c>
      <c r="D1379" s="129">
        <v>296</v>
      </c>
      <c r="E1379" s="129" t="b">
        <v>1</v>
      </c>
      <c r="F1379" s="129" t="b">
        <v>0</v>
      </c>
      <c r="G1379" s="129" t="s">
        <v>2993</v>
      </c>
      <c r="H1379" s="129" t="s">
        <v>2953</v>
      </c>
      <c r="I1379" s="129" t="s">
        <v>2962</v>
      </c>
      <c r="J1379" s="129"/>
      <c r="K1379" s="129"/>
      <c r="L1379" s="129" t="s">
        <v>2994</v>
      </c>
      <c r="M1379" s="129" t="s">
        <v>2963</v>
      </c>
      <c r="N1379" s="129"/>
      <c r="O1379" s="129" t="s">
        <v>3039</v>
      </c>
      <c r="Q1379" s="129" t="b">
        <v>0</v>
      </c>
    </row>
    <row r="1380" spans="1:17" s="5" customFormat="1" ht="15" hidden="1" customHeight="1">
      <c r="A1380" s="129">
        <v>7512</v>
      </c>
      <c r="B1380" s="129">
        <v>2172</v>
      </c>
      <c r="C1380" s="129">
        <v>0</v>
      </c>
      <c r="D1380" s="129">
        <v>164</v>
      </c>
      <c r="E1380" s="129" t="b">
        <v>1</v>
      </c>
      <c r="F1380" s="129" t="b">
        <v>0</v>
      </c>
      <c r="G1380" s="129" t="s">
        <v>2993</v>
      </c>
      <c r="H1380" s="129" t="s">
        <v>2965</v>
      </c>
      <c r="I1380" s="129" t="s">
        <v>131</v>
      </c>
      <c r="J1380" s="129"/>
      <c r="K1380" s="129"/>
      <c r="L1380" s="129" t="s">
        <v>2994</v>
      </c>
      <c r="M1380" s="129" t="s">
        <v>2966</v>
      </c>
      <c r="N1380" s="129"/>
      <c r="O1380" s="129" t="s">
        <v>3040</v>
      </c>
      <c r="Q1380" s="129" t="b">
        <v>0</v>
      </c>
    </row>
    <row r="1381" spans="1:17" s="5" customFormat="1" ht="15" hidden="1" customHeight="1">
      <c r="A1381" s="129">
        <v>7511</v>
      </c>
      <c r="B1381" s="129">
        <v>2173</v>
      </c>
      <c r="C1381" s="129">
        <v>0</v>
      </c>
      <c r="D1381" s="129">
        <v>297</v>
      </c>
      <c r="E1381" s="129" t="b">
        <v>1</v>
      </c>
      <c r="F1381" s="129" t="b">
        <v>0</v>
      </c>
      <c r="G1381" s="129" t="s">
        <v>2993</v>
      </c>
      <c r="H1381" s="129" t="s">
        <v>2965</v>
      </c>
      <c r="I1381" s="129" t="s">
        <v>2968</v>
      </c>
      <c r="J1381" s="129"/>
      <c r="K1381" s="129"/>
      <c r="L1381" s="129" t="s">
        <v>2994</v>
      </c>
      <c r="M1381" s="129" t="s">
        <v>2969</v>
      </c>
      <c r="N1381" s="129"/>
      <c r="O1381" s="129" t="s">
        <v>3041</v>
      </c>
      <c r="Q1381" s="129" t="b">
        <v>0</v>
      </c>
    </row>
    <row r="1382" spans="1:17" s="5" customFormat="1" ht="15" hidden="1" customHeight="1">
      <c r="A1382" s="129">
        <v>7002</v>
      </c>
      <c r="B1382" s="129">
        <v>2174</v>
      </c>
      <c r="C1382" s="129">
        <v>0</v>
      </c>
      <c r="D1382" s="136">
        <v>205</v>
      </c>
      <c r="E1382" s="129" t="b">
        <v>1</v>
      </c>
      <c r="F1382" s="129" t="b">
        <v>0</v>
      </c>
      <c r="G1382" s="129" t="s">
        <v>2993</v>
      </c>
      <c r="H1382" s="129" t="s">
        <v>2971</v>
      </c>
      <c r="I1382" s="129" t="s">
        <v>2972</v>
      </c>
      <c r="J1382" s="129">
        <v>36</v>
      </c>
      <c r="K1382" s="129"/>
      <c r="L1382" s="129" t="s">
        <v>2994</v>
      </c>
      <c r="M1382" s="129" t="s">
        <v>2973</v>
      </c>
      <c r="N1382" s="129"/>
      <c r="O1382" s="129" t="s">
        <v>2973</v>
      </c>
      <c r="Q1382" s="129" t="b">
        <v>0</v>
      </c>
    </row>
    <row r="1383" spans="1:17" s="5" customFormat="1" ht="15" hidden="1" customHeight="1">
      <c r="A1383" s="129">
        <v>7003</v>
      </c>
      <c r="B1383" s="129">
        <v>2175</v>
      </c>
      <c r="C1383" s="129">
        <v>0</v>
      </c>
      <c r="D1383" s="136">
        <v>206</v>
      </c>
      <c r="E1383" s="129" t="b">
        <v>1</v>
      </c>
      <c r="F1383" s="129" t="b">
        <v>0</v>
      </c>
      <c r="G1383" s="129" t="s">
        <v>2993</v>
      </c>
      <c r="H1383" s="129" t="s">
        <v>2971</v>
      </c>
      <c r="I1383" s="129" t="s">
        <v>2974</v>
      </c>
      <c r="J1383" s="129"/>
      <c r="K1383" s="129"/>
      <c r="L1383" s="129" t="s">
        <v>2994</v>
      </c>
      <c r="M1383" s="129" t="s">
        <v>2975</v>
      </c>
      <c r="N1383" s="129"/>
      <c r="O1383" s="129" t="s">
        <v>2974</v>
      </c>
      <c r="Q1383" s="129" t="b">
        <v>0</v>
      </c>
    </row>
    <row r="1384" spans="1:17" s="5" customFormat="1" ht="15" hidden="1" customHeight="1">
      <c r="A1384" s="129">
        <v>7004</v>
      </c>
      <c r="B1384" s="129">
        <v>2176</v>
      </c>
      <c r="C1384" s="129">
        <v>0</v>
      </c>
      <c r="D1384" s="129">
        <v>207</v>
      </c>
      <c r="E1384" s="129" t="b">
        <v>1</v>
      </c>
      <c r="F1384" s="129" t="b">
        <v>0</v>
      </c>
      <c r="G1384" s="129" t="s">
        <v>2993</v>
      </c>
      <c r="H1384" s="129" t="s">
        <v>2971</v>
      </c>
      <c r="I1384" s="129" t="s">
        <v>2976</v>
      </c>
      <c r="J1384" s="129"/>
      <c r="K1384" s="129"/>
      <c r="L1384" s="129" t="s">
        <v>2994</v>
      </c>
      <c r="M1384" s="129" t="s">
        <v>2977</v>
      </c>
      <c r="N1384" s="129"/>
      <c r="O1384" s="129" t="s">
        <v>2976</v>
      </c>
      <c r="Q1384" s="129" t="b">
        <v>0</v>
      </c>
    </row>
    <row r="1385" spans="1:17" s="5" customFormat="1" ht="15" hidden="1" customHeight="1">
      <c r="A1385" s="129">
        <v>7005</v>
      </c>
      <c r="B1385" s="129">
        <v>2177</v>
      </c>
      <c r="C1385" s="129">
        <v>0</v>
      </c>
      <c r="D1385" s="129">
        <v>208</v>
      </c>
      <c r="E1385" s="129" t="b">
        <v>1</v>
      </c>
      <c r="F1385" s="129" t="b">
        <v>0</v>
      </c>
      <c r="G1385" s="129" t="s">
        <v>2993</v>
      </c>
      <c r="H1385" s="129" t="s">
        <v>2971</v>
      </c>
      <c r="I1385" s="129" t="s">
        <v>2978</v>
      </c>
      <c r="J1385" s="129"/>
      <c r="K1385" s="129"/>
      <c r="L1385" s="129" t="s">
        <v>2994</v>
      </c>
      <c r="M1385" s="129" t="s">
        <v>2979</v>
      </c>
      <c r="N1385" s="129"/>
      <c r="O1385" s="129" t="s">
        <v>2980</v>
      </c>
      <c r="Q1385" s="129" t="b">
        <v>0</v>
      </c>
    </row>
    <row r="1386" spans="1:17" s="5" customFormat="1" ht="15" hidden="1" customHeight="1">
      <c r="A1386" s="129">
        <v>7006</v>
      </c>
      <c r="B1386" s="129">
        <v>2178</v>
      </c>
      <c r="C1386" s="129">
        <v>0</v>
      </c>
      <c r="D1386" s="129">
        <v>164</v>
      </c>
      <c r="E1386" s="129" t="b">
        <v>1</v>
      </c>
      <c r="F1386" s="129" t="b">
        <v>0</v>
      </c>
      <c r="G1386" s="129" t="s">
        <v>2993</v>
      </c>
      <c r="H1386" s="129" t="s">
        <v>2971</v>
      </c>
      <c r="I1386" s="129" t="s">
        <v>2981</v>
      </c>
      <c r="J1386" s="129"/>
      <c r="K1386" s="129"/>
      <c r="L1386" s="129" t="s">
        <v>2994</v>
      </c>
      <c r="M1386" s="129" t="s">
        <v>2982</v>
      </c>
      <c r="N1386" s="129"/>
      <c r="O1386" s="129" t="s">
        <v>2983</v>
      </c>
      <c r="Q1386" s="129" t="b">
        <v>0</v>
      </c>
    </row>
    <row r="1387" spans="1:17" s="5" customFormat="1" ht="15" hidden="1" customHeight="1">
      <c r="A1387" s="129">
        <v>7007</v>
      </c>
      <c r="B1387" s="129">
        <v>2179</v>
      </c>
      <c r="C1387" s="129">
        <v>0</v>
      </c>
      <c r="D1387" s="129">
        <v>164</v>
      </c>
      <c r="E1387" s="129" t="b">
        <v>1</v>
      </c>
      <c r="F1387" s="129" t="b">
        <v>0</v>
      </c>
      <c r="G1387" s="129" t="s">
        <v>2993</v>
      </c>
      <c r="H1387" s="129" t="s">
        <v>2971</v>
      </c>
      <c r="I1387" s="129" t="s">
        <v>2984</v>
      </c>
      <c r="J1387" s="129"/>
      <c r="K1387" s="129"/>
      <c r="L1387" s="129" t="s">
        <v>2994</v>
      </c>
      <c r="M1387" s="129" t="s">
        <v>2985</v>
      </c>
      <c r="N1387" s="129"/>
      <c r="O1387" s="129" t="s">
        <v>2986</v>
      </c>
      <c r="Q1387" s="129" t="b">
        <v>0</v>
      </c>
    </row>
    <row r="1388" spans="1:17" s="5" customFormat="1" ht="15" hidden="1" customHeight="1">
      <c r="A1388" s="129">
        <v>7008</v>
      </c>
      <c r="B1388" s="129">
        <v>2180</v>
      </c>
      <c r="C1388" s="129">
        <v>0</v>
      </c>
      <c r="D1388" s="129">
        <v>164</v>
      </c>
      <c r="E1388" s="129" t="b">
        <v>1</v>
      </c>
      <c r="F1388" s="129" t="b">
        <v>0</v>
      </c>
      <c r="G1388" s="129" t="s">
        <v>2993</v>
      </c>
      <c r="H1388" s="129" t="s">
        <v>2971</v>
      </c>
      <c r="I1388" s="129" t="s">
        <v>2987</v>
      </c>
      <c r="J1388" s="129"/>
      <c r="K1388" s="129"/>
      <c r="L1388" s="129" t="s">
        <v>2994</v>
      </c>
      <c r="M1388" s="129" t="s">
        <v>2988</v>
      </c>
      <c r="N1388" s="129"/>
      <c r="O1388" s="129" t="s">
        <v>3042</v>
      </c>
      <c r="Q1388" s="129" t="b">
        <v>0</v>
      </c>
    </row>
    <row r="1389" spans="1:17" s="5" customFormat="1" ht="15" hidden="1" customHeight="1">
      <c r="A1389" s="129">
        <v>7009</v>
      </c>
      <c r="B1389" s="129">
        <v>2181</v>
      </c>
      <c r="C1389" s="129">
        <v>0</v>
      </c>
      <c r="D1389" s="129">
        <v>164</v>
      </c>
      <c r="E1389" s="129" t="b">
        <v>1</v>
      </c>
      <c r="F1389" s="129" t="b">
        <v>0</v>
      </c>
      <c r="G1389" s="129" t="s">
        <v>2993</v>
      </c>
      <c r="H1389" s="129" t="s">
        <v>2971</v>
      </c>
      <c r="I1389" s="129" t="s">
        <v>2990</v>
      </c>
      <c r="J1389" s="129"/>
      <c r="K1389" s="129"/>
      <c r="L1389" s="129" t="s">
        <v>2994</v>
      </c>
      <c r="M1389" s="129" t="s">
        <v>2991</v>
      </c>
      <c r="N1389" s="129"/>
      <c r="O1389" s="129" t="s">
        <v>3043</v>
      </c>
      <c r="Q1389" s="129" t="b">
        <v>0</v>
      </c>
    </row>
    <row r="1390" spans="1:17" s="5" customFormat="1" ht="15" customHeight="1">
      <c r="A1390" s="129">
        <v>8017</v>
      </c>
      <c r="B1390" s="129">
        <v>2182</v>
      </c>
      <c r="C1390" s="129">
        <v>0</v>
      </c>
      <c r="D1390" s="129">
        <v>109</v>
      </c>
      <c r="E1390" s="129" t="b">
        <v>1</v>
      </c>
      <c r="F1390" s="129" t="b">
        <v>0</v>
      </c>
      <c r="G1390" s="129" t="s">
        <v>3044</v>
      </c>
      <c r="H1390" s="129"/>
      <c r="I1390" s="129" t="s">
        <v>3045</v>
      </c>
      <c r="J1390" s="129"/>
      <c r="K1390" s="129">
        <v>203</v>
      </c>
      <c r="L1390" s="129" t="s">
        <v>2812</v>
      </c>
      <c r="M1390" s="129" t="s">
        <v>3046</v>
      </c>
      <c r="N1390" s="129"/>
      <c r="O1390" s="129" t="s">
        <v>3046</v>
      </c>
      <c r="Q1390" s="129" t="b">
        <v>0</v>
      </c>
    </row>
    <row r="1391" spans="1:17" s="5" customFormat="1" ht="15" hidden="1" customHeight="1">
      <c r="A1391" s="129">
        <v>8101</v>
      </c>
      <c r="B1391" s="129">
        <v>2183</v>
      </c>
      <c r="C1391" s="129">
        <v>0</v>
      </c>
      <c r="D1391" s="129">
        <v>164</v>
      </c>
      <c r="E1391" s="129" t="b">
        <v>1</v>
      </c>
      <c r="F1391" s="129" t="b">
        <v>0</v>
      </c>
      <c r="G1391" s="129" t="s">
        <v>3044</v>
      </c>
      <c r="H1391" s="129" t="s">
        <v>2818</v>
      </c>
      <c r="I1391" s="129" t="s">
        <v>26</v>
      </c>
      <c r="J1391" s="129"/>
      <c r="K1391" s="129"/>
      <c r="L1391" s="129" t="s">
        <v>2812</v>
      </c>
      <c r="M1391" s="129" t="s">
        <v>2819</v>
      </c>
      <c r="N1391" s="129"/>
      <c r="O1391" s="129" t="s">
        <v>2820</v>
      </c>
      <c r="Q1391" s="129" t="b">
        <v>0</v>
      </c>
    </row>
    <row r="1392" spans="1:17" s="5" customFormat="1" ht="15" hidden="1" customHeight="1">
      <c r="A1392" s="129">
        <v>8102</v>
      </c>
      <c r="B1392" s="129">
        <v>2184</v>
      </c>
      <c r="C1392" s="129">
        <v>0</v>
      </c>
      <c r="D1392" s="129">
        <v>209</v>
      </c>
      <c r="E1392" s="129" t="b">
        <v>1</v>
      </c>
      <c r="F1392" s="129" t="b">
        <v>0</v>
      </c>
      <c r="G1392" s="129" t="s">
        <v>3044</v>
      </c>
      <c r="H1392" s="129" t="s">
        <v>2818</v>
      </c>
      <c r="I1392" s="129" t="s">
        <v>29</v>
      </c>
      <c r="J1392" s="129"/>
      <c r="K1392" s="129"/>
      <c r="L1392" s="129" t="s">
        <v>2812</v>
      </c>
      <c r="M1392" s="129" t="s">
        <v>30</v>
      </c>
      <c r="N1392" s="129"/>
      <c r="O1392" s="129" t="s">
        <v>2821</v>
      </c>
      <c r="Q1392" s="129" t="b">
        <v>0</v>
      </c>
    </row>
    <row r="1393" spans="1:17" s="5" customFormat="1" ht="15" hidden="1" customHeight="1">
      <c r="A1393" s="129">
        <v>8103</v>
      </c>
      <c r="B1393" s="129">
        <v>2185</v>
      </c>
      <c r="C1393" s="129">
        <v>0</v>
      </c>
      <c r="D1393" s="129">
        <v>210</v>
      </c>
      <c r="E1393" s="129" t="b">
        <v>1</v>
      </c>
      <c r="F1393" s="129" t="b">
        <v>0</v>
      </c>
      <c r="G1393" s="129" t="s">
        <v>3044</v>
      </c>
      <c r="H1393" s="129" t="s">
        <v>2818</v>
      </c>
      <c r="I1393" s="129" t="s">
        <v>32</v>
      </c>
      <c r="J1393" s="129"/>
      <c r="K1393" s="129"/>
      <c r="L1393" s="129" t="s">
        <v>2812</v>
      </c>
      <c r="M1393" s="129" t="s">
        <v>33</v>
      </c>
      <c r="N1393" s="129"/>
      <c r="O1393" s="129" t="s">
        <v>2822</v>
      </c>
      <c r="Q1393" s="129" t="b">
        <v>0</v>
      </c>
    </row>
    <row r="1394" spans="1:17" s="5" customFormat="1" ht="15" hidden="1" customHeight="1">
      <c r="A1394" s="129">
        <v>8104</v>
      </c>
      <c r="B1394" s="129">
        <v>2186</v>
      </c>
      <c r="C1394" s="129">
        <v>0</v>
      </c>
      <c r="D1394" s="129">
        <v>109</v>
      </c>
      <c r="E1394" s="129" t="b">
        <v>1</v>
      </c>
      <c r="F1394" s="129" t="b">
        <v>0</v>
      </c>
      <c r="G1394" s="129" t="s">
        <v>3044</v>
      </c>
      <c r="H1394" s="129" t="s">
        <v>2815</v>
      </c>
      <c r="I1394" s="129" t="s">
        <v>2816</v>
      </c>
      <c r="J1394" s="129">
        <v>43</v>
      </c>
      <c r="K1394" s="129"/>
      <c r="L1394" s="129" t="s">
        <v>2812</v>
      </c>
      <c r="M1394" s="129" t="s">
        <v>3047</v>
      </c>
      <c r="N1394" s="129"/>
      <c r="O1394" s="129" t="s">
        <v>3048</v>
      </c>
      <c r="Q1394" s="129" t="b">
        <v>0</v>
      </c>
    </row>
    <row r="1395" spans="1:17" s="5" customFormat="1" ht="15" hidden="1" customHeight="1">
      <c r="A1395" s="129">
        <v>8111</v>
      </c>
      <c r="B1395" s="129">
        <v>2187</v>
      </c>
      <c r="C1395" s="129">
        <v>0</v>
      </c>
      <c r="D1395" s="129">
        <v>164</v>
      </c>
      <c r="E1395" s="129" t="b">
        <v>1</v>
      </c>
      <c r="F1395" s="129" t="b">
        <v>0</v>
      </c>
      <c r="G1395" s="129" t="s">
        <v>3044</v>
      </c>
      <c r="H1395" s="129" t="s">
        <v>2823</v>
      </c>
      <c r="I1395" s="129" t="s">
        <v>36</v>
      </c>
      <c r="J1395" s="129"/>
      <c r="K1395" s="129"/>
      <c r="L1395" s="129" t="s">
        <v>2812</v>
      </c>
      <c r="M1395" s="129" t="s">
        <v>2824</v>
      </c>
      <c r="N1395" s="129"/>
      <c r="O1395" s="129" t="s">
        <v>2825</v>
      </c>
      <c r="Q1395" s="129" t="b">
        <v>0</v>
      </c>
    </row>
    <row r="1396" spans="1:17" s="5" customFormat="1" ht="15" hidden="1" customHeight="1">
      <c r="A1396" s="129">
        <v>8112</v>
      </c>
      <c r="B1396" s="129">
        <v>2188</v>
      </c>
      <c r="C1396" s="129">
        <v>0</v>
      </c>
      <c r="D1396" s="129">
        <v>211</v>
      </c>
      <c r="E1396" s="129" t="b">
        <v>1</v>
      </c>
      <c r="F1396" s="129" t="b">
        <v>0</v>
      </c>
      <c r="G1396" s="129" t="s">
        <v>3044</v>
      </c>
      <c r="H1396" s="129" t="s">
        <v>2823</v>
      </c>
      <c r="I1396" s="129" t="s">
        <v>3049</v>
      </c>
      <c r="J1396" s="129"/>
      <c r="K1396" s="129"/>
      <c r="L1396" s="129" t="s">
        <v>2812</v>
      </c>
      <c r="M1396" s="129" t="s">
        <v>2827</v>
      </c>
      <c r="N1396" s="129"/>
      <c r="O1396" s="129" t="s">
        <v>2828</v>
      </c>
      <c r="Q1396" s="129" t="b">
        <v>0</v>
      </c>
    </row>
    <row r="1397" spans="1:17" s="5" customFormat="1" ht="15" hidden="1" customHeight="1">
      <c r="A1397" s="129">
        <v>8113</v>
      </c>
      <c r="B1397" s="129">
        <v>2189</v>
      </c>
      <c r="C1397" s="129">
        <v>0</v>
      </c>
      <c r="D1397" s="129">
        <v>212</v>
      </c>
      <c r="E1397" s="129" t="b">
        <v>1</v>
      </c>
      <c r="F1397" s="129" t="b">
        <v>0</v>
      </c>
      <c r="G1397" s="129" t="s">
        <v>3044</v>
      </c>
      <c r="H1397" s="129" t="s">
        <v>2823</v>
      </c>
      <c r="I1397" s="129" t="s">
        <v>2829</v>
      </c>
      <c r="J1397" s="129"/>
      <c r="K1397" s="129"/>
      <c r="L1397" s="129" t="s">
        <v>2812</v>
      </c>
      <c r="M1397" s="129" t="s">
        <v>2830</v>
      </c>
      <c r="N1397" s="129"/>
      <c r="O1397" s="129" t="s">
        <v>2831</v>
      </c>
      <c r="Q1397" s="129" t="b">
        <v>0</v>
      </c>
    </row>
    <row r="1398" spans="1:17" s="5" customFormat="1" ht="15" hidden="1" customHeight="1">
      <c r="A1398" s="129">
        <v>8114</v>
      </c>
      <c r="B1398" s="129">
        <v>2190</v>
      </c>
      <c r="C1398" s="129">
        <v>0</v>
      </c>
      <c r="D1398" s="129">
        <v>236</v>
      </c>
      <c r="E1398" s="129" t="b">
        <v>1</v>
      </c>
      <c r="F1398" s="129" t="b">
        <v>0</v>
      </c>
      <c r="G1398" s="129" t="s">
        <v>3044</v>
      </c>
      <c r="H1398" s="129" t="s">
        <v>2823</v>
      </c>
      <c r="I1398" s="129" t="s">
        <v>2832</v>
      </c>
      <c r="J1398" s="129"/>
      <c r="K1398" s="129"/>
      <c r="L1398" s="129" t="s">
        <v>2812</v>
      </c>
      <c r="M1398" s="129" t="s">
        <v>2833</v>
      </c>
      <c r="N1398" s="129"/>
      <c r="O1398" s="129" t="s">
        <v>2834</v>
      </c>
      <c r="Q1398" s="129" t="b">
        <v>0</v>
      </c>
    </row>
    <row r="1399" spans="1:17" s="5" customFormat="1" ht="15" hidden="1" customHeight="1">
      <c r="A1399" s="129">
        <v>8115</v>
      </c>
      <c r="B1399" s="129">
        <v>2191</v>
      </c>
      <c r="C1399" s="129">
        <v>0</v>
      </c>
      <c r="D1399" s="129">
        <v>237</v>
      </c>
      <c r="E1399" s="129" t="b">
        <v>1</v>
      </c>
      <c r="F1399" s="129" t="b">
        <v>0</v>
      </c>
      <c r="G1399" s="129" t="s">
        <v>3044</v>
      </c>
      <c r="H1399" s="129" t="s">
        <v>2823</v>
      </c>
      <c r="I1399" s="129" t="s">
        <v>2835</v>
      </c>
      <c r="J1399" s="129"/>
      <c r="K1399" s="129"/>
      <c r="L1399" s="129" t="s">
        <v>2812</v>
      </c>
      <c r="M1399" s="129" t="s">
        <v>2836</v>
      </c>
      <c r="N1399" s="129"/>
      <c r="O1399" s="129" t="s">
        <v>2837</v>
      </c>
      <c r="Q1399" s="129" t="b">
        <v>0</v>
      </c>
    </row>
    <row r="1400" spans="1:17" s="5" customFormat="1" ht="15" hidden="1" customHeight="1">
      <c r="A1400" s="129">
        <v>8116</v>
      </c>
      <c r="B1400" s="129">
        <v>2192</v>
      </c>
      <c r="C1400" s="129">
        <v>0</v>
      </c>
      <c r="D1400" s="129">
        <v>238</v>
      </c>
      <c r="E1400" s="129" t="b">
        <v>1</v>
      </c>
      <c r="F1400" s="129" t="b">
        <v>0</v>
      </c>
      <c r="G1400" s="129" t="s">
        <v>3044</v>
      </c>
      <c r="H1400" s="129" t="s">
        <v>2823</v>
      </c>
      <c r="I1400" s="129" t="s">
        <v>2838</v>
      </c>
      <c r="J1400" s="129"/>
      <c r="K1400" s="129"/>
      <c r="L1400" s="129" t="s">
        <v>2812</v>
      </c>
      <c r="M1400" s="129" t="s">
        <v>2839</v>
      </c>
      <c r="N1400" s="129"/>
      <c r="O1400" s="129" t="s">
        <v>2840</v>
      </c>
      <c r="Q1400" s="129" t="b">
        <v>0</v>
      </c>
    </row>
    <row r="1401" spans="1:17" s="5" customFormat="1" ht="15" hidden="1" customHeight="1">
      <c r="A1401" s="129">
        <v>8117</v>
      </c>
      <c r="B1401" s="129">
        <v>2193</v>
      </c>
      <c r="C1401" s="129">
        <v>0</v>
      </c>
      <c r="D1401" s="129">
        <v>213</v>
      </c>
      <c r="E1401" s="129" t="b">
        <v>1</v>
      </c>
      <c r="F1401" s="129" t="b">
        <v>0</v>
      </c>
      <c r="G1401" s="129" t="s">
        <v>3044</v>
      </c>
      <c r="H1401" s="129" t="s">
        <v>2823</v>
      </c>
      <c r="I1401" s="129" t="s">
        <v>2841</v>
      </c>
      <c r="J1401" s="129"/>
      <c r="K1401" s="129"/>
      <c r="L1401" s="129" t="s">
        <v>2812</v>
      </c>
      <c r="M1401" s="129" t="s">
        <v>2842</v>
      </c>
      <c r="N1401" s="129"/>
      <c r="O1401" s="129" t="s">
        <v>2843</v>
      </c>
      <c r="Q1401" s="129" t="b">
        <v>0</v>
      </c>
    </row>
    <row r="1402" spans="1:17" s="5" customFormat="1" ht="15" hidden="1" customHeight="1">
      <c r="A1402" s="129">
        <v>8201</v>
      </c>
      <c r="B1402" s="129">
        <v>2194</v>
      </c>
      <c r="C1402" s="129">
        <v>0</v>
      </c>
      <c r="D1402" s="129">
        <v>164</v>
      </c>
      <c r="E1402" s="129" t="b">
        <v>1</v>
      </c>
      <c r="F1402" s="129" t="b">
        <v>0</v>
      </c>
      <c r="G1402" s="129" t="s">
        <v>3044</v>
      </c>
      <c r="H1402" s="129" t="s">
        <v>2848</v>
      </c>
      <c r="I1402" s="129" t="s">
        <v>49</v>
      </c>
      <c r="J1402" s="129"/>
      <c r="K1402" s="129"/>
      <c r="L1402" s="129" t="s">
        <v>2812</v>
      </c>
      <c r="M1402" s="129" t="s">
        <v>2849</v>
      </c>
      <c r="N1402" s="129"/>
      <c r="O1402" s="129" t="s">
        <v>2850</v>
      </c>
      <c r="Q1402" s="129" t="b">
        <v>0</v>
      </c>
    </row>
    <row r="1403" spans="1:17" s="5" customFormat="1" ht="15" hidden="1" customHeight="1">
      <c r="A1403" s="129">
        <v>8202</v>
      </c>
      <c r="B1403" s="129">
        <v>2195</v>
      </c>
      <c r="C1403" s="129">
        <v>0</v>
      </c>
      <c r="D1403" s="129">
        <v>214</v>
      </c>
      <c r="E1403" s="129" t="b">
        <v>1</v>
      </c>
      <c r="F1403" s="129" t="b">
        <v>0</v>
      </c>
      <c r="G1403" s="129" t="s">
        <v>3044</v>
      </c>
      <c r="H1403" s="129" t="s">
        <v>2848</v>
      </c>
      <c r="I1403" s="129" t="s">
        <v>2851</v>
      </c>
      <c r="J1403" s="129"/>
      <c r="K1403" s="129"/>
      <c r="L1403" s="129" t="s">
        <v>2812</v>
      </c>
      <c r="M1403" s="129" t="s">
        <v>2852</v>
      </c>
      <c r="N1403" s="129"/>
      <c r="O1403" s="129" t="s">
        <v>2853</v>
      </c>
      <c r="Q1403" s="129" t="b">
        <v>0</v>
      </c>
    </row>
    <row r="1404" spans="1:17" s="5" customFormat="1" ht="15" hidden="1" customHeight="1">
      <c r="A1404" s="129">
        <v>8203</v>
      </c>
      <c r="B1404" s="129">
        <v>2196</v>
      </c>
      <c r="C1404" s="129">
        <v>0</v>
      </c>
      <c r="D1404" s="129">
        <v>215</v>
      </c>
      <c r="E1404" s="129" t="b">
        <v>1</v>
      </c>
      <c r="F1404" s="129" t="b">
        <v>0</v>
      </c>
      <c r="G1404" s="129" t="s">
        <v>3044</v>
      </c>
      <c r="H1404" s="129" t="s">
        <v>2848</v>
      </c>
      <c r="I1404" s="129" t="s">
        <v>2854</v>
      </c>
      <c r="J1404" s="129"/>
      <c r="K1404" s="129"/>
      <c r="L1404" s="129" t="s">
        <v>2812</v>
      </c>
      <c r="M1404" s="129" t="s">
        <v>2855</v>
      </c>
      <c r="N1404" s="129"/>
      <c r="O1404" s="129" t="s">
        <v>2856</v>
      </c>
      <c r="Q1404" s="129" t="b">
        <v>0</v>
      </c>
    </row>
    <row r="1405" spans="1:17" s="5" customFormat="1" ht="15" hidden="1" customHeight="1">
      <c r="A1405" s="129">
        <v>8204</v>
      </c>
      <c r="B1405" s="129">
        <v>2197</v>
      </c>
      <c r="C1405" s="129">
        <v>0</v>
      </c>
      <c r="D1405" s="129">
        <v>216</v>
      </c>
      <c r="E1405" s="129" t="b">
        <v>1</v>
      </c>
      <c r="F1405" s="129" t="b">
        <v>0</v>
      </c>
      <c r="G1405" s="129" t="s">
        <v>3044</v>
      </c>
      <c r="H1405" s="129" t="s">
        <v>2848</v>
      </c>
      <c r="I1405" s="129" t="s">
        <v>2857</v>
      </c>
      <c r="J1405" s="129"/>
      <c r="K1405" s="129"/>
      <c r="L1405" s="129" t="s">
        <v>2812</v>
      </c>
      <c r="M1405" s="129" t="s">
        <v>2858</v>
      </c>
      <c r="N1405" s="129"/>
      <c r="O1405" s="129" t="s">
        <v>2859</v>
      </c>
      <c r="Q1405" s="129" t="b">
        <v>0</v>
      </c>
    </row>
    <row r="1406" spans="1:17" s="5" customFormat="1" ht="15" hidden="1" customHeight="1">
      <c r="A1406" s="129">
        <v>8205</v>
      </c>
      <c r="B1406" s="129">
        <v>2198</v>
      </c>
      <c r="C1406" s="129">
        <v>0</v>
      </c>
      <c r="D1406" s="129">
        <v>109</v>
      </c>
      <c r="E1406" s="129" t="b">
        <v>1</v>
      </c>
      <c r="F1406" s="129" t="b">
        <v>0</v>
      </c>
      <c r="G1406" s="129" t="s">
        <v>3044</v>
      </c>
      <c r="H1406" s="129" t="s">
        <v>2844</v>
      </c>
      <c r="I1406" s="129" t="s">
        <v>2845</v>
      </c>
      <c r="J1406" s="129">
        <v>44</v>
      </c>
      <c r="K1406" s="129"/>
      <c r="L1406" s="129" t="s">
        <v>2812</v>
      </c>
      <c r="M1406" s="129" t="s">
        <v>3050</v>
      </c>
      <c r="N1406" s="129"/>
      <c r="O1406" s="129" t="s">
        <v>3051</v>
      </c>
      <c r="Q1406" s="129" t="b">
        <v>0</v>
      </c>
    </row>
    <row r="1407" spans="1:17" s="5" customFormat="1" ht="15" hidden="1" customHeight="1">
      <c r="A1407" s="129">
        <v>8211</v>
      </c>
      <c r="B1407" s="129">
        <v>2199</v>
      </c>
      <c r="C1407" s="129">
        <v>0</v>
      </c>
      <c r="D1407" s="129">
        <v>164</v>
      </c>
      <c r="E1407" s="129" t="b">
        <v>1</v>
      </c>
      <c r="F1407" s="129" t="b">
        <v>0</v>
      </c>
      <c r="G1407" s="129" t="s">
        <v>3044</v>
      </c>
      <c r="H1407" s="129" t="s">
        <v>2860</v>
      </c>
      <c r="I1407" s="129" t="s">
        <v>85</v>
      </c>
      <c r="J1407" s="129"/>
      <c r="K1407" s="129"/>
      <c r="L1407" s="129" t="s">
        <v>2812</v>
      </c>
      <c r="M1407" s="129" t="s">
        <v>2861</v>
      </c>
      <c r="N1407" s="129"/>
      <c r="O1407" s="129" t="s">
        <v>2862</v>
      </c>
      <c r="Q1407" s="129" t="b">
        <v>0</v>
      </c>
    </row>
    <row r="1408" spans="1:17" s="5" customFormat="1" ht="15" hidden="1" customHeight="1">
      <c r="A1408" s="129">
        <v>8212</v>
      </c>
      <c r="B1408" s="129">
        <v>2200</v>
      </c>
      <c r="C1408" s="129">
        <v>0</v>
      </c>
      <c r="D1408" s="129">
        <v>217</v>
      </c>
      <c r="E1408" s="129" t="b">
        <v>1</v>
      </c>
      <c r="F1408" s="129" t="b">
        <v>0</v>
      </c>
      <c r="G1408" s="129" t="s">
        <v>3044</v>
      </c>
      <c r="H1408" s="129" t="s">
        <v>2860</v>
      </c>
      <c r="I1408" s="129" t="s">
        <v>91</v>
      </c>
      <c r="J1408" s="129"/>
      <c r="K1408" s="129"/>
      <c r="L1408" s="129" t="s">
        <v>2812</v>
      </c>
      <c r="M1408" s="129" t="s">
        <v>2863</v>
      </c>
      <c r="N1408" s="129"/>
      <c r="O1408" s="129" t="s">
        <v>2864</v>
      </c>
      <c r="Q1408" s="129" t="b">
        <v>0</v>
      </c>
    </row>
    <row r="1409" spans="1:17" s="5" customFormat="1" ht="15" hidden="1" customHeight="1">
      <c r="A1409" s="129">
        <v>8213</v>
      </c>
      <c r="B1409" s="129">
        <v>2201</v>
      </c>
      <c r="C1409" s="129">
        <v>0</v>
      </c>
      <c r="D1409" s="129">
        <v>218</v>
      </c>
      <c r="E1409" s="129" t="b">
        <v>1</v>
      </c>
      <c r="F1409" s="129" t="b">
        <v>0</v>
      </c>
      <c r="G1409" s="129" t="s">
        <v>3044</v>
      </c>
      <c r="H1409" s="129" t="s">
        <v>2860</v>
      </c>
      <c r="I1409" s="129" t="s">
        <v>88</v>
      </c>
      <c r="J1409" s="129"/>
      <c r="K1409" s="129"/>
      <c r="L1409" s="129" t="s">
        <v>2812</v>
      </c>
      <c r="M1409" s="129" t="s">
        <v>2865</v>
      </c>
      <c r="N1409" s="129"/>
      <c r="O1409" s="129" t="s">
        <v>2866</v>
      </c>
      <c r="Q1409" s="129" t="b">
        <v>0</v>
      </c>
    </row>
    <row r="1410" spans="1:17" s="5" customFormat="1" ht="15" hidden="1" customHeight="1">
      <c r="A1410" s="129">
        <v>8221</v>
      </c>
      <c r="B1410" s="129">
        <v>2202</v>
      </c>
      <c r="C1410" s="129">
        <v>0</v>
      </c>
      <c r="D1410" s="129">
        <v>176</v>
      </c>
      <c r="E1410" s="129" t="b">
        <v>1</v>
      </c>
      <c r="F1410" s="129" t="b">
        <v>0</v>
      </c>
      <c r="G1410" s="129" t="s">
        <v>3044</v>
      </c>
      <c r="H1410" s="129" t="s">
        <v>2867</v>
      </c>
      <c r="I1410" s="129" t="s">
        <v>68</v>
      </c>
      <c r="J1410" s="129"/>
      <c r="K1410" s="129"/>
      <c r="L1410" s="129" t="s">
        <v>2812</v>
      </c>
      <c r="M1410" s="129" t="s">
        <v>2868</v>
      </c>
      <c r="N1410" s="129"/>
      <c r="O1410" s="129" t="s">
        <v>2869</v>
      </c>
      <c r="Q1410" s="129" t="b">
        <v>0</v>
      </c>
    </row>
    <row r="1411" spans="1:17" s="5" customFormat="1" ht="15" hidden="1" customHeight="1">
      <c r="A1411" s="129">
        <v>8222</v>
      </c>
      <c r="B1411" s="129">
        <v>2203</v>
      </c>
      <c r="C1411" s="129">
        <v>0</v>
      </c>
      <c r="D1411" s="129">
        <v>219</v>
      </c>
      <c r="E1411" s="129" t="b">
        <v>1</v>
      </c>
      <c r="F1411" s="129" t="b">
        <v>0</v>
      </c>
      <c r="G1411" s="129" t="s">
        <v>3044</v>
      </c>
      <c r="H1411" s="129" t="s">
        <v>2867</v>
      </c>
      <c r="I1411" s="129" t="s">
        <v>2870</v>
      </c>
      <c r="J1411" s="129"/>
      <c r="K1411" s="129"/>
      <c r="L1411" s="129" t="s">
        <v>2812</v>
      </c>
      <c r="M1411" s="129" t="s">
        <v>75</v>
      </c>
      <c r="N1411" s="129"/>
      <c r="O1411" s="129" t="s">
        <v>2871</v>
      </c>
      <c r="Q1411" s="129" t="b">
        <v>0</v>
      </c>
    </row>
    <row r="1412" spans="1:17" s="5" customFormat="1" ht="15" hidden="1" customHeight="1">
      <c r="A1412" s="129">
        <v>8231</v>
      </c>
      <c r="B1412" s="129">
        <v>2204</v>
      </c>
      <c r="C1412" s="129">
        <v>0</v>
      </c>
      <c r="D1412" s="129">
        <v>164</v>
      </c>
      <c r="E1412" s="129" t="b">
        <v>1</v>
      </c>
      <c r="F1412" s="129" t="b">
        <v>0</v>
      </c>
      <c r="G1412" s="129" t="s">
        <v>3044</v>
      </c>
      <c r="H1412" s="129" t="s">
        <v>2872</v>
      </c>
      <c r="I1412" s="129" t="s">
        <v>2873</v>
      </c>
      <c r="J1412" s="129"/>
      <c r="K1412" s="129"/>
      <c r="L1412" s="129" t="s">
        <v>2812</v>
      </c>
      <c r="M1412" s="129" t="s">
        <v>2874</v>
      </c>
      <c r="N1412" s="129"/>
      <c r="O1412" s="129" t="s">
        <v>2875</v>
      </c>
      <c r="Q1412" s="129" t="b">
        <v>0</v>
      </c>
    </row>
    <row r="1413" spans="1:17" s="5" customFormat="1" ht="15" hidden="1" customHeight="1">
      <c r="A1413" s="129">
        <v>8232</v>
      </c>
      <c r="B1413" s="129">
        <v>2205</v>
      </c>
      <c r="C1413" s="129">
        <v>0</v>
      </c>
      <c r="D1413" s="129">
        <v>220</v>
      </c>
      <c r="E1413" s="129" t="b">
        <v>1</v>
      </c>
      <c r="F1413" s="129" t="b">
        <v>0</v>
      </c>
      <c r="G1413" s="129" t="s">
        <v>3044</v>
      </c>
      <c r="H1413" s="129" t="s">
        <v>2872</v>
      </c>
      <c r="I1413" s="129" t="s">
        <v>2876</v>
      </c>
      <c r="J1413" s="129"/>
      <c r="K1413" s="129"/>
      <c r="L1413" s="129" t="s">
        <v>2812</v>
      </c>
      <c r="M1413" s="129" t="s">
        <v>2877</v>
      </c>
      <c r="N1413" s="129"/>
      <c r="O1413" s="129" t="s">
        <v>2878</v>
      </c>
      <c r="Q1413" s="129" t="b">
        <v>0</v>
      </c>
    </row>
    <row r="1414" spans="1:17" s="5" customFormat="1" ht="15" hidden="1" customHeight="1">
      <c r="A1414" s="129">
        <v>8233</v>
      </c>
      <c r="B1414" s="129">
        <v>2206</v>
      </c>
      <c r="C1414" s="129">
        <v>0</v>
      </c>
      <c r="D1414" s="129">
        <v>221</v>
      </c>
      <c r="E1414" s="129" t="b">
        <v>1</v>
      </c>
      <c r="F1414" s="129" t="b">
        <v>0</v>
      </c>
      <c r="G1414" s="129" t="s">
        <v>3044</v>
      </c>
      <c r="H1414" s="129" t="s">
        <v>2872</v>
      </c>
      <c r="I1414" s="129" t="s">
        <v>2879</v>
      </c>
      <c r="J1414" s="129"/>
      <c r="K1414" s="129"/>
      <c r="L1414" s="129" t="s">
        <v>2812</v>
      </c>
      <c r="M1414" s="129" t="s">
        <v>2880</v>
      </c>
      <c r="N1414" s="129"/>
      <c r="O1414" s="129" t="s">
        <v>2881</v>
      </c>
      <c r="Q1414" s="129" t="b">
        <v>0</v>
      </c>
    </row>
    <row r="1415" spans="1:17" s="5" customFormat="1" ht="15" hidden="1" customHeight="1">
      <c r="A1415" s="129">
        <v>8242</v>
      </c>
      <c r="B1415" s="129">
        <v>2207</v>
      </c>
      <c r="C1415" s="129">
        <v>0</v>
      </c>
      <c r="D1415" s="129">
        <v>164</v>
      </c>
      <c r="E1415" s="129" t="b">
        <v>1</v>
      </c>
      <c r="F1415" s="129" t="b">
        <v>0</v>
      </c>
      <c r="G1415" s="129" t="s">
        <v>3044</v>
      </c>
      <c r="H1415" s="129" t="s">
        <v>2882</v>
      </c>
      <c r="I1415" s="129" t="s">
        <v>78</v>
      </c>
      <c r="J1415" s="129"/>
      <c r="K1415" s="129"/>
      <c r="L1415" s="129" t="s">
        <v>2812</v>
      </c>
      <c r="M1415" s="129" t="s">
        <v>3052</v>
      </c>
      <c r="N1415" s="129"/>
      <c r="O1415" s="129" t="s">
        <v>3053</v>
      </c>
      <c r="Q1415" s="129" t="b">
        <v>0</v>
      </c>
    </row>
    <row r="1416" spans="1:17" s="5" customFormat="1" ht="15" hidden="1" customHeight="1">
      <c r="A1416" s="129">
        <v>8241</v>
      </c>
      <c r="B1416" s="129">
        <v>2208</v>
      </c>
      <c r="C1416" s="129">
        <v>0</v>
      </c>
      <c r="D1416" s="129">
        <v>222</v>
      </c>
      <c r="E1416" s="129" t="b">
        <v>1</v>
      </c>
      <c r="F1416" s="129" t="b">
        <v>0</v>
      </c>
      <c r="G1416" s="129" t="s">
        <v>3044</v>
      </c>
      <c r="H1416" s="129" t="s">
        <v>2882</v>
      </c>
      <c r="I1416" s="129" t="s">
        <v>2885</v>
      </c>
      <c r="J1416" s="129"/>
      <c r="K1416" s="129"/>
      <c r="L1416" s="129" t="s">
        <v>2812</v>
      </c>
      <c r="M1416" s="129" t="s">
        <v>2886</v>
      </c>
      <c r="N1416" s="129"/>
      <c r="O1416" s="129" t="s">
        <v>2887</v>
      </c>
      <c r="Q1416" s="129" t="b">
        <v>0</v>
      </c>
    </row>
    <row r="1417" spans="1:17" s="5" customFormat="1" ht="15" hidden="1" customHeight="1">
      <c r="A1417" s="129">
        <v>8301</v>
      </c>
      <c r="B1417" s="129">
        <v>2209</v>
      </c>
      <c r="C1417" s="129">
        <v>0</v>
      </c>
      <c r="D1417" s="129">
        <v>164</v>
      </c>
      <c r="E1417" s="129" t="b">
        <v>1</v>
      </c>
      <c r="F1417" s="129" t="b">
        <v>0</v>
      </c>
      <c r="G1417" s="129" t="s">
        <v>3044</v>
      </c>
      <c r="H1417" s="129" t="s">
        <v>2898</v>
      </c>
      <c r="I1417" s="129" t="s">
        <v>49</v>
      </c>
      <c r="J1417" s="129"/>
      <c r="K1417" s="129"/>
      <c r="L1417" s="129" t="s">
        <v>2812</v>
      </c>
      <c r="M1417" s="129" t="s">
        <v>2849</v>
      </c>
      <c r="N1417" s="129"/>
      <c r="O1417" s="129" t="s">
        <v>2850</v>
      </c>
      <c r="Q1417" s="129" t="b">
        <v>0</v>
      </c>
    </row>
    <row r="1418" spans="1:17" s="5" customFormat="1" ht="15" hidden="1" customHeight="1">
      <c r="A1418" s="129">
        <v>8302</v>
      </c>
      <c r="B1418" s="129">
        <v>2210</v>
      </c>
      <c r="C1418" s="129">
        <v>0</v>
      </c>
      <c r="D1418" s="129">
        <v>214</v>
      </c>
      <c r="E1418" s="129" t="b">
        <v>1</v>
      </c>
      <c r="F1418" s="129" t="b">
        <v>0</v>
      </c>
      <c r="G1418" s="129" t="s">
        <v>3044</v>
      </c>
      <c r="H1418" s="129" t="s">
        <v>2898</v>
      </c>
      <c r="I1418" s="129" t="s">
        <v>2851</v>
      </c>
      <c r="J1418" s="129"/>
      <c r="K1418" s="129"/>
      <c r="L1418" s="129" t="s">
        <v>2812</v>
      </c>
      <c r="M1418" s="129" t="s">
        <v>2852</v>
      </c>
      <c r="N1418" s="129"/>
      <c r="O1418" s="129" t="s">
        <v>2853</v>
      </c>
      <c r="Q1418" s="129" t="b">
        <v>0</v>
      </c>
    </row>
    <row r="1419" spans="1:17" s="5" customFormat="1" ht="15" hidden="1" customHeight="1">
      <c r="A1419" s="129">
        <v>8303</v>
      </c>
      <c r="B1419" s="129">
        <v>2211</v>
      </c>
      <c r="C1419" s="129">
        <v>0</v>
      </c>
      <c r="D1419" s="129">
        <v>215</v>
      </c>
      <c r="E1419" s="129" t="b">
        <v>1</v>
      </c>
      <c r="F1419" s="129" t="b">
        <v>0</v>
      </c>
      <c r="G1419" s="129" t="s">
        <v>3044</v>
      </c>
      <c r="H1419" s="129" t="s">
        <v>2898</v>
      </c>
      <c r="I1419" s="129" t="s">
        <v>2854</v>
      </c>
      <c r="J1419" s="129"/>
      <c r="K1419" s="129"/>
      <c r="L1419" s="129" t="s">
        <v>2812</v>
      </c>
      <c r="M1419" s="129" t="s">
        <v>2855</v>
      </c>
      <c r="N1419" s="129"/>
      <c r="O1419" s="129" t="s">
        <v>2856</v>
      </c>
      <c r="Q1419" s="129" t="b">
        <v>0</v>
      </c>
    </row>
    <row r="1420" spans="1:17" s="5" customFormat="1" ht="15" hidden="1" customHeight="1">
      <c r="A1420" s="129">
        <v>8304</v>
      </c>
      <c r="B1420" s="129">
        <v>2212</v>
      </c>
      <c r="C1420" s="129">
        <v>0</v>
      </c>
      <c r="D1420" s="129">
        <v>216</v>
      </c>
      <c r="E1420" s="129" t="b">
        <v>1</v>
      </c>
      <c r="F1420" s="129" t="b">
        <v>0</v>
      </c>
      <c r="G1420" s="129" t="s">
        <v>3044</v>
      </c>
      <c r="H1420" s="129" t="s">
        <v>2898</v>
      </c>
      <c r="I1420" s="129" t="s">
        <v>2857</v>
      </c>
      <c r="J1420" s="129"/>
      <c r="K1420" s="129"/>
      <c r="L1420" s="129" t="s">
        <v>2812</v>
      </c>
      <c r="M1420" s="129" t="s">
        <v>2858</v>
      </c>
      <c r="N1420" s="129"/>
      <c r="O1420" s="129" t="s">
        <v>2859</v>
      </c>
      <c r="Q1420" s="129" t="b">
        <v>0</v>
      </c>
    </row>
    <row r="1421" spans="1:17" s="5" customFormat="1" ht="15" hidden="1" customHeight="1">
      <c r="A1421" s="129">
        <v>8305</v>
      </c>
      <c r="B1421" s="129">
        <v>2213</v>
      </c>
      <c r="C1421" s="129">
        <v>0</v>
      </c>
      <c r="D1421" s="129">
        <v>109</v>
      </c>
      <c r="E1421" s="129" t="b">
        <v>1</v>
      </c>
      <c r="F1421" s="129" t="b">
        <v>0</v>
      </c>
      <c r="G1421" s="129" t="s">
        <v>3044</v>
      </c>
      <c r="H1421" s="129" t="s">
        <v>2894</v>
      </c>
      <c r="I1421" s="129" t="s">
        <v>2895</v>
      </c>
      <c r="J1421" s="129">
        <v>45</v>
      </c>
      <c r="K1421" s="129"/>
      <c r="L1421" s="129" t="s">
        <v>2812</v>
      </c>
      <c r="M1421" s="129" t="s">
        <v>3054</v>
      </c>
      <c r="N1421" s="129"/>
      <c r="O1421" s="129" t="s">
        <v>3055</v>
      </c>
      <c r="Q1421" s="129" t="b">
        <v>0</v>
      </c>
    </row>
    <row r="1422" spans="1:17" s="5" customFormat="1" ht="15" hidden="1" customHeight="1">
      <c r="A1422" s="129">
        <v>8311</v>
      </c>
      <c r="B1422" s="129">
        <v>2214</v>
      </c>
      <c r="C1422" s="129">
        <v>0</v>
      </c>
      <c r="D1422" s="129">
        <v>176</v>
      </c>
      <c r="E1422" s="129" t="b">
        <v>1</v>
      </c>
      <c r="F1422" s="129" t="b">
        <v>0</v>
      </c>
      <c r="G1422" s="129" t="s">
        <v>3044</v>
      </c>
      <c r="H1422" s="129" t="s">
        <v>2899</v>
      </c>
      <c r="I1422" s="129" t="s">
        <v>68</v>
      </c>
      <c r="J1422" s="129"/>
      <c r="K1422" s="129"/>
      <c r="L1422" s="129" t="s">
        <v>2812</v>
      </c>
      <c r="M1422" s="129" t="s">
        <v>2868</v>
      </c>
      <c r="N1422" s="129"/>
      <c r="O1422" s="129" t="s">
        <v>2869</v>
      </c>
      <c r="Q1422" s="129" t="b">
        <v>0</v>
      </c>
    </row>
    <row r="1423" spans="1:17" s="5" customFormat="1" ht="15" hidden="1" customHeight="1">
      <c r="A1423" s="129">
        <v>8312</v>
      </c>
      <c r="B1423" s="129">
        <v>2215</v>
      </c>
      <c r="C1423" s="129">
        <v>0</v>
      </c>
      <c r="D1423" s="129">
        <v>219</v>
      </c>
      <c r="E1423" s="129" t="b">
        <v>1</v>
      </c>
      <c r="F1423" s="129" t="b">
        <v>0</v>
      </c>
      <c r="G1423" s="129" t="s">
        <v>3044</v>
      </c>
      <c r="H1423" s="129" t="s">
        <v>2899</v>
      </c>
      <c r="I1423" s="129" t="s">
        <v>2870</v>
      </c>
      <c r="J1423" s="129"/>
      <c r="K1423" s="129"/>
      <c r="L1423" s="129" t="s">
        <v>2812</v>
      </c>
      <c r="M1423" s="129" t="s">
        <v>75</v>
      </c>
      <c r="N1423" s="129"/>
      <c r="O1423" s="129" t="s">
        <v>2871</v>
      </c>
      <c r="Q1423" s="129" t="b">
        <v>0</v>
      </c>
    </row>
    <row r="1424" spans="1:17" s="5" customFormat="1" ht="15" hidden="1" customHeight="1">
      <c r="A1424" s="129">
        <v>8321</v>
      </c>
      <c r="B1424" s="129">
        <v>2216</v>
      </c>
      <c r="C1424" s="129">
        <v>0</v>
      </c>
      <c r="D1424" s="129">
        <v>164</v>
      </c>
      <c r="E1424" s="129" t="b">
        <v>1</v>
      </c>
      <c r="F1424" s="129" t="b">
        <v>0</v>
      </c>
      <c r="G1424" s="129" t="s">
        <v>3044</v>
      </c>
      <c r="H1424" s="129" t="s">
        <v>2900</v>
      </c>
      <c r="I1424" s="129" t="s">
        <v>2873</v>
      </c>
      <c r="J1424" s="129"/>
      <c r="K1424" s="129"/>
      <c r="L1424" s="129" t="s">
        <v>2812</v>
      </c>
      <c r="M1424" s="129" t="s">
        <v>2874</v>
      </c>
      <c r="N1424" s="129"/>
      <c r="O1424" s="129" t="s">
        <v>2875</v>
      </c>
      <c r="Q1424" s="129" t="b">
        <v>0</v>
      </c>
    </row>
    <row r="1425" spans="1:17" s="5" customFormat="1" ht="15" hidden="1" customHeight="1">
      <c r="A1425" s="129">
        <v>8322</v>
      </c>
      <c r="B1425" s="129">
        <v>2217</v>
      </c>
      <c r="C1425" s="129">
        <v>0</v>
      </c>
      <c r="D1425" s="129">
        <v>220</v>
      </c>
      <c r="E1425" s="129" t="b">
        <v>1</v>
      </c>
      <c r="F1425" s="129" t="b">
        <v>0</v>
      </c>
      <c r="G1425" s="129" t="s">
        <v>3044</v>
      </c>
      <c r="H1425" s="129" t="s">
        <v>2900</v>
      </c>
      <c r="I1425" s="129" t="s">
        <v>2876</v>
      </c>
      <c r="J1425" s="129"/>
      <c r="K1425" s="129"/>
      <c r="L1425" s="129" t="s">
        <v>2812</v>
      </c>
      <c r="M1425" s="129" t="s">
        <v>2877</v>
      </c>
      <c r="N1425" s="129"/>
      <c r="O1425" s="129" t="s">
        <v>2878</v>
      </c>
      <c r="Q1425" s="129" t="b">
        <v>0</v>
      </c>
    </row>
    <row r="1426" spans="1:17" s="5" customFormat="1" ht="15" hidden="1" customHeight="1">
      <c r="A1426" s="129">
        <v>8323</v>
      </c>
      <c r="B1426" s="129">
        <v>2218</v>
      </c>
      <c r="C1426" s="129">
        <v>0</v>
      </c>
      <c r="D1426" s="129">
        <v>221</v>
      </c>
      <c r="E1426" s="129" t="b">
        <v>1</v>
      </c>
      <c r="F1426" s="129" t="b">
        <v>0</v>
      </c>
      <c r="G1426" s="129" t="s">
        <v>3044</v>
      </c>
      <c r="H1426" s="129" t="s">
        <v>2900</v>
      </c>
      <c r="I1426" s="129" t="s">
        <v>2879</v>
      </c>
      <c r="J1426" s="129"/>
      <c r="K1426" s="129"/>
      <c r="L1426" s="129" t="s">
        <v>2812</v>
      </c>
      <c r="M1426" s="129" t="s">
        <v>2880</v>
      </c>
      <c r="N1426" s="129"/>
      <c r="O1426" s="129" t="s">
        <v>2881</v>
      </c>
      <c r="Q1426" s="129" t="b">
        <v>0</v>
      </c>
    </row>
    <row r="1427" spans="1:17" s="5" customFormat="1" ht="15" hidden="1" customHeight="1">
      <c r="A1427" s="129">
        <v>8332</v>
      </c>
      <c r="B1427" s="129">
        <v>2219</v>
      </c>
      <c r="C1427" s="129">
        <v>0</v>
      </c>
      <c r="D1427" s="129">
        <v>164</v>
      </c>
      <c r="E1427" s="129" t="b">
        <v>1</v>
      </c>
      <c r="F1427" s="129" t="b">
        <v>0</v>
      </c>
      <c r="G1427" s="129" t="s">
        <v>3044</v>
      </c>
      <c r="H1427" s="129" t="s">
        <v>2901</v>
      </c>
      <c r="I1427" s="129" t="s">
        <v>78</v>
      </c>
      <c r="J1427" s="129"/>
      <c r="K1427" s="129"/>
      <c r="L1427" s="129" t="s">
        <v>2812</v>
      </c>
      <c r="M1427" s="129" t="s">
        <v>3052</v>
      </c>
      <c r="N1427" s="129"/>
      <c r="O1427" s="129" t="s">
        <v>3053</v>
      </c>
      <c r="Q1427" s="129" t="b">
        <v>0</v>
      </c>
    </row>
    <row r="1428" spans="1:17" s="5" customFormat="1" ht="15" hidden="1" customHeight="1">
      <c r="A1428" s="129">
        <v>8331</v>
      </c>
      <c r="B1428" s="129">
        <v>2220</v>
      </c>
      <c r="C1428" s="129">
        <v>0</v>
      </c>
      <c r="D1428" s="129">
        <v>222</v>
      </c>
      <c r="E1428" s="129" t="b">
        <v>1</v>
      </c>
      <c r="F1428" s="129" t="b">
        <v>0</v>
      </c>
      <c r="G1428" s="129" t="s">
        <v>3044</v>
      </c>
      <c r="H1428" s="129" t="s">
        <v>2901</v>
      </c>
      <c r="I1428" s="129" t="s">
        <v>2885</v>
      </c>
      <c r="J1428" s="129"/>
      <c r="K1428" s="129"/>
      <c r="L1428" s="129" t="s">
        <v>2812</v>
      </c>
      <c r="M1428" s="129" t="s">
        <v>2886</v>
      </c>
      <c r="N1428" s="129"/>
      <c r="O1428" s="129" t="s">
        <v>2887</v>
      </c>
      <c r="Q1428" s="129" t="b">
        <v>0</v>
      </c>
    </row>
    <row r="1429" spans="1:17" s="5" customFormat="1" ht="15" hidden="1" customHeight="1">
      <c r="A1429" s="129">
        <v>8341</v>
      </c>
      <c r="B1429" s="129">
        <v>2221</v>
      </c>
      <c r="C1429" s="129">
        <v>0</v>
      </c>
      <c r="D1429" s="129">
        <v>164</v>
      </c>
      <c r="E1429" s="129" t="b">
        <v>1</v>
      </c>
      <c r="F1429" s="129" t="b">
        <v>0</v>
      </c>
      <c r="G1429" s="129" t="s">
        <v>3044</v>
      </c>
      <c r="H1429" s="129" t="s">
        <v>2902</v>
      </c>
      <c r="I1429" s="129" t="s">
        <v>160</v>
      </c>
      <c r="J1429" s="129"/>
      <c r="K1429" s="129"/>
      <c r="L1429" s="129" t="s">
        <v>2812</v>
      </c>
      <c r="M1429" s="129" t="s">
        <v>2903</v>
      </c>
      <c r="N1429" s="129"/>
      <c r="O1429" s="129" t="s">
        <v>2904</v>
      </c>
      <c r="Q1429" s="129" t="b">
        <v>0</v>
      </c>
    </row>
    <row r="1430" spans="1:17" s="5" customFormat="1" ht="15" hidden="1" customHeight="1">
      <c r="A1430" s="129">
        <v>8342</v>
      </c>
      <c r="B1430" s="129">
        <v>2222</v>
      </c>
      <c r="C1430" s="129">
        <v>0</v>
      </c>
      <c r="D1430" s="129">
        <v>224</v>
      </c>
      <c r="E1430" s="129" t="b">
        <v>1</v>
      </c>
      <c r="F1430" s="129" t="b">
        <v>0</v>
      </c>
      <c r="G1430" s="129" t="s">
        <v>3044</v>
      </c>
      <c r="H1430" s="129" t="s">
        <v>2902</v>
      </c>
      <c r="I1430" s="129" t="s">
        <v>2748</v>
      </c>
      <c r="J1430" s="129"/>
      <c r="K1430" s="129"/>
      <c r="L1430" s="129" t="s">
        <v>2812</v>
      </c>
      <c r="M1430" s="129" t="s">
        <v>2905</v>
      </c>
      <c r="N1430" s="129"/>
      <c r="O1430" s="129" t="s">
        <v>2906</v>
      </c>
      <c r="Q1430" s="129" t="b">
        <v>0</v>
      </c>
    </row>
    <row r="1431" spans="1:17" s="5" customFormat="1" ht="15" hidden="1" customHeight="1">
      <c r="A1431" s="129">
        <v>8343</v>
      </c>
      <c r="B1431" s="129">
        <v>2223</v>
      </c>
      <c r="C1431" s="129">
        <v>0</v>
      </c>
      <c r="D1431" s="129">
        <v>225</v>
      </c>
      <c r="E1431" s="129" t="b">
        <v>1</v>
      </c>
      <c r="F1431" s="129" t="b">
        <v>0</v>
      </c>
      <c r="G1431" s="129" t="s">
        <v>3044</v>
      </c>
      <c r="H1431" s="129" t="s">
        <v>2902</v>
      </c>
      <c r="I1431" s="129" t="s">
        <v>2907</v>
      </c>
      <c r="J1431" s="129"/>
      <c r="K1431" s="129"/>
      <c r="L1431" s="129" t="s">
        <v>2812</v>
      </c>
      <c r="M1431" s="129" t="s">
        <v>2908</v>
      </c>
      <c r="N1431" s="129"/>
      <c r="O1431" s="129" t="s">
        <v>2909</v>
      </c>
      <c r="Q1431" s="129" t="b">
        <v>0</v>
      </c>
    </row>
    <row r="1432" spans="1:17" s="5" customFormat="1" ht="15" hidden="1" customHeight="1">
      <c r="A1432" s="129">
        <v>8351</v>
      </c>
      <c r="B1432" s="129">
        <v>2224</v>
      </c>
      <c r="C1432" s="129">
        <v>0</v>
      </c>
      <c r="D1432" s="129">
        <v>164</v>
      </c>
      <c r="E1432" s="129" t="b">
        <v>1</v>
      </c>
      <c r="F1432" s="129" t="b">
        <v>0</v>
      </c>
      <c r="G1432" s="129" t="s">
        <v>3044</v>
      </c>
      <c r="H1432" s="129" t="s">
        <v>2910</v>
      </c>
      <c r="I1432" s="129" t="s">
        <v>101</v>
      </c>
      <c r="J1432" s="129"/>
      <c r="K1432" s="129"/>
      <c r="L1432" s="129" t="s">
        <v>2812</v>
      </c>
      <c r="M1432" s="129" t="s">
        <v>2911</v>
      </c>
      <c r="N1432" s="129"/>
      <c r="O1432" s="129" t="s">
        <v>2912</v>
      </c>
      <c r="Q1432" s="129" t="b">
        <v>0</v>
      </c>
    </row>
    <row r="1433" spans="1:17" s="5" customFormat="1" ht="15" hidden="1" customHeight="1">
      <c r="A1433" s="129">
        <v>8352</v>
      </c>
      <c r="B1433" s="129">
        <v>2225</v>
      </c>
      <c r="C1433" s="129">
        <v>0</v>
      </c>
      <c r="D1433" s="129">
        <v>212</v>
      </c>
      <c r="E1433" s="129" t="b">
        <v>1</v>
      </c>
      <c r="F1433" s="129" t="b">
        <v>0</v>
      </c>
      <c r="G1433" s="129" t="s">
        <v>3044</v>
      </c>
      <c r="H1433" s="129" t="s">
        <v>2910</v>
      </c>
      <c r="I1433" s="129" t="s">
        <v>2829</v>
      </c>
      <c r="J1433" s="129"/>
      <c r="K1433" s="129"/>
      <c r="L1433" s="129" t="s">
        <v>2812</v>
      </c>
      <c r="M1433" s="129" t="s">
        <v>2830</v>
      </c>
      <c r="N1433" s="129"/>
      <c r="O1433" s="129" t="s">
        <v>2831</v>
      </c>
      <c r="Q1433" s="129" t="b">
        <v>0</v>
      </c>
    </row>
    <row r="1434" spans="1:17" s="5" customFormat="1" ht="15" hidden="1" customHeight="1">
      <c r="A1434" s="129">
        <v>8353</v>
      </c>
      <c r="B1434" s="129">
        <v>2226</v>
      </c>
      <c r="C1434" s="129">
        <v>0</v>
      </c>
      <c r="D1434" s="129">
        <v>237</v>
      </c>
      <c r="E1434" s="129" t="b">
        <v>1</v>
      </c>
      <c r="F1434" s="129" t="b">
        <v>0</v>
      </c>
      <c r="G1434" s="129" t="s">
        <v>3044</v>
      </c>
      <c r="H1434" s="129" t="s">
        <v>2910</v>
      </c>
      <c r="I1434" s="129" t="s">
        <v>2835</v>
      </c>
      <c r="J1434" s="129"/>
      <c r="K1434" s="129"/>
      <c r="L1434" s="129" t="s">
        <v>2812</v>
      </c>
      <c r="M1434" s="129" t="s">
        <v>2836</v>
      </c>
      <c r="N1434" s="129"/>
      <c r="O1434" s="129" t="s">
        <v>2837</v>
      </c>
      <c r="Q1434" s="129" t="b">
        <v>0</v>
      </c>
    </row>
    <row r="1435" spans="1:17" s="5" customFormat="1" ht="15" hidden="1" customHeight="1">
      <c r="A1435" s="129">
        <v>8354</v>
      </c>
      <c r="B1435" s="129">
        <v>2227</v>
      </c>
      <c r="C1435" s="129">
        <v>0</v>
      </c>
      <c r="D1435" s="129">
        <v>226</v>
      </c>
      <c r="E1435" s="129" t="b">
        <v>1</v>
      </c>
      <c r="F1435" s="129" t="b">
        <v>0</v>
      </c>
      <c r="G1435" s="129" t="s">
        <v>3044</v>
      </c>
      <c r="H1435" s="129" t="s">
        <v>2910</v>
      </c>
      <c r="I1435" s="129" t="s">
        <v>110</v>
      </c>
      <c r="J1435" s="129"/>
      <c r="K1435" s="129"/>
      <c r="L1435" s="129" t="s">
        <v>2812</v>
      </c>
      <c r="M1435" s="129" t="s">
        <v>2913</v>
      </c>
      <c r="N1435" s="129"/>
      <c r="O1435" s="129" t="s">
        <v>2914</v>
      </c>
      <c r="Q1435" s="129" t="b">
        <v>0</v>
      </c>
    </row>
    <row r="1436" spans="1:17" s="5" customFormat="1" ht="15" hidden="1" customHeight="1">
      <c r="A1436" s="129">
        <v>8355</v>
      </c>
      <c r="B1436" s="129">
        <v>2228</v>
      </c>
      <c r="C1436" s="129">
        <v>0</v>
      </c>
      <c r="D1436" s="129">
        <v>227</v>
      </c>
      <c r="E1436" s="129" t="b">
        <v>1</v>
      </c>
      <c r="F1436" s="129" t="b">
        <v>0</v>
      </c>
      <c r="G1436" s="129" t="s">
        <v>3044</v>
      </c>
      <c r="H1436" s="129" t="s">
        <v>2910</v>
      </c>
      <c r="I1436" s="129" t="s">
        <v>2915</v>
      </c>
      <c r="J1436" s="129"/>
      <c r="K1436" s="129"/>
      <c r="L1436" s="129" t="s">
        <v>2812</v>
      </c>
      <c r="M1436" s="129" t="s">
        <v>2916</v>
      </c>
      <c r="N1436" s="129"/>
      <c r="O1436" s="129" t="s">
        <v>2917</v>
      </c>
      <c r="Q1436" s="129" t="b">
        <v>0</v>
      </c>
    </row>
    <row r="1437" spans="1:17" s="5" customFormat="1" ht="15" hidden="1" customHeight="1">
      <c r="A1437" s="129">
        <v>8356</v>
      </c>
      <c r="B1437" s="129">
        <v>2229</v>
      </c>
      <c r="C1437" s="129">
        <v>0</v>
      </c>
      <c r="D1437" s="129">
        <v>228</v>
      </c>
      <c r="E1437" s="129" t="b">
        <v>1</v>
      </c>
      <c r="F1437" s="129" t="b">
        <v>0</v>
      </c>
      <c r="G1437" s="129" t="s">
        <v>3044</v>
      </c>
      <c r="H1437" s="129" t="s">
        <v>2910</v>
      </c>
      <c r="I1437" s="129" t="s">
        <v>2918</v>
      </c>
      <c r="J1437" s="129"/>
      <c r="K1437" s="129"/>
      <c r="L1437" s="129" t="s">
        <v>2812</v>
      </c>
      <c r="M1437" s="129" t="s">
        <v>2919</v>
      </c>
      <c r="N1437" s="129"/>
      <c r="O1437" s="129" t="s">
        <v>2920</v>
      </c>
      <c r="Q1437" s="129" t="b">
        <v>0</v>
      </c>
    </row>
    <row r="1438" spans="1:17" s="5" customFormat="1" ht="15" hidden="1" customHeight="1">
      <c r="A1438" s="129">
        <v>8361</v>
      </c>
      <c r="B1438" s="129">
        <v>2230</v>
      </c>
      <c r="C1438" s="129">
        <v>0</v>
      </c>
      <c r="D1438" s="129">
        <v>164</v>
      </c>
      <c r="E1438" s="129" t="b">
        <v>1</v>
      </c>
      <c r="F1438" s="129" t="b">
        <v>0</v>
      </c>
      <c r="G1438" s="129" t="s">
        <v>3044</v>
      </c>
      <c r="H1438" s="129" t="s">
        <v>2921</v>
      </c>
      <c r="I1438" s="129" t="s">
        <v>114</v>
      </c>
      <c r="J1438" s="129"/>
      <c r="K1438" s="129"/>
      <c r="L1438" s="129" t="s">
        <v>2812</v>
      </c>
      <c r="M1438" s="129" t="s">
        <v>2922</v>
      </c>
      <c r="N1438" s="129"/>
      <c r="O1438" s="129" t="s">
        <v>2923</v>
      </c>
      <c r="Q1438" s="129" t="b">
        <v>0</v>
      </c>
    </row>
    <row r="1439" spans="1:17" s="5" customFormat="1" ht="15" hidden="1" customHeight="1">
      <c r="A1439" s="129">
        <v>8362</v>
      </c>
      <c r="B1439" s="129">
        <v>2231</v>
      </c>
      <c r="C1439" s="129">
        <v>0</v>
      </c>
      <c r="D1439" s="149">
        <v>313</v>
      </c>
      <c r="E1439" s="129" t="b">
        <v>1</v>
      </c>
      <c r="F1439" s="129" t="b">
        <v>0</v>
      </c>
      <c r="G1439" s="129" t="s">
        <v>3044</v>
      </c>
      <c r="H1439" s="129" t="s">
        <v>2921</v>
      </c>
      <c r="I1439" s="129" t="s">
        <v>2758</v>
      </c>
      <c r="J1439" s="129"/>
      <c r="K1439" s="129"/>
      <c r="L1439" s="129" t="s">
        <v>2812</v>
      </c>
      <c r="M1439" s="129" t="s">
        <v>2924</v>
      </c>
      <c r="N1439" s="129"/>
      <c r="O1439" s="129" t="s">
        <v>2925</v>
      </c>
      <c r="Q1439" s="129" t="b">
        <v>0</v>
      </c>
    </row>
    <row r="1440" spans="1:17" s="5" customFormat="1" ht="15" hidden="1" customHeight="1">
      <c r="A1440" s="129">
        <v>8371</v>
      </c>
      <c r="B1440" s="129">
        <v>2232</v>
      </c>
      <c r="C1440" s="129">
        <v>0</v>
      </c>
      <c r="D1440" s="129">
        <v>164</v>
      </c>
      <c r="E1440" s="129" t="b">
        <v>1</v>
      </c>
      <c r="F1440" s="129" t="b">
        <v>0</v>
      </c>
      <c r="G1440" s="129" t="s">
        <v>3044</v>
      </c>
      <c r="H1440" s="129" t="s">
        <v>3056</v>
      </c>
      <c r="I1440" s="129" t="s">
        <v>3057</v>
      </c>
      <c r="J1440" s="129"/>
      <c r="K1440" s="129"/>
      <c r="L1440" s="129" t="s">
        <v>2812</v>
      </c>
      <c r="M1440" s="129" t="s">
        <v>3058</v>
      </c>
      <c r="N1440" s="129"/>
      <c r="O1440" s="129" t="s">
        <v>3059</v>
      </c>
      <c r="Q1440" s="129" t="b">
        <v>0</v>
      </c>
    </row>
    <row r="1441" spans="1:17" s="5" customFormat="1" ht="15" hidden="1" customHeight="1">
      <c r="A1441" s="129">
        <v>8372</v>
      </c>
      <c r="B1441" s="129">
        <v>2233</v>
      </c>
      <c r="C1441" s="129">
        <v>0</v>
      </c>
      <c r="D1441" s="129">
        <v>244</v>
      </c>
      <c r="E1441" s="129" t="b">
        <v>1</v>
      </c>
      <c r="F1441" s="129" t="b">
        <v>0</v>
      </c>
      <c r="G1441" s="129" t="s">
        <v>3044</v>
      </c>
      <c r="H1441" s="129" t="s">
        <v>3056</v>
      </c>
      <c r="I1441" s="129" t="s">
        <v>2764</v>
      </c>
      <c r="J1441" s="129"/>
      <c r="K1441" s="129"/>
      <c r="L1441" s="129" t="s">
        <v>2812</v>
      </c>
      <c r="M1441" s="129" t="s">
        <v>2765</v>
      </c>
      <c r="N1441" s="129"/>
      <c r="O1441" s="129" t="s">
        <v>3060</v>
      </c>
      <c r="Q1441" s="129" t="b">
        <v>0</v>
      </c>
    </row>
    <row r="1442" spans="1:17" s="5" customFormat="1" ht="15" hidden="1" customHeight="1">
      <c r="A1442" s="129">
        <v>8373</v>
      </c>
      <c r="B1442" s="129">
        <v>2234</v>
      </c>
      <c r="C1442" s="129">
        <v>0</v>
      </c>
      <c r="D1442" s="129">
        <v>270</v>
      </c>
      <c r="E1442" s="129" t="b">
        <v>1</v>
      </c>
      <c r="F1442" s="129" t="b">
        <v>0</v>
      </c>
      <c r="G1442" s="129" t="s">
        <v>3044</v>
      </c>
      <c r="H1442" s="129" t="s">
        <v>3056</v>
      </c>
      <c r="I1442" s="129" t="s">
        <v>3061</v>
      </c>
      <c r="J1442" s="129"/>
      <c r="K1442" s="129"/>
      <c r="L1442" s="129" t="s">
        <v>2812</v>
      </c>
      <c r="M1442" s="129" t="s">
        <v>2768</v>
      </c>
      <c r="N1442" s="129"/>
      <c r="O1442" s="129" t="s">
        <v>3062</v>
      </c>
      <c r="Q1442" s="129" t="b">
        <v>0</v>
      </c>
    </row>
    <row r="1443" spans="1:17" s="5" customFormat="1" ht="15" hidden="1" customHeight="1">
      <c r="A1443" s="129">
        <v>8374</v>
      </c>
      <c r="B1443" s="129">
        <v>2235</v>
      </c>
      <c r="C1443" s="129">
        <v>0</v>
      </c>
      <c r="D1443" s="129">
        <v>232</v>
      </c>
      <c r="E1443" s="129" t="b">
        <v>1</v>
      </c>
      <c r="F1443" s="129" t="b">
        <v>0</v>
      </c>
      <c r="G1443" s="129" t="s">
        <v>3044</v>
      </c>
      <c r="H1443" s="129" t="s">
        <v>3056</v>
      </c>
      <c r="I1443" s="129" t="s">
        <v>2959</v>
      </c>
      <c r="J1443" s="129"/>
      <c r="K1443" s="129"/>
      <c r="L1443" s="129" t="s">
        <v>2812</v>
      </c>
      <c r="M1443" s="129" t="s">
        <v>3063</v>
      </c>
      <c r="N1443" s="129"/>
      <c r="O1443" s="129" t="s">
        <v>3064</v>
      </c>
      <c r="Q1443" s="129" t="b">
        <v>0</v>
      </c>
    </row>
    <row r="1444" spans="1:17" s="5" customFormat="1" ht="15" hidden="1" customHeight="1">
      <c r="A1444" s="129">
        <v>8375</v>
      </c>
      <c r="B1444" s="129">
        <v>2236</v>
      </c>
      <c r="C1444" s="129">
        <v>0</v>
      </c>
      <c r="D1444" s="129">
        <v>271</v>
      </c>
      <c r="E1444" s="129" t="b">
        <v>1</v>
      </c>
      <c r="F1444" s="129" t="b">
        <v>0</v>
      </c>
      <c r="G1444" s="129" t="s">
        <v>3044</v>
      </c>
      <c r="H1444" s="129" t="s">
        <v>3056</v>
      </c>
      <c r="I1444" s="129" t="s">
        <v>3065</v>
      </c>
      <c r="J1444" s="129"/>
      <c r="K1444" s="129"/>
      <c r="L1444" s="129" t="s">
        <v>2812</v>
      </c>
      <c r="M1444" s="129" t="s">
        <v>3066</v>
      </c>
      <c r="N1444" s="129"/>
      <c r="O1444" s="129" t="s">
        <v>3067</v>
      </c>
      <c r="Q1444" s="129" t="b">
        <v>0</v>
      </c>
    </row>
    <row r="1445" spans="1:17" s="5" customFormat="1" ht="15" hidden="1" customHeight="1">
      <c r="A1445" s="129">
        <v>8401</v>
      </c>
      <c r="B1445" s="129">
        <v>2237</v>
      </c>
      <c r="C1445" s="129">
        <v>0</v>
      </c>
      <c r="D1445" s="129">
        <v>164</v>
      </c>
      <c r="E1445" s="129" t="b">
        <v>1</v>
      </c>
      <c r="F1445" s="129" t="b">
        <v>0</v>
      </c>
      <c r="G1445" s="129" t="s">
        <v>3044</v>
      </c>
      <c r="H1445" s="129" t="s">
        <v>2930</v>
      </c>
      <c r="I1445" s="129" t="s">
        <v>49</v>
      </c>
      <c r="J1445" s="129"/>
      <c r="K1445" s="129"/>
      <c r="L1445" s="129" t="s">
        <v>2812</v>
      </c>
      <c r="M1445" s="129" t="s">
        <v>2849</v>
      </c>
      <c r="N1445" s="129"/>
      <c r="O1445" s="129" t="s">
        <v>2850</v>
      </c>
      <c r="Q1445" s="129" t="b">
        <v>0</v>
      </c>
    </row>
    <row r="1446" spans="1:17" s="5" customFormat="1" ht="15" hidden="1" customHeight="1">
      <c r="A1446" s="129">
        <v>8402</v>
      </c>
      <c r="B1446" s="129">
        <v>2238</v>
      </c>
      <c r="C1446" s="129">
        <v>0</v>
      </c>
      <c r="D1446" s="129">
        <v>214</v>
      </c>
      <c r="E1446" s="129" t="b">
        <v>1</v>
      </c>
      <c r="F1446" s="129" t="b">
        <v>0</v>
      </c>
      <c r="G1446" s="129" t="s">
        <v>3044</v>
      </c>
      <c r="H1446" s="129" t="s">
        <v>2930</v>
      </c>
      <c r="I1446" s="129" t="s">
        <v>2851</v>
      </c>
      <c r="J1446" s="129"/>
      <c r="K1446" s="129"/>
      <c r="L1446" s="129" t="s">
        <v>2812</v>
      </c>
      <c r="M1446" s="129" t="s">
        <v>2852</v>
      </c>
      <c r="N1446" s="129"/>
      <c r="O1446" s="129" t="s">
        <v>2853</v>
      </c>
      <c r="Q1446" s="129" t="b">
        <v>0</v>
      </c>
    </row>
    <row r="1447" spans="1:17" s="5" customFormat="1" ht="15" hidden="1" customHeight="1">
      <c r="A1447" s="129">
        <v>8403</v>
      </c>
      <c r="B1447" s="129">
        <v>2239</v>
      </c>
      <c r="C1447" s="129">
        <v>0</v>
      </c>
      <c r="D1447" s="129">
        <v>215</v>
      </c>
      <c r="E1447" s="129" t="b">
        <v>1</v>
      </c>
      <c r="F1447" s="129" t="b">
        <v>0</v>
      </c>
      <c r="G1447" s="129" t="s">
        <v>3044</v>
      </c>
      <c r="H1447" s="129" t="s">
        <v>2930</v>
      </c>
      <c r="I1447" s="129" t="s">
        <v>2854</v>
      </c>
      <c r="J1447" s="129"/>
      <c r="K1447" s="129"/>
      <c r="L1447" s="129" t="s">
        <v>2812</v>
      </c>
      <c r="M1447" s="129" t="s">
        <v>2855</v>
      </c>
      <c r="N1447" s="129"/>
      <c r="O1447" s="129" t="s">
        <v>2856</v>
      </c>
      <c r="Q1447" s="129" t="b">
        <v>0</v>
      </c>
    </row>
    <row r="1448" spans="1:17" s="5" customFormat="1" ht="15" hidden="1" customHeight="1">
      <c r="A1448" s="129">
        <v>8404</v>
      </c>
      <c r="B1448" s="129">
        <v>2240</v>
      </c>
      <c r="C1448" s="129">
        <v>0</v>
      </c>
      <c r="D1448" s="129">
        <v>216</v>
      </c>
      <c r="E1448" s="129" t="b">
        <v>1</v>
      </c>
      <c r="F1448" s="129" t="b">
        <v>0</v>
      </c>
      <c r="G1448" s="129" t="s">
        <v>3044</v>
      </c>
      <c r="H1448" s="129" t="s">
        <v>2930</v>
      </c>
      <c r="I1448" s="129" t="s">
        <v>2857</v>
      </c>
      <c r="J1448" s="129"/>
      <c r="K1448" s="129"/>
      <c r="L1448" s="129" t="s">
        <v>2812</v>
      </c>
      <c r="M1448" s="129" t="s">
        <v>2858</v>
      </c>
      <c r="N1448" s="129"/>
      <c r="O1448" s="129" t="s">
        <v>2859</v>
      </c>
      <c r="Q1448" s="129" t="b">
        <v>0</v>
      </c>
    </row>
    <row r="1449" spans="1:17" s="5" customFormat="1" ht="15" hidden="1" customHeight="1">
      <c r="A1449" s="129">
        <v>8405</v>
      </c>
      <c r="B1449" s="129">
        <v>2241</v>
      </c>
      <c r="C1449" s="129">
        <v>0</v>
      </c>
      <c r="D1449" s="129">
        <v>109</v>
      </c>
      <c r="E1449" s="129" t="b">
        <v>1</v>
      </c>
      <c r="F1449" s="129" t="b">
        <v>0</v>
      </c>
      <c r="G1449" s="129" t="s">
        <v>3044</v>
      </c>
      <c r="H1449" s="129" t="s">
        <v>2926</v>
      </c>
      <c r="I1449" s="129" t="s">
        <v>2927</v>
      </c>
      <c r="J1449" s="129">
        <v>46</v>
      </c>
      <c r="K1449" s="129"/>
      <c r="L1449" s="129" t="s">
        <v>2812</v>
      </c>
      <c r="M1449" s="129" t="s">
        <v>3068</v>
      </c>
      <c r="N1449" s="129"/>
      <c r="O1449" s="129" t="s">
        <v>3069</v>
      </c>
      <c r="Q1449" s="129" t="b">
        <v>0</v>
      </c>
    </row>
    <row r="1450" spans="1:17" s="5" customFormat="1" ht="15" hidden="1" customHeight="1">
      <c r="A1450" s="129">
        <v>8411</v>
      </c>
      <c r="B1450" s="129">
        <v>2242</v>
      </c>
      <c r="C1450" s="129">
        <v>0</v>
      </c>
      <c r="D1450" s="129">
        <v>176</v>
      </c>
      <c r="E1450" s="129" t="b">
        <v>1</v>
      </c>
      <c r="F1450" s="129" t="b">
        <v>0</v>
      </c>
      <c r="G1450" s="129" t="s">
        <v>3044</v>
      </c>
      <c r="H1450" s="129" t="s">
        <v>2931</v>
      </c>
      <c r="I1450" s="129" t="s">
        <v>68</v>
      </c>
      <c r="J1450" s="129"/>
      <c r="K1450" s="129"/>
      <c r="L1450" s="129" t="s">
        <v>2812</v>
      </c>
      <c r="M1450" s="129" t="s">
        <v>2868</v>
      </c>
      <c r="N1450" s="129"/>
      <c r="O1450" s="129" t="s">
        <v>2869</v>
      </c>
      <c r="Q1450" s="129" t="b">
        <v>0</v>
      </c>
    </row>
    <row r="1451" spans="1:17" s="5" customFormat="1" ht="15" hidden="1" customHeight="1">
      <c r="A1451" s="129">
        <v>8412</v>
      </c>
      <c r="B1451" s="129">
        <v>2243</v>
      </c>
      <c r="C1451" s="129">
        <v>0</v>
      </c>
      <c r="D1451" s="129">
        <v>219</v>
      </c>
      <c r="E1451" s="129" t="b">
        <v>1</v>
      </c>
      <c r="F1451" s="129" t="b">
        <v>0</v>
      </c>
      <c r="G1451" s="129" t="s">
        <v>3044</v>
      </c>
      <c r="H1451" s="129" t="s">
        <v>2931</v>
      </c>
      <c r="I1451" s="129" t="s">
        <v>2870</v>
      </c>
      <c r="J1451" s="129"/>
      <c r="K1451" s="129"/>
      <c r="L1451" s="129" t="s">
        <v>2812</v>
      </c>
      <c r="M1451" s="129" t="s">
        <v>75</v>
      </c>
      <c r="N1451" s="129"/>
      <c r="O1451" s="129" t="s">
        <v>2871</v>
      </c>
      <c r="Q1451" s="129" t="b">
        <v>0</v>
      </c>
    </row>
    <row r="1452" spans="1:17" s="5" customFormat="1" ht="15" hidden="1" customHeight="1">
      <c r="A1452" s="129">
        <v>8421</v>
      </c>
      <c r="B1452" s="129">
        <v>2244</v>
      </c>
      <c r="C1452" s="129">
        <v>0</v>
      </c>
      <c r="D1452" s="129">
        <v>164</v>
      </c>
      <c r="E1452" s="129" t="b">
        <v>1</v>
      </c>
      <c r="F1452" s="129" t="b">
        <v>0</v>
      </c>
      <c r="G1452" s="129" t="s">
        <v>3044</v>
      </c>
      <c r="H1452" s="129" t="s">
        <v>2932</v>
      </c>
      <c r="I1452" s="129" t="s">
        <v>2873</v>
      </c>
      <c r="J1452" s="129"/>
      <c r="K1452" s="129"/>
      <c r="L1452" s="129" t="s">
        <v>2812</v>
      </c>
      <c r="M1452" s="129" t="s">
        <v>2874</v>
      </c>
      <c r="N1452" s="129"/>
      <c r="O1452" s="129" t="s">
        <v>2875</v>
      </c>
      <c r="Q1452" s="129" t="b">
        <v>0</v>
      </c>
    </row>
    <row r="1453" spans="1:17" s="5" customFormat="1" ht="15" hidden="1" customHeight="1">
      <c r="A1453" s="129">
        <v>8422</v>
      </c>
      <c r="B1453" s="129">
        <v>2245</v>
      </c>
      <c r="C1453" s="129">
        <v>0</v>
      </c>
      <c r="D1453" s="129">
        <v>220</v>
      </c>
      <c r="E1453" s="129" t="b">
        <v>1</v>
      </c>
      <c r="F1453" s="129" t="b">
        <v>0</v>
      </c>
      <c r="G1453" s="129" t="s">
        <v>3044</v>
      </c>
      <c r="H1453" s="129" t="s">
        <v>2932</v>
      </c>
      <c r="I1453" s="129" t="s">
        <v>2876</v>
      </c>
      <c r="J1453" s="129"/>
      <c r="K1453" s="129"/>
      <c r="L1453" s="129" t="s">
        <v>2812</v>
      </c>
      <c r="M1453" s="129" t="s">
        <v>2877</v>
      </c>
      <c r="N1453" s="129"/>
      <c r="O1453" s="129" t="s">
        <v>2878</v>
      </c>
      <c r="Q1453" s="129" t="b">
        <v>0</v>
      </c>
    </row>
    <row r="1454" spans="1:17" s="5" customFormat="1" ht="15" hidden="1" customHeight="1">
      <c r="A1454" s="129">
        <v>8423</v>
      </c>
      <c r="B1454" s="129">
        <v>2246</v>
      </c>
      <c r="C1454" s="129">
        <v>0</v>
      </c>
      <c r="D1454" s="129">
        <v>221</v>
      </c>
      <c r="E1454" s="129" t="b">
        <v>1</v>
      </c>
      <c r="F1454" s="129" t="b">
        <v>0</v>
      </c>
      <c r="G1454" s="129" t="s">
        <v>3044</v>
      </c>
      <c r="H1454" s="129" t="s">
        <v>2932</v>
      </c>
      <c r="I1454" s="129" t="s">
        <v>2879</v>
      </c>
      <c r="J1454" s="129"/>
      <c r="K1454" s="129"/>
      <c r="L1454" s="129" t="s">
        <v>2812</v>
      </c>
      <c r="M1454" s="129" t="s">
        <v>2880</v>
      </c>
      <c r="N1454" s="129"/>
      <c r="O1454" s="129" t="s">
        <v>2881</v>
      </c>
      <c r="Q1454" s="129" t="b">
        <v>0</v>
      </c>
    </row>
    <row r="1455" spans="1:17" s="5" customFormat="1" ht="15" hidden="1" customHeight="1">
      <c r="A1455" s="129">
        <v>8431</v>
      </c>
      <c r="B1455" s="129">
        <v>2247</v>
      </c>
      <c r="C1455" s="129">
        <v>0</v>
      </c>
      <c r="D1455" s="129">
        <v>164</v>
      </c>
      <c r="E1455" s="129" t="b">
        <v>1</v>
      </c>
      <c r="F1455" s="129" t="b">
        <v>0</v>
      </c>
      <c r="G1455" s="129" t="s">
        <v>3044</v>
      </c>
      <c r="H1455" s="129" t="s">
        <v>2933</v>
      </c>
      <c r="I1455" s="129" t="s">
        <v>160</v>
      </c>
      <c r="J1455" s="129"/>
      <c r="K1455" s="129"/>
      <c r="L1455" s="129" t="s">
        <v>2812</v>
      </c>
      <c r="M1455" s="129" t="s">
        <v>2903</v>
      </c>
      <c r="N1455" s="129"/>
      <c r="O1455" s="129" t="s">
        <v>2904</v>
      </c>
      <c r="Q1455" s="129" t="b">
        <v>0</v>
      </c>
    </row>
    <row r="1456" spans="1:17" s="5" customFormat="1" ht="15" hidden="1" customHeight="1">
      <c r="A1456" s="129">
        <v>8432</v>
      </c>
      <c r="B1456" s="129">
        <v>2248</v>
      </c>
      <c r="C1456" s="129">
        <v>0</v>
      </c>
      <c r="D1456" s="129">
        <v>224</v>
      </c>
      <c r="E1456" s="129" t="b">
        <v>1</v>
      </c>
      <c r="F1456" s="129" t="b">
        <v>0</v>
      </c>
      <c r="G1456" s="129" t="s">
        <v>3044</v>
      </c>
      <c r="H1456" s="129" t="s">
        <v>2933</v>
      </c>
      <c r="I1456" s="129" t="s">
        <v>2748</v>
      </c>
      <c r="J1456" s="129"/>
      <c r="K1456" s="129"/>
      <c r="L1456" s="129" t="s">
        <v>2812</v>
      </c>
      <c r="M1456" s="129" t="s">
        <v>2905</v>
      </c>
      <c r="N1456" s="129"/>
      <c r="O1456" s="129" t="s">
        <v>2906</v>
      </c>
      <c r="Q1456" s="129" t="b">
        <v>0</v>
      </c>
    </row>
    <row r="1457" spans="1:17" s="5" customFormat="1" ht="15" hidden="1" customHeight="1">
      <c r="A1457" s="129">
        <v>8433</v>
      </c>
      <c r="B1457" s="129">
        <v>2249</v>
      </c>
      <c r="C1457" s="129">
        <v>0</v>
      </c>
      <c r="D1457" s="129">
        <v>225</v>
      </c>
      <c r="E1457" s="129" t="b">
        <v>1</v>
      </c>
      <c r="F1457" s="129" t="b">
        <v>0</v>
      </c>
      <c r="G1457" s="129" t="s">
        <v>3044</v>
      </c>
      <c r="H1457" s="129" t="s">
        <v>2933</v>
      </c>
      <c r="I1457" s="129" t="s">
        <v>2907</v>
      </c>
      <c r="J1457" s="129"/>
      <c r="K1457" s="129"/>
      <c r="L1457" s="129" t="s">
        <v>2812</v>
      </c>
      <c r="M1457" s="129" t="s">
        <v>2908</v>
      </c>
      <c r="N1457" s="129"/>
      <c r="O1457" s="129" t="s">
        <v>2909</v>
      </c>
      <c r="Q1457" s="129" t="b">
        <v>0</v>
      </c>
    </row>
    <row r="1458" spans="1:17" s="5" customFormat="1" ht="15" hidden="1" customHeight="1">
      <c r="A1458" s="129">
        <v>8441</v>
      </c>
      <c r="B1458" s="129">
        <v>2250</v>
      </c>
      <c r="C1458" s="129">
        <v>0</v>
      </c>
      <c r="D1458" s="129">
        <v>164</v>
      </c>
      <c r="E1458" s="129" t="b">
        <v>1</v>
      </c>
      <c r="F1458" s="129" t="b">
        <v>0</v>
      </c>
      <c r="G1458" s="129" t="s">
        <v>3044</v>
      </c>
      <c r="H1458" s="129" t="s">
        <v>2934</v>
      </c>
      <c r="I1458" s="129" t="s">
        <v>101</v>
      </c>
      <c r="J1458" s="129"/>
      <c r="K1458" s="129"/>
      <c r="L1458" s="129" t="s">
        <v>2812</v>
      </c>
      <c r="M1458" s="129" t="s">
        <v>2911</v>
      </c>
      <c r="N1458" s="129"/>
      <c r="O1458" s="129" t="s">
        <v>2912</v>
      </c>
      <c r="Q1458" s="129" t="b">
        <v>0</v>
      </c>
    </row>
    <row r="1459" spans="1:17" s="5" customFormat="1" ht="15" hidden="1" customHeight="1">
      <c r="A1459" s="129">
        <v>8442</v>
      </c>
      <c r="B1459" s="129">
        <v>2251</v>
      </c>
      <c r="C1459" s="129">
        <v>0</v>
      </c>
      <c r="D1459" s="129">
        <v>212</v>
      </c>
      <c r="E1459" s="129" t="b">
        <v>1</v>
      </c>
      <c r="F1459" s="129" t="b">
        <v>0</v>
      </c>
      <c r="G1459" s="129" t="s">
        <v>3044</v>
      </c>
      <c r="H1459" s="129" t="s">
        <v>2934</v>
      </c>
      <c r="I1459" s="129" t="s">
        <v>2829</v>
      </c>
      <c r="J1459" s="129"/>
      <c r="K1459" s="129"/>
      <c r="L1459" s="129" t="s">
        <v>2812</v>
      </c>
      <c r="M1459" s="129" t="s">
        <v>2830</v>
      </c>
      <c r="N1459" s="129"/>
      <c r="O1459" s="129" t="s">
        <v>2831</v>
      </c>
      <c r="Q1459" s="129" t="b">
        <v>0</v>
      </c>
    </row>
    <row r="1460" spans="1:17" s="5" customFormat="1" ht="15" hidden="1" customHeight="1">
      <c r="A1460" s="129">
        <v>8443</v>
      </c>
      <c r="B1460" s="129">
        <v>2252</v>
      </c>
      <c r="C1460" s="129">
        <v>0</v>
      </c>
      <c r="D1460" s="129">
        <v>237</v>
      </c>
      <c r="E1460" s="129" t="b">
        <v>1</v>
      </c>
      <c r="F1460" s="129" t="b">
        <v>0</v>
      </c>
      <c r="G1460" s="129" t="s">
        <v>3044</v>
      </c>
      <c r="H1460" s="129" t="s">
        <v>2934</v>
      </c>
      <c r="I1460" s="129" t="s">
        <v>2835</v>
      </c>
      <c r="J1460" s="129"/>
      <c r="K1460" s="129"/>
      <c r="L1460" s="129" t="s">
        <v>2812</v>
      </c>
      <c r="M1460" s="129" t="s">
        <v>2836</v>
      </c>
      <c r="N1460" s="129"/>
      <c r="O1460" s="129" t="s">
        <v>2837</v>
      </c>
      <c r="Q1460" s="129" t="b">
        <v>0</v>
      </c>
    </row>
    <row r="1461" spans="1:17" s="5" customFormat="1" ht="15" hidden="1" customHeight="1">
      <c r="A1461" s="129">
        <v>8444</v>
      </c>
      <c r="B1461" s="129">
        <v>2253</v>
      </c>
      <c r="C1461" s="129">
        <v>0</v>
      </c>
      <c r="D1461" s="129">
        <v>226</v>
      </c>
      <c r="E1461" s="129" t="b">
        <v>1</v>
      </c>
      <c r="F1461" s="129" t="b">
        <v>0</v>
      </c>
      <c r="G1461" s="129" t="s">
        <v>3044</v>
      </c>
      <c r="H1461" s="129" t="s">
        <v>2934</v>
      </c>
      <c r="I1461" s="129" t="s">
        <v>110</v>
      </c>
      <c r="J1461" s="129"/>
      <c r="K1461" s="129"/>
      <c r="L1461" s="129" t="s">
        <v>2812</v>
      </c>
      <c r="M1461" s="129" t="s">
        <v>2913</v>
      </c>
      <c r="N1461" s="129"/>
      <c r="O1461" s="129" t="s">
        <v>2914</v>
      </c>
      <c r="Q1461" s="129" t="b">
        <v>0</v>
      </c>
    </row>
    <row r="1462" spans="1:17" s="5" customFormat="1" ht="15" hidden="1" customHeight="1">
      <c r="A1462" s="129">
        <v>8445</v>
      </c>
      <c r="B1462" s="129">
        <v>2254</v>
      </c>
      <c r="C1462" s="129">
        <v>0</v>
      </c>
      <c r="D1462" s="129">
        <v>227</v>
      </c>
      <c r="E1462" s="129" t="b">
        <v>1</v>
      </c>
      <c r="F1462" s="129" t="b">
        <v>0</v>
      </c>
      <c r="G1462" s="129" t="s">
        <v>3044</v>
      </c>
      <c r="H1462" s="129" t="s">
        <v>2934</v>
      </c>
      <c r="I1462" s="129" t="s">
        <v>2915</v>
      </c>
      <c r="J1462" s="129"/>
      <c r="K1462" s="129"/>
      <c r="L1462" s="129" t="s">
        <v>2812</v>
      </c>
      <c r="M1462" s="129" t="s">
        <v>2916</v>
      </c>
      <c r="N1462" s="129"/>
      <c r="O1462" s="129" t="s">
        <v>2917</v>
      </c>
      <c r="Q1462" s="129" t="b">
        <v>0</v>
      </c>
    </row>
    <row r="1463" spans="1:17" s="5" customFormat="1" ht="15" hidden="1" customHeight="1">
      <c r="A1463" s="129">
        <v>8446</v>
      </c>
      <c r="B1463" s="129">
        <v>2255</v>
      </c>
      <c r="C1463" s="129">
        <v>0</v>
      </c>
      <c r="D1463" s="129">
        <v>228</v>
      </c>
      <c r="E1463" s="129" t="b">
        <v>1</v>
      </c>
      <c r="F1463" s="129" t="b">
        <v>0</v>
      </c>
      <c r="G1463" s="129" t="s">
        <v>3044</v>
      </c>
      <c r="H1463" s="129" t="s">
        <v>2934</v>
      </c>
      <c r="I1463" s="129" t="s">
        <v>2918</v>
      </c>
      <c r="J1463" s="129"/>
      <c r="K1463" s="129"/>
      <c r="L1463" s="129" t="s">
        <v>2812</v>
      </c>
      <c r="M1463" s="129" t="s">
        <v>2919</v>
      </c>
      <c r="N1463" s="129"/>
      <c r="O1463" s="129" t="s">
        <v>2920</v>
      </c>
      <c r="Q1463" s="129" t="b">
        <v>0</v>
      </c>
    </row>
    <row r="1464" spans="1:17" s="5" customFormat="1" ht="15" hidden="1" customHeight="1">
      <c r="A1464" s="129">
        <v>8451</v>
      </c>
      <c r="B1464" s="129">
        <v>2256</v>
      </c>
      <c r="C1464" s="129">
        <v>0</v>
      </c>
      <c r="D1464" s="129">
        <v>164</v>
      </c>
      <c r="E1464" s="129" t="b">
        <v>1</v>
      </c>
      <c r="F1464" s="129" t="b">
        <v>0</v>
      </c>
      <c r="G1464" s="129" t="s">
        <v>3044</v>
      </c>
      <c r="H1464" s="129" t="s">
        <v>3070</v>
      </c>
      <c r="I1464" s="129" t="s">
        <v>3071</v>
      </c>
      <c r="J1464" s="129"/>
      <c r="K1464" s="129"/>
      <c r="L1464" s="129" t="s">
        <v>2812</v>
      </c>
      <c r="M1464" s="129" t="s">
        <v>3072</v>
      </c>
      <c r="N1464" s="129"/>
      <c r="O1464" s="129" t="s">
        <v>3073</v>
      </c>
      <c r="Q1464" s="129" t="b">
        <v>0</v>
      </c>
    </row>
    <row r="1465" spans="1:17" s="5" customFormat="1" ht="15" hidden="1" customHeight="1">
      <c r="A1465" s="129">
        <v>8452</v>
      </c>
      <c r="B1465" s="129">
        <v>2257</v>
      </c>
      <c r="C1465" s="129">
        <v>0</v>
      </c>
      <c r="D1465" s="129">
        <v>245</v>
      </c>
      <c r="E1465" s="129" t="b">
        <v>1</v>
      </c>
      <c r="F1465" s="129" t="b">
        <v>0</v>
      </c>
      <c r="G1465" s="129" t="s">
        <v>3044</v>
      </c>
      <c r="H1465" s="129" t="s">
        <v>3070</v>
      </c>
      <c r="I1465" s="129" t="s">
        <v>3074</v>
      </c>
      <c r="J1465" s="129"/>
      <c r="K1465" s="129"/>
      <c r="L1465" s="129" t="s">
        <v>2812</v>
      </c>
      <c r="M1465" s="129" t="s">
        <v>3075</v>
      </c>
      <c r="N1465" s="129"/>
      <c r="O1465" s="129" t="s">
        <v>3076</v>
      </c>
      <c r="Q1465" s="129" t="b">
        <v>0</v>
      </c>
    </row>
    <row r="1466" spans="1:17" s="5" customFormat="1" ht="15" hidden="1" customHeight="1">
      <c r="A1466" s="129">
        <v>8453</v>
      </c>
      <c r="B1466" s="129">
        <v>2258</v>
      </c>
      <c r="C1466" s="129">
        <v>0</v>
      </c>
      <c r="D1466" s="129">
        <v>241</v>
      </c>
      <c r="E1466" s="129" t="b">
        <v>1</v>
      </c>
      <c r="F1466" s="129" t="b">
        <v>0</v>
      </c>
      <c r="G1466" s="129" t="s">
        <v>3044</v>
      </c>
      <c r="H1466" s="129" t="s">
        <v>3070</v>
      </c>
      <c r="I1466" s="129" t="s">
        <v>3077</v>
      </c>
      <c r="J1466" s="129"/>
      <c r="K1466" s="129"/>
      <c r="L1466" s="129" t="s">
        <v>2812</v>
      </c>
      <c r="M1466" s="129" t="s">
        <v>3078</v>
      </c>
      <c r="N1466" s="129"/>
      <c r="O1466" s="129" t="s">
        <v>3079</v>
      </c>
      <c r="Q1466" s="129" t="b">
        <v>0</v>
      </c>
    </row>
    <row r="1467" spans="1:17" s="5" customFormat="1" ht="15" hidden="1" customHeight="1">
      <c r="A1467" s="129">
        <v>8454</v>
      </c>
      <c r="B1467" s="129">
        <v>2259</v>
      </c>
      <c r="C1467" s="129">
        <v>0</v>
      </c>
      <c r="D1467" s="129">
        <v>242</v>
      </c>
      <c r="E1467" s="129" t="b">
        <v>1</v>
      </c>
      <c r="F1467" s="129" t="b">
        <v>0</v>
      </c>
      <c r="G1467" s="129" t="s">
        <v>3044</v>
      </c>
      <c r="H1467" s="129" t="s">
        <v>3070</v>
      </c>
      <c r="I1467" s="129" t="s">
        <v>2789</v>
      </c>
      <c r="J1467" s="129"/>
      <c r="K1467" s="129"/>
      <c r="L1467" s="129" t="s">
        <v>2812</v>
      </c>
      <c r="M1467" s="129" t="s">
        <v>3080</v>
      </c>
      <c r="N1467" s="129"/>
      <c r="O1467" s="129" t="s">
        <v>3081</v>
      </c>
      <c r="Q1467" s="129" t="b">
        <v>0</v>
      </c>
    </row>
    <row r="1468" spans="1:17" s="5" customFormat="1" ht="15" hidden="1" customHeight="1">
      <c r="A1468" s="129">
        <v>8455</v>
      </c>
      <c r="B1468" s="129">
        <v>2260</v>
      </c>
      <c r="C1468" s="129">
        <v>0</v>
      </c>
      <c r="D1468" s="129">
        <v>243</v>
      </c>
      <c r="E1468" s="129" t="b">
        <v>1</v>
      </c>
      <c r="F1468" s="129" t="b">
        <v>0</v>
      </c>
      <c r="G1468" s="129" t="s">
        <v>3044</v>
      </c>
      <c r="H1468" s="129" t="s">
        <v>3070</v>
      </c>
      <c r="I1468" s="129" t="s">
        <v>2792</v>
      </c>
      <c r="J1468" s="129"/>
      <c r="K1468" s="129"/>
      <c r="L1468" s="129" t="s">
        <v>2812</v>
      </c>
      <c r="M1468" s="129" t="s">
        <v>3082</v>
      </c>
      <c r="N1468" s="129"/>
      <c r="O1468" s="129" t="s">
        <v>3083</v>
      </c>
      <c r="Q1468" s="129" t="b">
        <v>0</v>
      </c>
    </row>
    <row r="1469" spans="1:17" s="5" customFormat="1" ht="15" hidden="1" customHeight="1">
      <c r="A1469" s="129">
        <v>8461</v>
      </c>
      <c r="B1469" s="129">
        <v>2261</v>
      </c>
      <c r="C1469" s="129">
        <v>0</v>
      </c>
      <c r="D1469" s="129">
        <v>164</v>
      </c>
      <c r="E1469" s="129" t="b">
        <v>1</v>
      </c>
      <c r="F1469" s="129" t="b">
        <v>0</v>
      </c>
      <c r="G1469" s="129" t="s">
        <v>3044</v>
      </c>
      <c r="H1469" s="129" t="s">
        <v>3084</v>
      </c>
      <c r="I1469" s="129" t="s">
        <v>3085</v>
      </c>
      <c r="J1469" s="129"/>
      <c r="K1469" s="129"/>
      <c r="L1469" s="129" t="s">
        <v>2812</v>
      </c>
      <c r="M1469" s="129" t="s">
        <v>3086</v>
      </c>
      <c r="N1469" s="129"/>
      <c r="O1469" s="129" t="s">
        <v>3087</v>
      </c>
      <c r="Q1469" s="129" t="b">
        <v>0</v>
      </c>
    </row>
    <row r="1470" spans="1:17" s="5" customFormat="1" ht="15" hidden="1" customHeight="1">
      <c r="A1470" s="129">
        <v>8462</v>
      </c>
      <c r="B1470" s="129">
        <v>2262</v>
      </c>
      <c r="C1470" s="129">
        <v>0</v>
      </c>
      <c r="D1470" s="129">
        <v>246</v>
      </c>
      <c r="E1470" s="129" t="b">
        <v>1</v>
      </c>
      <c r="F1470" s="129" t="b">
        <v>0</v>
      </c>
      <c r="G1470" s="129" t="s">
        <v>3044</v>
      </c>
      <c r="H1470" s="129" t="s">
        <v>3084</v>
      </c>
      <c r="I1470" s="129" t="s">
        <v>3088</v>
      </c>
      <c r="J1470" s="129"/>
      <c r="K1470" s="129"/>
      <c r="L1470" s="129" t="s">
        <v>2812</v>
      </c>
      <c r="M1470" s="129" t="s">
        <v>3089</v>
      </c>
      <c r="N1470" s="129"/>
      <c r="O1470" s="129" t="s">
        <v>3090</v>
      </c>
      <c r="Q1470" s="129" t="b">
        <v>0</v>
      </c>
    </row>
    <row r="1471" spans="1:17" s="5" customFormat="1" ht="15" hidden="1" customHeight="1">
      <c r="A1471" s="129">
        <v>8463</v>
      </c>
      <c r="B1471" s="129">
        <v>2263</v>
      </c>
      <c r="C1471" s="129">
        <v>0</v>
      </c>
      <c r="D1471" s="129">
        <v>247</v>
      </c>
      <c r="E1471" s="129" t="b">
        <v>1</v>
      </c>
      <c r="F1471" s="129" t="b">
        <v>0</v>
      </c>
      <c r="G1471" s="129" t="s">
        <v>3044</v>
      </c>
      <c r="H1471" s="129" t="s">
        <v>3084</v>
      </c>
      <c r="I1471" s="129" t="s">
        <v>3091</v>
      </c>
      <c r="J1471" s="129"/>
      <c r="K1471" s="129"/>
      <c r="L1471" s="129" t="s">
        <v>2812</v>
      </c>
      <c r="M1471" s="129" t="s">
        <v>3092</v>
      </c>
      <c r="N1471" s="129"/>
      <c r="O1471" s="129" t="s">
        <v>3093</v>
      </c>
      <c r="Q1471" s="129" t="b">
        <v>0</v>
      </c>
    </row>
    <row r="1472" spans="1:17" s="5" customFormat="1" ht="15" hidden="1" customHeight="1">
      <c r="A1472" s="129">
        <v>8464</v>
      </c>
      <c r="B1472" s="129">
        <v>2264</v>
      </c>
      <c r="C1472" s="129">
        <v>0</v>
      </c>
      <c r="D1472" s="129">
        <v>248</v>
      </c>
      <c r="E1472" s="129" t="b">
        <v>1</v>
      </c>
      <c r="F1472" s="129" t="b">
        <v>0</v>
      </c>
      <c r="G1472" s="129" t="s">
        <v>3044</v>
      </c>
      <c r="H1472" s="129" t="s">
        <v>3084</v>
      </c>
      <c r="I1472" s="129" t="s">
        <v>3094</v>
      </c>
      <c r="J1472" s="129"/>
      <c r="K1472" s="129"/>
      <c r="L1472" s="129" t="s">
        <v>2812</v>
      </c>
      <c r="M1472" s="129" t="s">
        <v>3095</v>
      </c>
      <c r="N1472" s="129"/>
      <c r="O1472" s="129" t="s">
        <v>3096</v>
      </c>
      <c r="Q1472" s="129" t="b">
        <v>0</v>
      </c>
    </row>
    <row r="1473" spans="1:17" s="5" customFormat="1" ht="15" hidden="1" customHeight="1">
      <c r="A1473" s="129">
        <v>8465</v>
      </c>
      <c r="B1473" s="129">
        <v>2265</v>
      </c>
      <c r="C1473" s="129">
        <v>0</v>
      </c>
      <c r="D1473" s="129">
        <v>249</v>
      </c>
      <c r="E1473" s="129" t="b">
        <v>1</v>
      </c>
      <c r="F1473" s="129" t="b">
        <v>0</v>
      </c>
      <c r="G1473" s="129" t="s">
        <v>3044</v>
      </c>
      <c r="H1473" s="129" t="s">
        <v>3084</v>
      </c>
      <c r="I1473" s="129" t="s">
        <v>2804</v>
      </c>
      <c r="J1473" s="129"/>
      <c r="K1473" s="129"/>
      <c r="L1473" s="129" t="s">
        <v>2812</v>
      </c>
      <c r="M1473" s="129" t="s">
        <v>3097</v>
      </c>
      <c r="N1473" s="129"/>
      <c r="O1473" s="129" t="s">
        <v>3098</v>
      </c>
      <c r="Q1473" s="129" t="b">
        <v>0</v>
      </c>
    </row>
    <row r="1474" spans="1:17" s="5" customFormat="1" ht="15" hidden="1" customHeight="1">
      <c r="A1474" s="129">
        <v>8466</v>
      </c>
      <c r="B1474" s="129">
        <v>2266</v>
      </c>
      <c r="C1474" s="129">
        <v>0</v>
      </c>
      <c r="D1474" s="129">
        <v>250</v>
      </c>
      <c r="E1474" s="129" t="b">
        <v>1</v>
      </c>
      <c r="F1474" s="129" t="b">
        <v>0</v>
      </c>
      <c r="G1474" s="129" t="s">
        <v>3044</v>
      </c>
      <c r="H1474" s="129" t="s">
        <v>3084</v>
      </c>
      <c r="I1474" s="129" t="s">
        <v>2807</v>
      </c>
      <c r="J1474" s="129"/>
      <c r="K1474" s="129"/>
      <c r="L1474" s="129" t="s">
        <v>2812</v>
      </c>
      <c r="M1474" s="129" t="s">
        <v>3099</v>
      </c>
      <c r="N1474" s="129"/>
      <c r="O1474" s="129" t="s">
        <v>3100</v>
      </c>
      <c r="Q1474" s="129" t="b">
        <v>0</v>
      </c>
    </row>
    <row r="1475" spans="1:17" s="5" customFormat="1" ht="15" hidden="1" customHeight="1">
      <c r="A1475" s="129">
        <v>8471</v>
      </c>
      <c r="B1475" s="129">
        <v>2267</v>
      </c>
      <c r="C1475" s="129">
        <v>0</v>
      </c>
      <c r="D1475" s="129">
        <v>164</v>
      </c>
      <c r="E1475" s="129" t="b">
        <v>1</v>
      </c>
      <c r="F1475" s="129" t="b">
        <v>0</v>
      </c>
      <c r="G1475" s="129" t="s">
        <v>3044</v>
      </c>
      <c r="H1475" s="129" t="s">
        <v>2935</v>
      </c>
      <c r="I1475" s="129" t="s">
        <v>2936</v>
      </c>
      <c r="J1475" s="129"/>
      <c r="K1475" s="129"/>
      <c r="L1475" s="129" t="s">
        <v>2812</v>
      </c>
      <c r="M1475" s="129" t="s">
        <v>2937</v>
      </c>
      <c r="N1475" s="129"/>
      <c r="O1475" s="129" t="s">
        <v>2938</v>
      </c>
      <c r="Q1475" s="129" t="b">
        <v>0</v>
      </c>
    </row>
    <row r="1476" spans="1:17" s="5" customFormat="1" ht="15" hidden="1" customHeight="1">
      <c r="A1476" s="129">
        <v>8472</v>
      </c>
      <c r="B1476" s="129">
        <v>2268</v>
      </c>
      <c r="C1476" s="129">
        <v>0</v>
      </c>
      <c r="D1476" s="129">
        <v>258</v>
      </c>
      <c r="E1476" s="129" t="b">
        <v>1</v>
      </c>
      <c r="F1476" s="129" t="b">
        <v>0</v>
      </c>
      <c r="G1476" s="129" t="s">
        <v>3044</v>
      </c>
      <c r="H1476" s="129" t="s">
        <v>2935</v>
      </c>
      <c r="I1476" s="129" t="s">
        <v>2939</v>
      </c>
      <c r="J1476" s="129"/>
      <c r="K1476" s="129"/>
      <c r="L1476" s="129" t="s">
        <v>2812</v>
      </c>
      <c r="M1476" s="129" t="s">
        <v>2940</v>
      </c>
      <c r="N1476" s="129"/>
      <c r="O1476" s="129" t="s">
        <v>2941</v>
      </c>
      <c r="Q1476" s="129" t="b">
        <v>0</v>
      </c>
    </row>
    <row r="1477" spans="1:17" s="5" customFormat="1" ht="15" hidden="1" customHeight="1">
      <c r="A1477" s="129">
        <v>8501</v>
      </c>
      <c r="B1477" s="129">
        <v>2269</v>
      </c>
      <c r="C1477" s="129">
        <v>0</v>
      </c>
      <c r="D1477" s="129">
        <v>164</v>
      </c>
      <c r="E1477" s="129" t="b">
        <v>1</v>
      </c>
      <c r="F1477" s="129" t="b">
        <v>0</v>
      </c>
      <c r="G1477" s="129" t="s">
        <v>3044</v>
      </c>
      <c r="H1477" s="129" t="s">
        <v>2953</v>
      </c>
      <c r="I1477" s="129" t="s">
        <v>2954</v>
      </c>
      <c r="J1477" s="129"/>
      <c r="K1477" s="129"/>
      <c r="L1477" s="129" t="s">
        <v>2812</v>
      </c>
      <c r="M1477" s="129" t="s">
        <v>2955</v>
      </c>
      <c r="N1477" s="129"/>
      <c r="O1477" s="129" t="s">
        <v>2956</v>
      </c>
      <c r="Q1477" s="129" t="b">
        <v>0</v>
      </c>
    </row>
    <row r="1478" spans="1:17" s="5" customFormat="1" ht="15" hidden="1" customHeight="1">
      <c r="A1478" s="129">
        <v>8502</v>
      </c>
      <c r="B1478" s="129">
        <v>2270</v>
      </c>
      <c r="C1478" s="129">
        <v>0</v>
      </c>
      <c r="D1478" s="129">
        <v>231</v>
      </c>
      <c r="E1478" s="129" t="b">
        <v>1</v>
      </c>
      <c r="F1478" s="129" t="b">
        <v>0</v>
      </c>
      <c r="G1478" s="129" t="s">
        <v>3044</v>
      </c>
      <c r="H1478" s="129" t="s">
        <v>2953</v>
      </c>
      <c r="I1478" s="129" t="s">
        <v>2694</v>
      </c>
      <c r="J1478" s="129"/>
      <c r="K1478" s="129"/>
      <c r="L1478" s="129" t="s">
        <v>2812</v>
      </c>
      <c r="M1478" s="129" t="s">
        <v>2957</v>
      </c>
      <c r="N1478" s="129"/>
      <c r="O1478" s="129" t="s">
        <v>2958</v>
      </c>
      <c r="Q1478" s="129" t="b">
        <v>0</v>
      </c>
    </row>
    <row r="1479" spans="1:17" s="5" customFormat="1" ht="15" hidden="1" customHeight="1">
      <c r="A1479" s="129">
        <v>8503</v>
      </c>
      <c r="B1479" s="129">
        <v>2271</v>
      </c>
      <c r="C1479" s="129">
        <v>0</v>
      </c>
      <c r="D1479" s="129">
        <v>233</v>
      </c>
      <c r="E1479" s="129" t="b">
        <v>1</v>
      </c>
      <c r="F1479" s="129" t="b">
        <v>0</v>
      </c>
      <c r="G1479" s="129" t="s">
        <v>3044</v>
      </c>
      <c r="H1479" s="129" t="s">
        <v>2953</v>
      </c>
      <c r="I1479" s="129" t="s">
        <v>2962</v>
      </c>
      <c r="J1479" s="129"/>
      <c r="K1479" s="129"/>
      <c r="L1479" s="129" t="s">
        <v>2812</v>
      </c>
      <c r="M1479" s="129" t="s">
        <v>2963</v>
      </c>
      <c r="N1479" s="129"/>
      <c r="O1479" s="129" t="s">
        <v>2964</v>
      </c>
      <c r="Q1479" s="129" t="b">
        <v>0</v>
      </c>
    </row>
    <row r="1480" spans="1:17" s="5" customFormat="1" ht="15" hidden="1" customHeight="1">
      <c r="A1480" s="129">
        <v>8504</v>
      </c>
      <c r="B1480" s="129">
        <v>2272</v>
      </c>
      <c r="C1480" s="129">
        <v>0</v>
      </c>
      <c r="D1480" s="129">
        <v>109</v>
      </c>
      <c r="E1480" s="129" t="b">
        <v>1</v>
      </c>
      <c r="F1480" s="129" t="b">
        <v>0</v>
      </c>
      <c r="G1480" s="129" t="s">
        <v>3044</v>
      </c>
      <c r="H1480" s="129" t="s">
        <v>2949</v>
      </c>
      <c r="I1480" s="129" t="s">
        <v>2950</v>
      </c>
      <c r="J1480" s="129">
        <v>47</v>
      </c>
      <c r="K1480" s="129"/>
      <c r="L1480" s="129" t="s">
        <v>2812</v>
      </c>
      <c r="M1480" s="129" t="s">
        <v>3101</v>
      </c>
      <c r="N1480" s="129"/>
      <c r="O1480" s="129" t="s">
        <v>3102</v>
      </c>
      <c r="Q1480" s="129" t="b">
        <v>0</v>
      </c>
    </row>
    <row r="1481" spans="1:17" s="5" customFormat="1" ht="15" hidden="1" customHeight="1">
      <c r="A1481" s="129">
        <v>8505</v>
      </c>
      <c r="B1481" s="129">
        <v>2273</v>
      </c>
      <c r="C1481" s="129">
        <v>0</v>
      </c>
      <c r="D1481" s="129">
        <v>232</v>
      </c>
      <c r="E1481" s="129" t="b">
        <v>1</v>
      </c>
      <c r="F1481" s="129" t="b">
        <v>0</v>
      </c>
      <c r="G1481" s="129" t="s">
        <v>3044</v>
      </c>
      <c r="H1481" s="129" t="s">
        <v>2953</v>
      </c>
      <c r="I1481" s="129" t="s">
        <v>2959</v>
      </c>
      <c r="J1481" s="129"/>
      <c r="K1481" s="129"/>
      <c r="L1481" s="129" t="s">
        <v>2812</v>
      </c>
      <c r="M1481" s="129" t="s">
        <v>3063</v>
      </c>
      <c r="N1481" s="129"/>
      <c r="O1481" s="129" t="s">
        <v>3064</v>
      </c>
      <c r="Q1481" s="129" t="b">
        <v>0</v>
      </c>
    </row>
    <row r="1482" spans="1:17" s="5" customFormat="1" ht="15" hidden="1" customHeight="1">
      <c r="A1482" s="129">
        <v>8506</v>
      </c>
      <c r="B1482" s="129">
        <v>2274</v>
      </c>
      <c r="C1482" s="129">
        <v>0</v>
      </c>
      <c r="D1482" s="129">
        <v>231</v>
      </c>
      <c r="E1482" s="129" t="b">
        <v>1</v>
      </c>
      <c r="F1482" s="129" t="b">
        <v>0</v>
      </c>
      <c r="G1482" s="129" t="s">
        <v>3044</v>
      </c>
      <c r="H1482" s="129" t="s">
        <v>2953</v>
      </c>
      <c r="I1482" s="129" t="s">
        <v>2694</v>
      </c>
      <c r="J1482" s="129"/>
      <c r="K1482" s="129"/>
      <c r="L1482" s="129" t="s">
        <v>2812</v>
      </c>
      <c r="M1482" s="129" t="s">
        <v>2957</v>
      </c>
      <c r="N1482" s="129"/>
      <c r="O1482" s="129" t="s">
        <v>2958</v>
      </c>
      <c r="Q1482" s="129" t="b">
        <v>0</v>
      </c>
    </row>
    <row r="1483" spans="1:17" s="5" customFormat="1" ht="15" hidden="1" customHeight="1">
      <c r="A1483" s="129">
        <v>8512</v>
      </c>
      <c r="B1483" s="129">
        <v>2275</v>
      </c>
      <c r="C1483" s="129">
        <v>0</v>
      </c>
      <c r="D1483" s="129">
        <v>164</v>
      </c>
      <c r="E1483" s="129" t="b">
        <v>1</v>
      </c>
      <c r="F1483" s="129" t="b">
        <v>0</v>
      </c>
      <c r="G1483" s="129" t="s">
        <v>3044</v>
      </c>
      <c r="H1483" s="129" t="s">
        <v>2965</v>
      </c>
      <c r="I1483" s="129" t="s">
        <v>131</v>
      </c>
      <c r="J1483" s="129"/>
      <c r="K1483" s="129"/>
      <c r="L1483" s="129" t="s">
        <v>2812</v>
      </c>
      <c r="M1483" s="129" t="s">
        <v>3103</v>
      </c>
      <c r="N1483" s="129"/>
      <c r="O1483" s="129" t="s">
        <v>3104</v>
      </c>
      <c r="Q1483" s="129" t="b">
        <v>0</v>
      </c>
    </row>
    <row r="1484" spans="1:17" s="5" customFormat="1" ht="15" hidden="1" customHeight="1">
      <c r="A1484" s="129">
        <v>8511</v>
      </c>
      <c r="B1484" s="129">
        <v>2276</v>
      </c>
      <c r="C1484" s="129">
        <v>0</v>
      </c>
      <c r="D1484" s="129">
        <v>213</v>
      </c>
      <c r="E1484" s="129" t="b">
        <v>1</v>
      </c>
      <c r="F1484" s="129" t="b">
        <v>0</v>
      </c>
      <c r="G1484" s="129" t="s">
        <v>3044</v>
      </c>
      <c r="H1484" s="129" t="s">
        <v>2965</v>
      </c>
      <c r="I1484" s="129" t="s">
        <v>2841</v>
      </c>
      <c r="J1484" s="129"/>
      <c r="K1484" s="129"/>
      <c r="L1484" s="129" t="s">
        <v>2812</v>
      </c>
      <c r="M1484" s="129" t="s">
        <v>2842</v>
      </c>
      <c r="N1484" s="129"/>
      <c r="O1484" s="129" t="s">
        <v>2843</v>
      </c>
      <c r="Q1484" s="129" t="b">
        <v>0</v>
      </c>
    </row>
    <row r="1485" spans="1:17" s="5" customFormat="1" ht="15" hidden="1" customHeight="1">
      <c r="A1485" s="129">
        <v>8513</v>
      </c>
      <c r="B1485" s="129">
        <v>2277</v>
      </c>
      <c r="C1485" s="129">
        <v>0</v>
      </c>
      <c r="D1485" s="129">
        <v>251</v>
      </c>
      <c r="E1485" s="129" t="b">
        <v>1</v>
      </c>
      <c r="F1485" s="129" t="b">
        <v>0</v>
      </c>
      <c r="G1485" s="129" t="s">
        <v>3044</v>
      </c>
      <c r="H1485" s="129" t="s">
        <v>2965</v>
      </c>
      <c r="I1485" s="129" t="s">
        <v>3105</v>
      </c>
      <c r="J1485" s="129"/>
      <c r="K1485" s="129"/>
      <c r="L1485" s="129" t="s">
        <v>2812</v>
      </c>
      <c r="M1485" s="129" t="s">
        <v>3106</v>
      </c>
      <c r="N1485" s="129"/>
      <c r="O1485" s="129" t="s">
        <v>3107</v>
      </c>
      <c r="Q1485" s="129" t="b">
        <v>0</v>
      </c>
    </row>
    <row r="1486" spans="1:17" s="5" customFormat="1" ht="15" hidden="1" customHeight="1">
      <c r="A1486" s="129">
        <v>8514</v>
      </c>
      <c r="B1486" s="129">
        <v>2278</v>
      </c>
      <c r="C1486" s="129">
        <v>0</v>
      </c>
      <c r="D1486" s="129">
        <v>272</v>
      </c>
      <c r="E1486" s="129" t="b">
        <v>1</v>
      </c>
      <c r="F1486" s="129" t="b">
        <v>0</v>
      </c>
      <c r="G1486" s="129" t="s">
        <v>3044</v>
      </c>
      <c r="H1486" s="129" t="s">
        <v>2965</v>
      </c>
      <c r="I1486" s="129" t="s">
        <v>3108</v>
      </c>
      <c r="J1486" s="129"/>
      <c r="K1486" s="129"/>
      <c r="L1486" s="129" t="s">
        <v>2812</v>
      </c>
      <c r="M1486" s="129" t="s">
        <v>2712</v>
      </c>
      <c r="N1486" s="129"/>
      <c r="O1486" s="129" t="s">
        <v>3109</v>
      </c>
      <c r="Q1486" s="129" t="b">
        <v>0</v>
      </c>
    </row>
    <row r="1487" spans="1:17" s="5" customFormat="1" ht="15" hidden="1" customHeight="1">
      <c r="A1487" s="129">
        <v>8001</v>
      </c>
      <c r="B1487" s="129">
        <v>2279</v>
      </c>
      <c r="C1487" s="129">
        <v>0</v>
      </c>
      <c r="D1487" s="5">
        <v>199</v>
      </c>
      <c r="E1487" s="129" t="b">
        <v>1</v>
      </c>
      <c r="F1487" s="129" t="b">
        <v>0</v>
      </c>
      <c r="G1487" s="129" t="s">
        <v>3044</v>
      </c>
      <c r="H1487" s="129" t="s">
        <v>3110</v>
      </c>
      <c r="I1487" s="129" t="s">
        <v>3111</v>
      </c>
      <c r="J1487" s="129">
        <v>42</v>
      </c>
      <c r="K1487" s="129"/>
      <c r="L1487" s="129" t="s">
        <v>2812</v>
      </c>
      <c r="M1487" s="129" t="s">
        <v>3112</v>
      </c>
      <c r="N1487" s="129"/>
      <c r="O1487" s="129" t="s">
        <v>3113</v>
      </c>
      <c r="Q1487" s="129" t="b">
        <v>0</v>
      </c>
    </row>
    <row r="1488" spans="1:17" s="5" customFormat="1" ht="15" hidden="1" customHeight="1">
      <c r="A1488" s="129">
        <v>8002</v>
      </c>
      <c r="B1488" s="129">
        <v>2280</v>
      </c>
      <c r="C1488" s="129">
        <v>0</v>
      </c>
      <c r="D1488" s="5">
        <v>199</v>
      </c>
      <c r="E1488" s="129" t="b">
        <v>1</v>
      </c>
      <c r="F1488" s="129" t="b">
        <v>0</v>
      </c>
      <c r="G1488" s="129" t="s">
        <v>3044</v>
      </c>
      <c r="H1488" s="129" t="s">
        <v>3110</v>
      </c>
      <c r="I1488" s="129" t="s">
        <v>3114</v>
      </c>
      <c r="J1488" s="129"/>
      <c r="K1488" s="129"/>
      <c r="L1488" s="129" t="s">
        <v>2812</v>
      </c>
      <c r="M1488" s="129" t="s">
        <v>3115</v>
      </c>
      <c r="N1488" s="129"/>
      <c r="O1488" s="129" t="s">
        <v>3116</v>
      </c>
      <c r="Q1488" s="129" t="b">
        <v>0</v>
      </c>
    </row>
    <row r="1489" spans="1:17" s="5" customFormat="1" ht="15" hidden="1" customHeight="1">
      <c r="A1489" s="129">
        <v>8003</v>
      </c>
      <c r="B1489" s="129">
        <v>2281</v>
      </c>
      <c r="C1489" s="129">
        <v>0</v>
      </c>
      <c r="D1489" s="5">
        <v>199</v>
      </c>
      <c r="E1489" s="129" t="b">
        <v>1</v>
      </c>
      <c r="F1489" s="129" t="b">
        <v>0</v>
      </c>
      <c r="G1489" s="129" t="s">
        <v>3044</v>
      </c>
      <c r="H1489" s="129" t="s">
        <v>3110</v>
      </c>
      <c r="I1489" s="129" t="s">
        <v>3117</v>
      </c>
      <c r="J1489" s="129"/>
      <c r="K1489" s="129"/>
      <c r="L1489" s="129" t="s">
        <v>2812</v>
      </c>
      <c r="M1489" s="129" t="s">
        <v>3118</v>
      </c>
      <c r="N1489" s="129"/>
      <c r="O1489" s="129" t="s">
        <v>3119</v>
      </c>
      <c r="Q1489" s="129" t="b">
        <v>0</v>
      </c>
    </row>
    <row r="1490" spans="1:17" s="5" customFormat="1" ht="15" hidden="1" customHeight="1">
      <c r="A1490" s="129">
        <v>8004</v>
      </c>
      <c r="B1490" s="129">
        <v>2282</v>
      </c>
      <c r="C1490" s="129">
        <v>0</v>
      </c>
      <c r="D1490" s="5">
        <v>199</v>
      </c>
      <c r="E1490" s="129" t="b">
        <v>1</v>
      </c>
      <c r="F1490" s="129" t="b">
        <v>0</v>
      </c>
      <c r="G1490" s="129" t="s">
        <v>3044</v>
      </c>
      <c r="H1490" s="129" t="s">
        <v>3110</v>
      </c>
      <c r="I1490" s="129" t="s">
        <v>3120</v>
      </c>
      <c r="J1490" s="129"/>
      <c r="K1490" s="129"/>
      <c r="L1490" s="129" t="s">
        <v>2812</v>
      </c>
      <c r="M1490" s="129" t="s">
        <v>3121</v>
      </c>
      <c r="N1490" s="129"/>
      <c r="O1490" s="129" t="s">
        <v>3122</v>
      </c>
      <c r="Q1490" s="129" t="b">
        <v>0</v>
      </c>
    </row>
    <row r="1491" spans="1:17" s="5" customFormat="1" ht="15" hidden="1" customHeight="1">
      <c r="A1491" s="129">
        <v>8005</v>
      </c>
      <c r="B1491" s="129">
        <v>2283</v>
      </c>
      <c r="C1491" s="129">
        <v>0</v>
      </c>
      <c r="D1491" s="129">
        <v>1</v>
      </c>
      <c r="E1491" s="129" t="b">
        <v>0</v>
      </c>
      <c r="F1491" s="129" t="b">
        <v>0</v>
      </c>
      <c r="G1491" s="129" t="s">
        <v>3044</v>
      </c>
      <c r="H1491" s="129" t="s">
        <v>3123</v>
      </c>
      <c r="I1491" s="129" t="s">
        <v>3124</v>
      </c>
      <c r="J1491" s="129"/>
      <c r="K1491" s="129"/>
      <c r="L1491" s="129" t="s">
        <v>2812</v>
      </c>
      <c r="M1491" s="129" t="s">
        <v>3125</v>
      </c>
      <c r="N1491" s="129"/>
      <c r="O1491" s="129" t="s">
        <v>3126</v>
      </c>
      <c r="Q1491" s="129" t="b">
        <v>0</v>
      </c>
    </row>
    <row r="1492" spans="1:17" s="5" customFormat="1" ht="15" hidden="1" customHeight="1">
      <c r="A1492" s="129">
        <v>8006</v>
      </c>
      <c r="B1492" s="129">
        <v>2284</v>
      </c>
      <c r="C1492" s="129">
        <v>0</v>
      </c>
      <c r="D1492" s="129">
        <v>1</v>
      </c>
      <c r="E1492" s="129" t="b">
        <v>0</v>
      </c>
      <c r="F1492" s="129" t="b">
        <v>0</v>
      </c>
      <c r="G1492" s="129" t="s">
        <v>3044</v>
      </c>
      <c r="H1492" s="129" t="s">
        <v>3123</v>
      </c>
      <c r="I1492" s="129" t="s">
        <v>3127</v>
      </c>
      <c r="J1492" s="129"/>
      <c r="K1492" s="129"/>
      <c r="L1492" s="129" t="s">
        <v>2812</v>
      </c>
      <c r="M1492" s="129" t="s">
        <v>3128</v>
      </c>
      <c r="N1492" s="129"/>
      <c r="O1492" s="129" t="s">
        <v>3129</v>
      </c>
      <c r="Q1492" s="129" t="b">
        <v>0</v>
      </c>
    </row>
    <row r="1493" spans="1:17" s="5" customFormat="1" ht="15" hidden="1" customHeight="1">
      <c r="A1493" s="129">
        <v>8007</v>
      </c>
      <c r="B1493" s="129">
        <v>2285</v>
      </c>
      <c r="C1493" s="129">
        <v>0</v>
      </c>
      <c r="D1493" s="129">
        <v>1</v>
      </c>
      <c r="E1493" s="129" t="b">
        <v>0</v>
      </c>
      <c r="F1493" s="129" t="b">
        <v>0</v>
      </c>
      <c r="G1493" s="129" t="s">
        <v>3044</v>
      </c>
      <c r="H1493" s="129" t="s">
        <v>3123</v>
      </c>
      <c r="I1493" s="129" t="s">
        <v>3130</v>
      </c>
      <c r="J1493" s="129"/>
      <c r="K1493" s="129"/>
      <c r="L1493" s="129" t="s">
        <v>2812</v>
      </c>
      <c r="M1493" s="129" t="s">
        <v>3131</v>
      </c>
      <c r="N1493" s="129"/>
      <c r="O1493" s="129" t="s">
        <v>3132</v>
      </c>
      <c r="Q1493" s="129" t="b">
        <v>0</v>
      </c>
    </row>
    <row r="1494" spans="1:17" s="5" customFormat="1" ht="15" hidden="1" customHeight="1">
      <c r="A1494" s="129">
        <v>8008</v>
      </c>
      <c r="B1494" s="129">
        <v>2286</v>
      </c>
      <c r="C1494" s="129">
        <v>0</v>
      </c>
      <c r="D1494" s="129">
        <v>1</v>
      </c>
      <c r="E1494" s="129" t="b">
        <v>0</v>
      </c>
      <c r="F1494" s="129" t="b">
        <v>0</v>
      </c>
      <c r="G1494" s="129" t="s">
        <v>3044</v>
      </c>
      <c r="H1494" s="129" t="s">
        <v>3123</v>
      </c>
      <c r="I1494" s="129" t="s">
        <v>3133</v>
      </c>
      <c r="J1494" s="129"/>
      <c r="K1494" s="129"/>
      <c r="L1494" s="129" t="s">
        <v>2812</v>
      </c>
      <c r="M1494" s="129" t="s">
        <v>3134</v>
      </c>
      <c r="N1494" s="129"/>
      <c r="O1494" s="129" t="s">
        <v>3135</v>
      </c>
      <c r="Q1494" s="129" t="b">
        <v>0</v>
      </c>
    </row>
    <row r="1495" spans="1:17" s="5" customFormat="1" ht="15" hidden="1" customHeight="1">
      <c r="A1495" s="129">
        <v>8009</v>
      </c>
      <c r="B1495" s="129">
        <v>2287</v>
      </c>
      <c r="C1495" s="129">
        <v>0</v>
      </c>
      <c r="D1495" s="129">
        <v>109</v>
      </c>
      <c r="E1495" s="129" t="b">
        <v>1</v>
      </c>
      <c r="F1495" s="129" t="b">
        <v>0</v>
      </c>
      <c r="G1495" s="129" t="s">
        <v>3044</v>
      </c>
      <c r="H1495" s="129" t="s">
        <v>3110</v>
      </c>
      <c r="I1495" s="129" t="s">
        <v>3136</v>
      </c>
      <c r="J1495" s="129"/>
      <c r="K1495" s="129"/>
      <c r="L1495" s="129" t="s">
        <v>2812</v>
      </c>
      <c r="M1495" s="129" t="s">
        <v>3137</v>
      </c>
      <c r="N1495" s="129"/>
      <c r="O1495" s="129" t="s">
        <v>3138</v>
      </c>
      <c r="Q1495" s="129" t="b">
        <v>0</v>
      </c>
    </row>
    <row r="1496" spans="1:17" s="5" customFormat="1" ht="15" hidden="1" customHeight="1">
      <c r="A1496" s="129">
        <v>8010</v>
      </c>
      <c r="B1496" s="129">
        <v>2288</v>
      </c>
      <c r="C1496" s="129">
        <v>0</v>
      </c>
      <c r="D1496" s="129">
        <v>109</v>
      </c>
      <c r="E1496" s="129" t="b">
        <v>1</v>
      </c>
      <c r="F1496" s="129" t="b">
        <v>0</v>
      </c>
      <c r="G1496" s="129" t="s">
        <v>3044</v>
      </c>
      <c r="H1496" s="129" t="s">
        <v>3110</v>
      </c>
      <c r="I1496" s="129" t="s">
        <v>3139</v>
      </c>
      <c r="J1496" s="129"/>
      <c r="K1496" s="129"/>
      <c r="L1496" s="129" t="s">
        <v>2812</v>
      </c>
      <c r="M1496" s="129" t="s">
        <v>3140</v>
      </c>
      <c r="N1496" s="129"/>
      <c r="O1496" s="129" t="s">
        <v>3141</v>
      </c>
      <c r="Q1496" s="129" t="b">
        <v>0</v>
      </c>
    </row>
    <row r="1497" spans="1:17" s="5" customFormat="1" ht="15" hidden="1" customHeight="1">
      <c r="A1497" s="129">
        <v>8011</v>
      </c>
      <c r="B1497" s="129">
        <v>2289</v>
      </c>
      <c r="C1497" s="129">
        <v>0</v>
      </c>
      <c r="D1497" s="129">
        <v>109</v>
      </c>
      <c r="E1497" s="129" t="b">
        <v>1</v>
      </c>
      <c r="F1497" s="129" t="b">
        <v>0</v>
      </c>
      <c r="G1497" s="129" t="s">
        <v>3044</v>
      </c>
      <c r="H1497" s="129" t="s">
        <v>3110</v>
      </c>
      <c r="I1497" s="129" t="s">
        <v>3142</v>
      </c>
      <c r="J1497" s="129"/>
      <c r="K1497" s="129"/>
      <c r="L1497" s="129" t="s">
        <v>2812</v>
      </c>
      <c r="M1497" s="129" t="s">
        <v>3143</v>
      </c>
      <c r="N1497" s="129"/>
      <c r="O1497" s="129" t="s">
        <v>3144</v>
      </c>
      <c r="Q1497" s="129" t="b">
        <v>0</v>
      </c>
    </row>
    <row r="1498" spans="1:17" s="5" customFormat="1" ht="15" hidden="1" customHeight="1">
      <c r="A1498" s="129">
        <v>8012</v>
      </c>
      <c r="B1498" s="129">
        <v>2290</v>
      </c>
      <c r="C1498" s="129">
        <v>0</v>
      </c>
      <c r="D1498" s="129">
        <v>109</v>
      </c>
      <c r="E1498" s="129" t="b">
        <v>1</v>
      </c>
      <c r="F1498" s="129" t="b">
        <v>0</v>
      </c>
      <c r="G1498" s="129" t="s">
        <v>3044</v>
      </c>
      <c r="H1498" s="129" t="s">
        <v>3110</v>
      </c>
      <c r="I1498" s="129" t="s">
        <v>3145</v>
      </c>
      <c r="J1498" s="129"/>
      <c r="K1498" s="129"/>
      <c r="L1498" s="129" t="s">
        <v>2812</v>
      </c>
      <c r="M1498" s="129" t="s">
        <v>3146</v>
      </c>
      <c r="N1498" s="129"/>
      <c r="O1498" s="129" t="s">
        <v>3147</v>
      </c>
      <c r="Q1498" s="129" t="b">
        <v>0</v>
      </c>
    </row>
    <row r="1499" spans="1:17" s="5" customFormat="1" ht="15" hidden="1" customHeight="1">
      <c r="A1499" s="129">
        <v>8013</v>
      </c>
      <c r="B1499" s="129">
        <v>2291</v>
      </c>
      <c r="C1499" s="129">
        <v>0</v>
      </c>
      <c r="D1499" s="129">
        <v>109</v>
      </c>
      <c r="E1499" s="129" t="b">
        <v>1</v>
      </c>
      <c r="F1499" s="129" t="b">
        <v>0</v>
      </c>
      <c r="G1499" s="129" t="s">
        <v>3044</v>
      </c>
      <c r="H1499" s="129" t="s">
        <v>3123</v>
      </c>
      <c r="I1499" s="129" t="s">
        <v>3148</v>
      </c>
      <c r="J1499" s="129"/>
      <c r="K1499" s="129"/>
      <c r="L1499" s="129" t="s">
        <v>2812</v>
      </c>
      <c r="M1499" s="129" t="s">
        <v>3149</v>
      </c>
      <c r="N1499" s="129"/>
      <c r="O1499" s="129" t="s">
        <v>3150</v>
      </c>
      <c r="Q1499" s="129" t="b">
        <v>0</v>
      </c>
    </row>
    <row r="1500" spans="1:17" s="5" customFormat="1" ht="15" hidden="1" customHeight="1">
      <c r="A1500" s="129">
        <v>8014</v>
      </c>
      <c r="B1500" s="129">
        <v>2292</v>
      </c>
      <c r="C1500" s="129">
        <v>0</v>
      </c>
      <c r="D1500" s="129">
        <v>109</v>
      </c>
      <c r="E1500" s="129" t="b">
        <v>1</v>
      </c>
      <c r="F1500" s="129" t="b">
        <v>0</v>
      </c>
      <c r="G1500" s="129" t="s">
        <v>3044</v>
      </c>
      <c r="H1500" s="129" t="s">
        <v>3123</v>
      </c>
      <c r="I1500" s="129" t="s">
        <v>3151</v>
      </c>
      <c r="J1500" s="129"/>
      <c r="K1500" s="129"/>
      <c r="L1500" s="129" t="s">
        <v>2812</v>
      </c>
      <c r="M1500" s="129" t="s">
        <v>3152</v>
      </c>
      <c r="N1500" s="129"/>
      <c r="O1500" s="129" t="s">
        <v>3153</v>
      </c>
      <c r="Q1500" s="129" t="b">
        <v>0</v>
      </c>
    </row>
    <row r="1501" spans="1:17" s="5" customFormat="1" ht="15" hidden="1" customHeight="1">
      <c r="A1501" s="129">
        <v>8015</v>
      </c>
      <c r="B1501" s="129">
        <v>2293</v>
      </c>
      <c r="C1501" s="129">
        <v>0</v>
      </c>
      <c r="D1501" s="129">
        <v>109</v>
      </c>
      <c r="E1501" s="129" t="b">
        <v>1</v>
      </c>
      <c r="F1501" s="129" t="b">
        <v>0</v>
      </c>
      <c r="G1501" s="129" t="s">
        <v>3044</v>
      </c>
      <c r="H1501" s="129" t="s">
        <v>3123</v>
      </c>
      <c r="I1501" s="129" t="s">
        <v>3154</v>
      </c>
      <c r="J1501" s="129"/>
      <c r="K1501" s="129"/>
      <c r="L1501" s="129" t="s">
        <v>2812</v>
      </c>
      <c r="M1501" s="129" t="s">
        <v>3155</v>
      </c>
      <c r="N1501" s="129"/>
      <c r="O1501" s="129" t="s">
        <v>3156</v>
      </c>
      <c r="Q1501" s="129" t="b">
        <v>0</v>
      </c>
    </row>
    <row r="1502" spans="1:17" s="5" customFormat="1" ht="15" hidden="1" customHeight="1">
      <c r="A1502" s="129">
        <v>8016</v>
      </c>
      <c r="B1502" s="129">
        <v>2294</v>
      </c>
      <c r="C1502" s="129">
        <v>0</v>
      </c>
      <c r="D1502" s="129">
        <v>109</v>
      </c>
      <c r="E1502" s="129" t="b">
        <v>1</v>
      </c>
      <c r="F1502" s="129" t="b">
        <v>0</v>
      </c>
      <c r="G1502" s="129" t="s">
        <v>3044</v>
      </c>
      <c r="H1502" s="129" t="s">
        <v>3123</v>
      </c>
      <c r="I1502" s="129" t="s">
        <v>3157</v>
      </c>
      <c r="J1502" s="129"/>
      <c r="K1502" s="129"/>
      <c r="L1502" s="129" t="s">
        <v>2812</v>
      </c>
      <c r="M1502" s="129" t="s">
        <v>3158</v>
      </c>
      <c r="N1502" s="129"/>
      <c r="O1502" s="129" t="s">
        <v>3159</v>
      </c>
      <c r="Q1502" s="129" t="b">
        <v>0</v>
      </c>
    </row>
    <row r="1503" spans="1:17" s="5" customFormat="1" ht="15" customHeight="1">
      <c r="A1503" s="129">
        <v>9021</v>
      </c>
      <c r="B1503" s="129">
        <v>2295</v>
      </c>
      <c r="C1503" s="129">
        <v>0</v>
      </c>
      <c r="D1503" s="129">
        <v>109</v>
      </c>
      <c r="E1503" s="129" t="b">
        <v>1</v>
      </c>
      <c r="F1503" s="129" t="b">
        <v>0</v>
      </c>
      <c r="G1503" s="129" t="s">
        <v>3160</v>
      </c>
      <c r="H1503" s="129"/>
      <c r="I1503" s="129" t="s">
        <v>3161</v>
      </c>
      <c r="J1503" s="129"/>
      <c r="K1503" s="129">
        <v>204</v>
      </c>
      <c r="L1503" s="129" t="s">
        <v>2994</v>
      </c>
      <c r="M1503" s="129" t="s">
        <v>3046</v>
      </c>
      <c r="N1503" s="129"/>
      <c r="O1503" s="129" t="s">
        <v>3162</v>
      </c>
      <c r="Q1503" s="129" t="b">
        <v>0</v>
      </c>
    </row>
    <row r="1504" spans="1:17" s="5" customFormat="1" ht="15" hidden="1" customHeight="1">
      <c r="A1504" s="129">
        <v>9101</v>
      </c>
      <c r="B1504" s="129">
        <v>2296</v>
      </c>
      <c r="C1504" s="129">
        <v>0</v>
      </c>
      <c r="D1504" s="129">
        <v>109</v>
      </c>
      <c r="E1504" s="129" t="b">
        <v>1</v>
      </c>
      <c r="F1504" s="129" t="b">
        <v>0</v>
      </c>
      <c r="G1504" s="129" t="s">
        <v>3160</v>
      </c>
      <c r="H1504" s="129" t="s">
        <v>2815</v>
      </c>
      <c r="I1504" s="129" t="s">
        <v>2816</v>
      </c>
      <c r="J1504" s="129">
        <v>49</v>
      </c>
      <c r="K1504" s="129"/>
      <c r="L1504" s="129" t="s">
        <v>2994</v>
      </c>
      <c r="M1504" s="129" t="s">
        <v>2817</v>
      </c>
      <c r="N1504" s="129"/>
      <c r="O1504" s="129" t="s">
        <v>2815</v>
      </c>
      <c r="Q1504" s="129" t="b">
        <v>0</v>
      </c>
    </row>
    <row r="1505" spans="1:17" s="5" customFormat="1" ht="15" hidden="1" customHeight="1">
      <c r="A1505" s="129">
        <v>9104</v>
      </c>
      <c r="B1505" s="129">
        <v>2297</v>
      </c>
      <c r="C1505" s="129">
        <v>0</v>
      </c>
      <c r="D1505" s="129">
        <v>164</v>
      </c>
      <c r="E1505" s="129" t="b">
        <v>1</v>
      </c>
      <c r="F1505" s="129" t="b">
        <v>0</v>
      </c>
      <c r="G1505" s="129" t="s">
        <v>3160</v>
      </c>
      <c r="H1505" s="129" t="s">
        <v>2818</v>
      </c>
      <c r="I1505" s="129" t="s">
        <v>26</v>
      </c>
      <c r="J1505" s="129"/>
      <c r="K1505" s="129"/>
      <c r="L1505" s="129" t="s">
        <v>2994</v>
      </c>
      <c r="M1505" s="129" t="s">
        <v>2819</v>
      </c>
      <c r="N1505" s="129"/>
      <c r="O1505" s="129" t="s">
        <v>2995</v>
      </c>
      <c r="Q1505" s="129" t="b">
        <v>0</v>
      </c>
    </row>
    <row r="1506" spans="1:17" s="5" customFormat="1" ht="15" hidden="1" customHeight="1">
      <c r="A1506" s="129">
        <v>9102</v>
      </c>
      <c r="B1506" s="129">
        <v>2298</v>
      </c>
      <c r="C1506" s="129">
        <v>0</v>
      </c>
      <c r="D1506" s="129">
        <v>273</v>
      </c>
      <c r="E1506" s="129" t="b">
        <v>1</v>
      </c>
      <c r="F1506" s="129" t="b">
        <v>0</v>
      </c>
      <c r="G1506" s="129" t="s">
        <v>3160</v>
      </c>
      <c r="H1506" s="129" t="s">
        <v>2818</v>
      </c>
      <c r="I1506" s="129" t="s">
        <v>29</v>
      </c>
      <c r="J1506" s="129"/>
      <c r="K1506" s="129"/>
      <c r="L1506" s="129" t="s">
        <v>2994</v>
      </c>
      <c r="M1506" s="129" t="s">
        <v>30</v>
      </c>
      <c r="N1506" s="129"/>
      <c r="O1506" s="129" t="s">
        <v>2996</v>
      </c>
      <c r="Q1506" s="129" t="b">
        <v>0</v>
      </c>
    </row>
    <row r="1507" spans="1:17" s="5" customFormat="1" ht="15" hidden="1" customHeight="1">
      <c r="A1507" s="129">
        <v>9103</v>
      </c>
      <c r="B1507" s="129">
        <v>2299</v>
      </c>
      <c r="C1507" s="129">
        <v>0</v>
      </c>
      <c r="D1507" s="129">
        <v>274</v>
      </c>
      <c r="E1507" s="129" t="b">
        <v>1</v>
      </c>
      <c r="F1507" s="129" t="b">
        <v>0</v>
      </c>
      <c r="G1507" s="129" t="s">
        <v>3160</v>
      </c>
      <c r="H1507" s="129" t="s">
        <v>2818</v>
      </c>
      <c r="I1507" s="129" t="s">
        <v>32</v>
      </c>
      <c r="J1507" s="129"/>
      <c r="K1507" s="129"/>
      <c r="L1507" s="129" t="s">
        <v>2994</v>
      </c>
      <c r="M1507" s="129" t="s">
        <v>33</v>
      </c>
      <c r="N1507" s="129"/>
      <c r="O1507" s="129" t="s">
        <v>2997</v>
      </c>
      <c r="Q1507" s="129" t="b">
        <v>0</v>
      </c>
    </row>
    <row r="1508" spans="1:17" s="5" customFormat="1" ht="15" hidden="1" customHeight="1">
      <c r="A1508" s="129">
        <v>9115</v>
      </c>
      <c r="B1508" s="129">
        <v>2300</v>
      </c>
      <c r="C1508" s="129">
        <v>0</v>
      </c>
      <c r="D1508" s="129">
        <v>164</v>
      </c>
      <c r="E1508" s="129" t="b">
        <v>1</v>
      </c>
      <c r="F1508" s="129" t="b">
        <v>0</v>
      </c>
      <c r="G1508" s="129" t="s">
        <v>3160</v>
      </c>
      <c r="H1508" s="129" t="s">
        <v>2823</v>
      </c>
      <c r="I1508" s="129" t="s">
        <v>36</v>
      </c>
      <c r="J1508" s="129"/>
      <c r="K1508" s="129"/>
      <c r="L1508" s="129" t="s">
        <v>2994</v>
      </c>
      <c r="M1508" s="129" t="s">
        <v>2824</v>
      </c>
      <c r="N1508" s="129"/>
      <c r="O1508" s="129" t="s">
        <v>2998</v>
      </c>
      <c r="Q1508" s="129" t="b">
        <v>0</v>
      </c>
    </row>
    <row r="1509" spans="1:17" s="5" customFormat="1" ht="15" hidden="1" customHeight="1">
      <c r="A1509" s="129">
        <v>9111</v>
      </c>
      <c r="B1509" s="129">
        <v>2301</v>
      </c>
      <c r="C1509" s="129">
        <v>0</v>
      </c>
      <c r="D1509" s="129">
        <v>235</v>
      </c>
      <c r="E1509" s="129" t="b">
        <v>1</v>
      </c>
      <c r="F1509" s="129" t="b">
        <v>0</v>
      </c>
      <c r="G1509" s="129" t="s">
        <v>3160</v>
      </c>
      <c r="H1509" s="129" t="s">
        <v>2823</v>
      </c>
      <c r="I1509" s="5" t="s">
        <v>2999</v>
      </c>
      <c r="J1509" s="129"/>
      <c r="K1509" s="129"/>
      <c r="L1509" s="129" t="s">
        <v>2994</v>
      </c>
      <c r="M1509" s="129" t="s">
        <v>2827</v>
      </c>
      <c r="N1509" s="129"/>
      <c r="O1509" s="129" t="s">
        <v>2999</v>
      </c>
      <c r="Q1509" s="129" t="b">
        <v>0</v>
      </c>
    </row>
    <row r="1510" spans="1:17" s="5" customFormat="1" ht="15" hidden="1" customHeight="1">
      <c r="A1510" s="129">
        <v>9112</v>
      </c>
      <c r="B1510" s="129">
        <v>2302</v>
      </c>
      <c r="C1510" s="129">
        <v>0</v>
      </c>
      <c r="D1510" s="129">
        <v>275</v>
      </c>
      <c r="E1510" s="129" t="b">
        <v>1</v>
      </c>
      <c r="F1510" s="129" t="b">
        <v>0</v>
      </c>
      <c r="G1510" s="129" t="s">
        <v>3160</v>
      </c>
      <c r="H1510" s="129" t="s">
        <v>2823</v>
      </c>
      <c r="I1510" s="5" t="s">
        <v>3000</v>
      </c>
      <c r="J1510" s="129"/>
      <c r="K1510" s="129"/>
      <c r="L1510" s="129" t="s">
        <v>2994</v>
      </c>
      <c r="M1510" s="129" t="s">
        <v>2830</v>
      </c>
      <c r="N1510" s="129"/>
      <c r="O1510" s="129" t="s">
        <v>3000</v>
      </c>
      <c r="Q1510" s="129" t="b">
        <v>0</v>
      </c>
    </row>
    <row r="1511" spans="1:17" s="5" customFormat="1" ht="15" hidden="1" customHeight="1">
      <c r="A1511" s="129">
        <v>9113</v>
      </c>
      <c r="B1511" s="129">
        <v>2303</v>
      </c>
      <c r="C1511" s="129">
        <v>0</v>
      </c>
      <c r="D1511" s="129">
        <v>276</v>
      </c>
      <c r="E1511" s="129" t="b">
        <v>1</v>
      </c>
      <c r="F1511" s="129" t="b">
        <v>0</v>
      </c>
      <c r="G1511" s="129" t="s">
        <v>3160</v>
      </c>
      <c r="H1511" s="129" t="s">
        <v>2823</v>
      </c>
      <c r="I1511" s="5" t="s">
        <v>3001</v>
      </c>
      <c r="J1511" s="129"/>
      <c r="K1511" s="129"/>
      <c r="L1511" s="129" t="s">
        <v>2994</v>
      </c>
      <c r="M1511" s="129" t="s">
        <v>2833</v>
      </c>
      <c r="N1511" s="129"/>
      <c r="O1511" s="129" t="s">
        <v>3001</v>
      </c>
      <c r="Q1511" s="129" t="b">
        <v>0</v>
      </c>
    </row>
    <row r="1512" spans="1:17" s="5" customFormat="1" ht="15" hidden="1" customHeight="1">
      <c r="A1512" s="129">
        <v>9114</v>
      </c>
      <c r="B1512" s="129">
        <v>2304</v>
      </c>
      <c r="C1512" s="129">
        <v>0</v>
      </c>
      <c r="D1512" s="129">
        <v>277</v>
      </c>
      <c r="E1512" s="129" t="b">
        <v>1</v>
      </c>
      <c r="F1512" s="129" t="b">
        <v>0</v>
      </c>
      <c r="G1512" s="129" t="s">
        <v>3160</v>
      </c>
      <c r="H1512" s="129" t="s">
        <v>2823</v>
      </c>
      <c r="I1512" s="129" t="s">
        <v>2835</v>
      </c>
      <c r="J1512" s="129"/>
      <c r="K1512" s="129"/>
      <c r="L1512" s="129" t="s">
        <v>2994</v>
      </c>
      <c r="M1512" s="129" t="s">
        <v>2836</v>
      </c>
      <c r="N1512" s="129"/>
      <c r="O1512" s="129" t="s">
        <v>3002</v>
      </c>
      <c r="Q1512" s="129" t="b">
        <v>0</v>
      </c>
    </row>
    <row r="1513" spans="1:17" s="5" customFormat="1" ht="15" hidden="1" customHeight="1">
      <c r="A1513" s="129">
        <v>9200</v>
      </c>
      <c r="B1513" s="129">
        <v>2305</v>
      </c>
      <c r="C1513" s="129">
        <v>0</v>
      </c>
      <c r="D1513" s="129">
        <v>109</v>
      </c>
      <c r="E1513" s="129" t="b">
        <v>1</v>
      </c>
      <c r="F1513" s="129" t="b">
        <v>0</v>
      </c>
      <c r="G1513" s="129" t="s">
        <v>3160</v>
      </c>
      <c r="H1513" s="129" t="s">
        <v>2844</v>
      </c>
      <c r="I1513" s="129" t="s">
        <v>2845</v>
      </c>
      <c r="J1513" s="129">
        <v>50</v>
      </c>
      <c r="K1513" s="129"/>
      <c r="L1513" s="129" t="s">
        <v>2994</v>
      </c>
      <c r="M1513" s="129" t="s">
        <v>3050</v>
      </c>
      <c r="N1513" s="129"/>
      <c r="O1513" s="129" t="s">
        <v>3163</v>
      </c>
      <c r="Q1513" s="129" t="b">
        <v>0</v>
      </c>
    </row>
    <row r="1514" spans="1:17" s="5" customFormat="1" ht="15" hidden="1" customHeight="1">
      <c r="A1514" s="129">
        <v>9204</v>
      </c>
      <c r="B1514" s="129">
        <v>2306</v>
      </c>
      <c r="C1514" s="129">
        <v>0</v>
      </c>
      <c r="D1514" s="129">
        <v>164</v>
      </c>
      <c r="E1514" s="129" t="b">
        <v>1</v>
      </c>
      <c r="F1514" s="129" t="b">
        <v>0</v>
      </c>
      <c r="G1514" s="129" t="s">
        <v>3160</v>
      </c>
      <c r="H1514" s="129" t="s">
        <v>2848</v>
      </c>
      <c r="I1514" s="129" t="s">
        <v>49</v>
      </c>
      <c r="J1514" s="129"/>
      <c r="K1514" s="129"/>
      <c r="L1514" s="129" t="s">
        <v>2994</v>
      </c>
      <c r="M1514" s="129" t="s">
        <v>2849</v>
      </c>
      <c r="N1514" s="129"/>
      <c r="O1514" s="129" t="s">
        <v>3003</v>
      </c>
      <c r="Q1514" s="129" t="b">
        <v>0</v>
      </c>
    </row>
    <row r="1515" spans="1:17" s="5" customFormat="1" ht="15" hidden="1" customHeight="1">
      <c r="A1515" s="129">
        <v>9201</v>
      </c>
      <c r="B1515" s="129">
        <v>2307</v>
      </c>
      <c r="C1515" s="129">
        <v>0</v>
      </c>
      <c r="D1515" s="129">
        <v>278</v>
      </c>
      <c r="E1515" s="129" t="b">
        <v>1</v>
      </c>
      <c r="F1515" s="129" t="b">
        <v>0</v>
      </c>
      <c r="G1515" s="129" t="s">
        <v>3160</v>
      </c>
      <c r="H1515" s="129" t="s">
        <v>2848</v>
      </c>
      <c r="I1515" s="129" t="s">
        <v>2851</v>
      </c>
      <c r="J1515" s="129"/>
      <c r="K1515" s="129"/>
      <c r="L1515" s="129" t="s">
        <v>2994</v>
      </c>
      <c r="M1515" s="129" t="s">
        <v>2852</v>
      </c>
      <c r="N1515" s="129"/>
      <c r="O1515" s="129" t="s">
        <v>3004</v>
      </c>
      <c r="Q1515" s="129" t="b">
        <v>0</v>
      </c>
    </row>
    <row r="1516" spans="1:17" s="5" customFormat="1" ht="15" hidden="1" customHeight="1">
      <c r="A1516" s="129">
        <v>9202</v>
      </c>
      <c r="B1516" s="129">
        <v>2308</v>
      </c>
      <c r="C1516" s="129">
        <v>0</v>
      </c>
      <c r="D1516" s="129">
        <v>279</v>
      </c>
      <c r="E1516" s="129" t="b">
        <v>1</v>
      </c>
      <c r="F1516" s="129" t="b">
        <v>0</v>
      </c>
      <c r="G1516" s="129" t="s">
        <v>3160</v>
      </c>
      <c r="H1516" s="129" t="s">
        <v>2848</v>
      </c>
      <c r="I1516" s="129" t="s">
        <v>2854</v>
      </c>
      <c r="J1516" s="129"/>
      <c r="K1516" s="129"/>
      <c r="L1516" s="129" t="s">
        <v>2994</v>
      </c>
      <c r="M1516" s="129" t="s">
        <v>2855</v>
      </c>
      <c r="N1516" s="129"/>
      <c r="O1516" s="129" t="s">
        <v>3005</v>
      </c>
      <c r="Q1516" s="129" t="b">
        <v>0</v>
      </c>
    </row>
    <row r="1517" spans="1:17" s="5" customFormat="1" ht="15" hidden="1" customHeight="1">
      <c r="A1517" s="129">
        <v>9203</v>
      </c>
      <c r="B1517" s="129">
        <v>2309</v>
      </c>
      <c r="C1517" s="129">
        <v>0</v>
      </c>
      <c r="D1517" s="129">
        <v>280</v>
      </c>
      <c r="E1517" s="129" t="b">
        <v>1</v>
      </c>
      <c r="F1517" s="129" t="b">
        <v>0</v>
      </c>
      <c r="G1517" s="129" t="s">
        <v>3160</v>
      </c>
      <c r="H1517" s="129" t="s">
        <v>2848</v>
      </c>
      <c r="I1517" s="129" t="s">
        <v>2857</v>
      </c>
      <c r="J1517" s="129"/>
      <c r="K1517" s="129"/>
      <c r="L1517" s="129" t="s">
        <v>2994</v>
      </c>
      <c r="M1517" s="129" t="s">
        <v>2858</v>
      </c>
      <c r="N1517" s="129"/>
      <c r="O1517" s="129" t="s">
        <v>3006</v>
      </c>
      <c r="Q1517" s="129" t="b">
        <v>0</v>
      </c>
    </row>
    <row r="1518" spans="1:17" s="5" customFormat="1" ht="15" hidden="1" customHeight="1">
      <c r="A1518" s="129">
        <v>9213</v>
      </c>
      <c r="B1518" s="129">
        <v>2310</v>
      </c>
      <c r="C1518" s="129">
        <v>0</v>
      </c>
      <c r="D1518" s="129">
        <v>164</v>
      </c>
      <c r="E1518" s="129" t="b">
        <v>1</v>
      </c>
      <c r="F1518" s="129" t="b">
        <v>0</v>
      </c>
      <c r="G1518" s="129" t="s">
        <v>3160</v>
      </c>
      <c r="H1518" s="129" t="s">
        <v>2860</v>
      </c>
      <c r="I1518" s="129" t="s">
        <v>85</v>
      </c>
      <c r="J1518" s="129"/>
      <c r="K1518" s="129"/>
      <c r="L1518" s="129" t="s">
        <v>2994</v>
      </c>
      <c r="M1518" s="129" t="s">
        <v>2861</v>
      </c>
      <c r="N1518" s="129"/>
      <c r="O1518" s="129" t="s">
        <v>3007</v>
      </c>
      <c r="Q1518" s="129" t="b">
        <v>0</v>
      </c>
    </row>
    <row r="1519" spans="1:17" s="5" customFormat="1" ht="15" hidden="1" customHeight="1">
      <c r="A1519" s="129">
        <v>9211</v>
      </c>
      <c r="B1519" s="129">
        <v>2311</v>
      </c>
      <c r="C1519" s="129">
        <v>0</v>
      </c>
      <c r="D1519" s="129">
        <v>281</v>
      </c>
      <c r="E1519" s="129" t="b">
        <v>1</v>
      </c>
      <c r="F1519" s="129" t="b">
        <v>0</v>
      </c>
      <c r="G1519" s="129" t="s">
        <v>3160</v>
      </c>
      <c r="H1519" s="129" t="s">
        <v>2860</v>
      </c>
      <c r="I1519" s="129" t="s">
        <v>91</v>
      </c>
      <c r="J1519" s="129"/>
      <c r="K1519" s="129"/>
      <c r="L1519" s="129" t="s">
        <v>2994</v>
      </c>
      <c r="M1519" s="129" t="s">
        <v>2863</v>
      </c>
      <c r="N1519" s="129"/>
      <c r="O1519" s="129" t="s">
        <v>3008</v>
      </c>
      <c r="Q1519" s="129" t="b">
        <v>0</v>
      </c>
    </row>
    <row r="1520" spans="1:17" s="5" customFormat="1" ht="15" hidden="1" customHeight="1">
      <c r="A1520" s="129">
        <v>9212</v>
      </c>
      <c r="B1520" s="129">
        <v>2312</v>
      </c>
      <c r="C1520" s="129">
        <v>0</v>
      </c>
      <c r="D1520" s="129">
        <v>282</v>
      </c>
      <c r="E1520" s="129" t="b">
        <v>1</v>
      </c>
      <c r="F1520" s="129" t="b">
        <v>0</v>
      </c>
      <c r="G1520" s="129" t="s">
        <v>3160</v>
      </c>
      <c r="H1520" s="129" t="s">
        <v>2860</v>
      </c>
      <c r="I1520" s="129" t="s">
        <v>88</v>
      </c>
      <c r="J1520" s="129"/>
      <c r="K1520" s="129"/>
      <c r="L1520" s="129" t="s">
        <v>2994</v>
      </c>
      <c r="M1520" s="129" t="s">
        <v>2865</v>
      </c>
      <c r="N1520" s="129"/>
      <c r="O1520" s="129" t="s">
        <v>3009</v>
      </c>
      <c r="Q1520" s="129" t="b">
        <v>0</v>
      </c>
    </row>
    <row r="1521" spans="1:17" s="5" customFormat="1" ht="15" hidden="1" customHeight="1">
      <c r="A1521" s="129">
        <v>9222</v>
      </c>
      <c r="B1521" s="129">
        <v>2313</v>
      </c>
      <c r="C1521" s="129">
        <v>0</v>
      </c>
      <c r="D1521" s="129">
        <v>176</v>
      </c>
      <c r="E1521" s="129" t="b">
        <v>1</v>
      </c>
      <c r="F1521" s="129" t="b">
        <v>0</v>
      </c>
      <c r="G1521" s="129" t="s">
        <v>3160</v>
      </c>
      <c r="H1521" s="129" t="s">
        <v>2867</v>
      </c>
      <c r="I1521" s="129" t="s">
        <v>68</v>
      </c>
      <c r="J1521" s="129"/>
      <c r="K1521" s="129"/>
      <c r="L1521" s="129" t="s">
        <v>2994</v>
      </c>
      <c r="M1521" s="129" t="s">
        <v>2868</v>
      </c>
      <c r="N1521" s="129"/>
      <c r="O1521" s="129" t="s">
        <v>3010</v>
      </c>
      <c r="Q1521" s="129" t="b">
        <v>0</v>
      </c>
    </row>
    <row r="1522" spans="1:17" s="5" customFormat="1" ht="15" hidden="1" customHeight="1">
      <c r="A1522" s="129">
        <v>9221</v>
      </c>
      <c r="B1522" s="129">
        <v>2314</v>
      </c>
      <c r="C1522" s="129">
        <v>0</v>
      </c>
      <c r="D1522" s="129">
        <v>283</v>
      </c>
      <c r="E1522" s="129" t="b">
        <v>1</v>
      </c>
      <c r="F1522" s="129" t="b">
        <v>0</v>
      </c>
      <c r="G1522" s="129" t="s">
        <v>3160</v>
      </c>
      <c r="H1522" s="129" t="s">
        <v>2867</v>
      </c>
      <c r="I1522" s="129" t="s">
        <v>2870</v>
      </c>
      <c r="J1522" s="129"/>
      <c r="K1522" s="129"/>
      <c r="L1522" s="129" t="s">
        <v>2994</v>
      </c>
      <c r="M1522" s="129" t="s">
        <v>75</v>
      </c>
      <c r="N1522" s="129"/>
      <c r="O1522" s="129" t="s">
        <v>3011</v>
      </c>
      <c r="Q1522" s="129" t="b">
        <v>0</v>
      </c>
    </row>
    <row r="1523" spans="1:17" s="5" customFormat="1" ht="15" hidden="1" customHeight="1">
      <c r="A1523" s="129">
        <v>9233</v>
      </c>
      <c r="B1523" s="129">
        <v>2315</v>
      </c>
      <c r="C1523" s="129">
        <v>0</v>
      </c>
      <c r="D1523" s="129">
        <v>164</v>
      </c>
      <c r="E1523" s="129" t="b">
        <v>1</v>
      </c>
      <c r="F1523" s="129" t="b">
        <v>0</v>
      </c>
      <c r="G1523" s="129" t="s">
        <v>3160</v>
      </c>
      <c r="H1523" s="129" t="s">
        <v>2872</v>
      </c>
      <c r="I1523" s="129" t="s">
        <v>2873</v>
      </c>
      <c r="J1523" s="129"/>
      <c r="K1523" s="129"/>
      <c r="L1523" s="129" t="s">
        <v>2994</v>
      </c>
      <c r="M1523" s="129" t="s">
        <v>2874</v>
      </c>
      <c r="N1523" s="129"/>
      <c r="O1523" s="129" t="s">
        <v>3012</v>
      </c>
      <c r="Q1523" s="129" t="b">
        <v>0</v>
      </c>
    </row>
    <row r="1524" spans="1:17" s="5" customFormat="1" ht="15" hidden="1" customHeight="1">
      <c r="A1524" s="129">
        <v>9231</v>
      </c>
      <c r="B1524" s="129">
        <v>2316</v>
      </c>
      <c r="C1524" s="129">
        <v>0</v>
      </c>
      <c r="D1524" s="129">
        <v>284</v>
      </c>
      <c r="E1524" s="129" t="b">
        <v>1</v>
      </c>
      <c r="F1524" s="129" t="b">
        <v>0</v>
      </c>
      <c r="G1524" s="129" t="s">
        <v>3160</v>
      </c>
      <c r="H1524" s="129" t="s">
        <v>2872</v>
      </c>
      <c r="I1524" s="129" t="s">
        <v>2876</v>
      </c>
      <c r="J1524" s="129"/>
      <c r="K1524" s="129"/>
      <c r="L1524" s="129" t="s">
        <v>2994</v>
      </c>
      <c r="M1524" s="129" t="s">
        <v>2877</v>
      </c>
      <c r="N1524" s="129"/>
      <c r="O1524" s="129" t="s">
        <v>3013</v>
      </c>
      <c r="Q1524" s="129" t="b">
        <v>0</v>
      </c>
    </row>
    <row r="1525" spans="1:17" s="5" customFormat="1" ht="15" hidden="1" customHeight="1">
      <c r="A1525" s="129">
        <v>9232</v>
      </c>
      <c r="B1525" s="129">
        <v>2317</v>
      </c>
      <c r="C1525" s="129">
        <v>0</v>
      </c>
      <c r="D1525" s="129">
        <v>285</v>
      </c>
      <c r="E1525" s="129" t="b">
        <v>1</v>
      </c>
      <c r="F1525" s="129" t="b">
        <v>0</v>
      </c>
      <c r="G1525" s="129" t="s">
        <v>3160</v>
      </c>
      <c r="H1525" s="129" t="s">
        <v>2872</v>
      </c>
      <c r="I1525" s="129" t="s">
        <v>3014</v>
      </c>
      <c r="J1525" s="129"/>
      <c r="K1525" s="129"/>
      <c r="L1525" s="129" t="s">
        <v>2994</v>
      </c>
      <c r="M1525" s="129" t="s">
        <v>2880</v>
      </c>
      <c r="N1525" s="129"/>
      <c r="O1525" s="129" t="s">
        <v>3015</v>
      </c>
      <c r="Q1525" s="129" t="b">
        <v>0</v>
      </c>
    </row>
    <row r="1526" spans="1:17" s="5" customFormat="1" ht="15" hidden="1" customHeight="1">
      <c r="A1526" s="129">
        <v>9242</v>
      </c>
      <c r="B1526" s="129">
        <v>2318</v>
      </c>
      <c r="C1526" s="129">
        <v>0</v>
      </c>
      <c r="D1526" s="129">
        <v>164</v>
      </c>
      <c r="E1526" s="129" t="b">
        <v>1</v>
      </c>
      <c r="F1526" s="129" t="b">
        <v>0</v>
      </c>
      <c r="G1526" s="129" t="s">
        <v>3160</v>
      </c>
      <c r="H1526" s="129" t="s">
        <v>2882</v>
      </c>
      <c r="I1526" s="129" t="s">
        <v>78</v>
      </c>
      <c r="J1526" s="129"/>
      <c r="K1526" s="129"/>
      <c r="L1526" s="129" t="s">
        <v>2994</v>
      </c>
      <c r="M1526" s="129" t="s">
        <v>3052</v>
      </c>
      <c r="N1526" s="129"/>
      <c r="O1526" s="129" t="s">
        <v>3164</v>
      </c>
      <c r="Q1526" s="129" t="b">
        <v>0</v>
      </c>
    </row>
    <row r="1527" spans="1:17" s="76" customFormat="1" ht="15" hidden="1" customHeight="1">
      <c r="A1527" s="129">
        <v>9241</v>
      </c>
      <c r="B1527" s="129">
        <v>2319</v>
      </c>
      <c r="C1527" s="129">
        <v>0</v>
      </c>
      <c r="D1527" s="129">
        <v>286</v>
      </c>
      <c r="E1527" s="129" t="b">
        <v>1</v>
      </c>
      <c r="F1527" s="129" t="b">
        <v>0</v>
      </c>
      <c r="G1527" s="129" t="s">
        <v>3160</v>
      </c>
      <c r="H1527" s="129" t="s">
        <v>2882</v>
      </c>
      <c r="I1527" s="129" t="s">
        <v>2885</v>
      </c>
      <c r="J1527" s="129"/>
      <c r="K1527" s="129"/>
      <c r="L1527" s="129" t="s">
        <v>2994</v>
      </c>
      <c r="M1527" s="129" t="s">
        <v>2886</v>
      </c>
      <c r="N1527" s="129"/>
      <c r="O1527" s="129" t="s">
        <v>3017</v>
      </c>
      <c r="Q1527" s="129" t="b">
        <v>0</v>
      </c>
    </row>
    <row r="1528" spans="1:17" s="5" customFormat="1" ht="15" hidden="1" customHeight="1">
      <c r="A1528" s="129">
        <v>9300</v>
      </c>
      <c r="B1528" s="129">
        <v>2320</v>
      </c>
      <c r="C1528" s="129">
        <v>0</v>
      </c>
      <c r="D1528" s="129">
        <v>109</v>
      </c>
      <c r="E1528" s="129" t="b">
        <v>1</v>
      </c>
      <c r="F1528" s="129" t="b">
        <v>0</v>
      </c>
      <c r="G1528" s="129" t="s">
        <v>3160</v>
      </c>
      <c r="H1528" s="129" t="s">
        <v>2894</v>
      </c>
      <c r="I1528" s="129" t="s">
        <v>2895</v>
      </c>
      <c r="J1528" s="129">
        <v>51</v>
      </c>
      <c r="K1528" s="129"/>
      <c r="L1528" s="129" t="s">
        <v>2994</v>
      </c>
      <c r="M1528" s="129" t="s">
        <v>3054</v>
      </c>
      <c r="N1528" s="129"/>
      <c r="O1528" s="129" t="s">
        <v>3165</v>
      </c>
      <c r="Q1528" s="129" t="b">
        <v>0</v>
      </c>
    </row>
    <row r="1529" spans="1:17" s="5" customFormat="1" ht="15" hidden="1" customHeight="1">
      <c r="A1529" s="129">
        <v>9304</v>
      </c>
      <c r="B1529" s="129">
        <v>2321</v>
      </c>
      <c r="C1529" s="129">
        <v>0</v>
      </c>
      <c r="D1529" s="129">
        <v>164</v>
      </c>
      <c r="E1529" s="129" t="b">
        <v>1</v>
      </c>
      <c r="F1529" s="129" t="b">
        <v>0</v>
      </c>
      <c r="G1529" s="129" t="s">
        <v>3160</v>
      </c>
      <c r="H1529" s="129" t="s">
        <v>2898</v>
      </c>
      <c r="I1529" s="129" t="s">
        <v>49</v>
      </c>
      <c r="J1529" s="129"/>
      <c r="K1529" s="129"/>
      <c r="L1529" s="129" t="s">
        <v>2994</v>
      </c>
      <c r="M1529" s="129" t="s">
        <v>2849</v>
      </c>
      <c r="N1529" s="129"/>
      <c r="O1529" s="129" t="s">
        <v>3003</v>
      </c>
      <c r="Q1529" s="129" t="b">
        <v>0</v>
      </c>
    </row>
    <row r="1530" spans="1:17" s="5" customFormat="1" ht="15" hidden="1" customHeight="1">
      <c r="A1530" s="129">
        <v>9301</v>
      </c>
      <c r="B1530" s="129">
        <v>2322</v>
      </c>
      <c r="C1530" s="129">
        <v>0</v>
      </c>
      <c r="D1530" s="129">
        <v>278</v>
      </c>
      <c r="E1530" s="129" t="b">
        <v>1</v>
      </c>
      <c r="F1530" s="129" t="b">
        <v>0</v>
      </c>
      <c r="G1530" s="129" t="s">
        <v>3160</v>
      </c>
      <c r="H1530" s="129" t="s">
        <v>2898</v>
      </c>
      <c r="I1530" s="129" t="s">
        <v>2851</v>
      </c>
      <c r="J1530" s="129"/>
      <c r="K1530" s="129"/>
      <c r="L1530" s="129" t="s">
        <v>2994</v>
      </c>
      <c r="M1530" s="129" t="s">
        <v>2852</v>
      </c>
      <c r="N1530" s="129"/>
      <c r="O1530" s="129" t="s">
        <v>3004</v>
      </c>
      <c r="Q1530" s="129" t="b">
        <v>0</v>
      </c>
    </row>
    <row r="1531" spans="1:17" s="5" customFormat="1" ht="15" hidden="1" customHeight="1">
      <c r="A1531" s="129">
        <v>9302</v>
      </c>
      <c r="B1531" s="129">
        <v>2323</v>
      </c>
      <c r="C1531" s="129">
        <v>0</v>
      </c>
      <c r="D1531" s="129">
        <v>279</v>
      </c>
      <c r="E1531" s="129" t="b">
        <v>1</v>
      </c>
      <c r="F1531" s="129" t="b">
        <v>0</v>
      </c>
      <c r="G1531" s="129" t="s">
        <v>3160</v>
      </c>
      <c r="H1531" s="129" t="s">
        <v>2898</v>
      </c>
      <c r="I1531" s="129" t="s">
        <v>2854</v>
      </c>
      <c r="J1531" s="129"/>
      <c r="K1531" s="129"/>
      <c r="L1531" s="129" t="s">
        <v>2994</v>
      </c>
      <c r="M1531" s="129" t="s">
        <v>2855</v>
      </c>
      <c r="N1531" s="129"/>
      <c r="O1531" s="129" t="s">
        <v>3005</v>
      </c>
      <c r="Q1531" s="129" t="b">
        <v>0</v>
      </c>
    </row>
    <row r="1532" spans="1:17" s="5" customFormat="1" ht="15" hidden="1" customHeight="1">
      <c r="A1532" s="129">
        <v>9303</v>
      </c>
      <c r="B1532" s="129">
        <v>2324</v>
      </c>
      <c r="C1532" s="129">
        <v>0</v>
      </c>
      <c r="D1532" s="129">
        <v>280</v>
      </c>
      <c r="E1532" s="129" t="b">
        <v>1</v>
      </c>
      <c r="F1532" s="129" t="b">
        <v>0</v>
      </c>
      <c r="G1532" s="129" t="s">
        <v>3160</v>
      </c>
      <c r="H1532" s="129" t="s">
        <v>2898</v>
      </c>
      <c r="I1532" s="129" t="s">
        <v>2857</v>
      </c>
      <c r="J1532" s="129"/>
      <c r="K1532" s="129"/>
      <c r="L1532" s="129" t="s">
        <v>2994</v>
      </c>
      <c r="M1532" s="129" t="s">
        <v>2858</v>
      </c>
      <c r="N1532" s="129"/>
      <c r="O1532" s="129" t="s">
        <v>3006</v>
      </c>
      <c r="Q1532" s="129" t="b">
        <v>0</v>
      </c>
    </row>
    <row r="1533" spans="1:17" s="5" customFormat="1" ht="15" hidden="1" customHeight="1">
      <c r="A1533" s="129">
        <v>9312</v>
      </c>
      <c r="B1533" s="129">
        <v>2325</v>
      </c>
      <c r="C1533" s="129">
        <v>0</v>
      </c>
      <c r="D1533" s="129">
        <v>176</v>
      </c>
      <c r="E1533" s="129" t="b">
        <v>1</v>
      </c>
      <c r="F1533" s="129" t="b">
        <v>0</v>
      </c>
      <c r="G1533" s="129" t="s">
        <v>3160</v>
      </c>
      <c r="H1533" s="129" t="s">
        <v>2899</v>
      </c>
      <c r="I1533" s="129" t="s">
        <v>68</v>
      </c>
      <c r="J1533" s="129"/>
      <c r="K1533" s="129"/>
      <c r="L1533" s="129" t="s">
        <v>2994</v>
      </c>
      <c r="M1533" s="129" t="s">
        <v>2868</v>
      </c>
      <c r="N1533" s="129"/>
      <c r="O1533" s="129" t="s">
        <v>3010</v>
      </c>
      <c r="Q1533" s="129" t="b">
        <v>0</v>
      </c>
    </row>
    <row r="1534" spans="1:17" s="5" customFormat="1" ht="15" hidden="1" customHeight="1">
      <c r="A1534" s="129">
        <v>9311</v>
      </c>
      <c r="B1534" s="129">
        <v>2326</v>
      </c>
      <c r="C1534" s="129">
        <v>0</v>
      </c>
      <c r="D1534" s="129">
        <v>283</v>
      </c>
      <c r="E1534" s="129" t="b">
        <v>1</v>
      </c>
      <c r="F1534" s="129" t="b">
        <v>0</v>
      </c>
      <c r="G1534" s="129" t="s">
        <v>3160</v>
      </c>
      <c r="H1534" s="129" t="s">
        <v>2899</v>
      </c>
      <c r="I1534" s="129" t="s">
        <v>2870</v>
      </c>
      <c r="J1534" s="129"/>
      <c r="K1534" s="129"/>
      <c r="L1534" s="129" t="s">
        <v>2994</v>
      </c>
      <c r="M1534" s="129" t="s">
        <v>75</v>
      </c>
      <c r="N1534" s="129"/>
      <c r="O1534" s="129" t="s">
        <v>3011</v>
      </c>
      <c r="Q1534" s="129" t="b">
        <v>0</v>
      </c>
    </row>
    <row r="1535" spans="1:17" s="5" customFormat="1" ht="15" hidden="1" customHeight="1">
      <c r="A1535" s="129">
        <v>9323</v>
      </c>
      <c r="B1535" s="129">
        <v>2327</v>
      </c>
      <c r="C1535" s="129">
        <v>0</v>
      </c>
      <c r="D1535" s="129">
        <v>164</v>
      </c>
      <c r="E1535" s="129" t="b">
        <v>1</v>
      </c>
      <c r="F1535" s="129" t="b">
        <v>0</v>
      </c>
      <c r="G1535" s="129" t="s">
        <v>3160</v>
      </c>
      <c r="H1535" s="129" t="s">
        <v>2900</v>
      </c>
      <c r="I1535" s="129" t="s">
        <v>2873</v>
      </c>
      <c r="J1535" s="129"/>
      <c r="K1535" s="129"/>
      <c r="L1535" s="129" t="s">
        <v>2994</v>
      </c>
      <c r="M1535" s="129" t="s">
        <v>2874</v>
      </c>
      <c r="N1535" s="129"/>
      <c r="O1535" s="129" t="s">
        <v>3012</v>
      </c>
      <c r="Q1535" s="129" t="b">
        <v>0</v>
      </c>
    </row>
    <row r="1536" spans="1:17" s="5" customFormat="1" ht="15" hidden="1" customHeight="1">
      <c r="A1536" s="129">
        <v>9321</v>
      </c>
      <c r="B1536" s="129">
        <v>2328</v>
      </c>
      <c r="C1536" s="129">
        <v>0</v>
      </c>
      <c r="D1536" s="129">
        <v>284</v>
      </c>
      <c r="E1536" s="129" t="b">
        <v>1</v>
      </c>
      <c r="F1536" s="129" t="b">
        <v>0</v>
      </c>
      <c r="G1536" s="129" t="s">
        <v>3160</v>
      </c>
      <c r="H1536" s="129" t="s">
        <v>2900</v>
      </c>
      <c r="I1536" s="129" t="s">
        <v>2876</v>
      </c>
      <c r="J1536" s="129"/>
      <c r="K1536" s="129"/>
      <c r="L1536" s="129" t="s">
        <v>2994</v>
      </c>
      <c r="M1536" s="129" t="s">
        <v>2877</v>
      </c>
      <c r="N1536" s="129"/>
      <c r="O1536" s="129" t="s">
        <v>3013</v>
      </c>
      <c r="Q1536" s="129" t="b">
        <v>0</v>
      </c>
    </row>
    <row r="1537" spans="1:17" s="5" customFormat="1" ht="15" hidden="1" customHeight="1">
      <c r="A1537" s="129">
        <v>9322</v>
      </c>
      <c r="B1537" s="129">
        <v>2329</v>
      </c>
      <c r="C1537" s="129">
        <v>0</v>
      </c>
      <c r="D1537" s="129">
        <v>285</v>
      </c>
      <c r="E1537" s="129" t="b">
        <v>1</v>
      </c>
      <c r="F1537" s="129" t="b">
        <v>0</v>
      </c>
      <c r="G1537" s="129" t="s">
        <v>3160</v>
      </c>
      <c r="H1537" s="129" t="s">
        <v>2900</v>
      </c>
      <c r="I1537" s="129" t="s">
        <v>3014</v>
      </c>
      <c r="J1537" s="129"/>
      <c r="K1537" s="129"/>
      <c r="L1537" s="129" t="s">
        <v>2994</v>
      </c>
      <c r="M1537" s="129" t="s">
        <v>2880</v>
      </c>
      <c r="N1537" s="129"/>
      <c r="O1537" s="129" t="s">
        <v>3015</v>
      </c>
      <c r="Q1537" s="129" t="b">
        <v>0</v>
      </c>
    </row>
    <row r="1538" spans="1:17" s="5" customFormat="1" ht="15" hidden="1" customHeight="1">
      <c r="A1538" s="129">
        <v>9332</v>
      </c>
      <c r="B1538" s="129">
        <v>2330</v>
      </c>
      <c r="C1538" s="129">
        <v>0</v>
      </c>
      <c r="D1538" s="129">
        <v>164</v>
      </c>
      <c r="E1538" s="129" t="b">
        <v>1</v>
      </c>
      <c r="F1538" s="129" t="b">
        <v>0</v>
      </c>
      <c r="G1538" s="129" t="s">
        <v>3160</v>
      </c>
      <c r="H1538" s="129" t="s">
        <v>2901</v>
      </c>
      <c r="I1538" s="129" t="s">
        <v>78</v>
      </c>
      <c r="J1538" s="129"/>
      <c r="K1538" s="129"/>
      <c r="L1538" s="129" t="s">
        <v>2994</v>
      </c>
      <c r="M1538" s="129" t="s">
        <v>3052</v>
      </c>
      <c r="N1538" s="129"/>
      <c r="O1538" s="129" t="s">
        <v>3164</v>
      </c>
      <c r="Q1538" s="129" t="b">
        <v>0</v>
      </c>
    </row>
    <row r="1539" spans="1:17" s="5" customFormat="1" ht="15" hidden="1" customHeight="1">
      <c r="A1539" s="129">
        <v>9331</v>
      </c>
      <c r="B1539" s="129">
        <v>2331</v>
      </c>
      <c r="C1539" s="129">
        <v>0</v>
      </c>
      <c r="D1539" s="129">
        <v>286</v>
      </c>
      <c r="E1539" s="129" t="b">
        <v>1</v>
      </c>
      <c r="F1539" s="129" t="b">
        <v>0</v>
      </c>
      <c r="G1539" s="129" t="s">
        <v>3160</v>
      </c>
      <c r="H1539" s="129" t="s">
        <v>2901</v>
      </c>
      <c r="I1539" s="129" t="s">
        <v>2885</v>
      </c>
      <c r="J1539" s="129"/>
      <c r="K1539" s="129"/>
      <c r="L1539" s="129" t="s">
        <v>2994</v>
      </c>
      <c r="M1539" s="129" t="s">
        <v>3166</v>
      </c>
      <c r="N1539" s="129"/>
      <c r="O1539" s="129" t="s">
        <v>3017</v>
      </c>
      <c r="Q1539" s="129" t="b">
        <v>0</v>
      </c>
    </row>
    <row r="1540" spans="1:17" s="5" customFormat="1" ht="15" hidden="1" customHeight="1">
      <c r="A1540" s="129">
        <v>9343</v>
      </c>
      <c r="B1540" s="129">
        <v>2332</v>
      </c>
      <c r="C1540" s="129">
        <v>0</v>
      </c>
      <c r="D1540" s="129">
        <v>164</v>
      </c>
      <c r="E1540" s="129" t="b">
        <v>1</v>
      </c>
      <c r="F1540" s="129" t="b">
        <v>0</v>
      </c>
      <c r="G1540" s="129" t="s">
        <v>3160</v>
      </c>
      <c r="H1540" s="129" t="s">
        <v>2902</v>
      </c>
      <c r="I1540" s="129" t="s">
        <v>160</v>
      </c>
      <c r="J1540" s="129"/>
      <c r="K1540" s="129"/>
      <c r="L1540" s="129" t="s">
        <v>2994</v>
      </c>
      <c r="M1540" s="129" t="s">
        <v>2903</v>
      </c>
      <c r="N1540" s="129"/>
      <c r="O1540" s="129" t="s">
        <v>3020</v>
      </c>
      <c r="Q1540" s="129" t="b">
        <v>0</v>
      </c>
    </row>
    <row r="1541" spans="1:17" s="5" customFormat="1" ht="15" hidden="1" customHeight="1">
      <c r="A1541" s="129">
        <v>9341</v>
      </c>
      <c r="B1541" s="129">
        <v>2333</v>
      </c>
      <c r="C1541" s="129">
        <v>0</v>
      </c>
      <c r="D1541" s="129">
        <v>289</v>
      </c>
      <c r="E1541" s="129" t="b">
        <v>1</v>
      </c>
      <c r="F1541" s="129" t="b">
        <v>0</v>
      </c>
      <c r="G1541" s="129" t="s">
        <v>3160</v>
      </c>
      <c r="H1541" s="129" t="s">
        <v>2902</v>
      </c>
      <c r="I1541" s="129" t="s">
        <v>2748</v>
      </c>
      <c r="J1541" s="129"/>
      <c r="K1541" s="129"/>
      <c r="L1541" s="129" t="s">
        <v>2994</v>
      </c>
      <c r="M1541" s="129" t="s">
        <v>2905</v>
      </c>
      <c r="N1541" s="129"/>
      <c r="O1541" s="129" t="s">
        <v>2748</v>
      </c>
      <c r="Q1541" s="129" t="b">
        <v>0</v>
      </c>
    </row>
    <row r="1542" spans="1:17" s="5" customFormat="1" ht="15" hidden="1" customHeight="1">
      <c r="A1542" s="129">
        <v>9342</v>
      </c>
      <c r="B1542" s="129">
        <v>2334</v>
      </c>
      <c r="C1542" s="129">
        <v>0</v>
      </c>
      <c r="D1542" s="129">
        <v>290</v>
      </c>
      <c r="E1542" s="129" t="b">
        <v>1</v>
      </c>
      <c r="F1542" s="129" t="b">
        <v>0</v>
      </c>
      <c r="G1542" s="129" t="s">
        <v>3160</v>
      </c>
      <c r="H1542" s="129" t="s">
        <v>2902</v>
      </c>
      <c r="I1542" s="129" t="s">
        <v>2907</v>
      </c>
      <c r="J1542" s="129"/>
      <c r="K1542" s="129"/>
      <c r="L1542" s="129" t="s">
        <v>2994</v>
      </c>
      <c r="M1542" s="129" t="s">
        <v>2908</v>
      </c>
      <c r="N1542" s="129"/>
      <c r="O1542" s="129" t="s">
        <v>3021</v>
      </c>
      <c r="Q1542" s="129" t="b">
        <v>0</v>
      </c>
    </row>
    <row r="1543" spans="1:17" s="5" customFormat="1" ht="15" hidden="1" customHeight="1">
      <c r="A1543" s="129">
        <v>9354</v>
      </c>
      <c r="B1543" s="129">
        <v>2335</v>
      </c>
      <c r="C1543" s="129">
        <v>0</v>
      </c>
      <c r="D1543" s="129">
        <v>164</v>
      </c>
      <c r="E1543" s="129" t="b">
        <v>1</v>
      </c>
      <c r="F1543" s="129" t="b">
        <v>0</v>
      </c>
      <c r="G1543" s="129" t="s">
        <v>3160</v>
      </c>
      <c r="H1543" s="129" t="s">
        <v>2910</v>
      </c>
      <c r="I1543" s="129" t="s">
        <v>101</v>
      </c>
      <c r="J1543" s="129"/>
      <c r="K1543" s="129"/>
      <c r="L1543" s="129" t="s">
        <v>2994</v>
      </c>
      <c r="M1543" s="129" t="s">
        <v>2911</v>
      </c>
      <c r="N1543" s="129"/>
      <c r="O1543" s="129" t="s">
        <v>3022</v>
      </c>
      <c r="Q1543" s="129" t="b">
        <v>0</v>
      </c>
    </row>
    <row r="1544" spans="1:17" s="5" customFormat="1" ht="15" hidden="1" customHeight="1">
      <c r="A1544" s="129">
        <v>9351</v>
      </c>
      <c r="B1544" s="129">
        <v>2336</v>
      </c>
      <c r="C1544" s="129">
        <v>0</v>
      </c>
      <c r="D1544" s="129">
        <v>275</v>
      </c>
      <c r="E1544" s="129" t="b">
        <v>1</v>
      </c>
      <c r="F1544" s="129" t="b">
        <v>0</v>
      </c>
      <c r="G1544" s="129" t="s">
        <v>3160</v>
      </c>
      <c r="H1544" s="129" t="s">
        <v>2910</v>
      </c>
      <c r="I1544" s="5" t="s">
        <v>3000</v>
      </c>
      <c r="J1544" s="129"/>
      <c r="K1544" s="129"/>
      <c r="L1544" s="129" t="s">
        <v>2994</v>
      </c>
      <c r="M1544" s="129" t="s">
        <v>2830</v>
      </c>
      <c r="N1544" s="129"/>
      <c r="O1544" s="129" t="s">
        <v>3000</v>
      </c>
      <c r="Q1544" s="129" t="b">
        <v>0</v>
      </c>
    </row>
    <row r="1545" spans="1:17" s="5" customFormat="1" ht="15" hidden="1" customHeight="1">
      <c r="A1545" s="129">
        <v>9352</v>
      </c>
      <c r="B1545" s="129">
        <v>2337</v>
      </c>
      <c r="C1545" s="129">
        <v>0</v>
      </c>
      <c r="D1545" s="129">
        <v>277</v>
      </c>
      <c r="E1545" s="129" t="b">
        <v>1</v>
      </c>
      <c r="F1545" s="129" t="b">
        <v>0</v>
      </c>
      <c r="G1545" s="129" t="s">
        <v>3160</v>
      </c>
      <c r="H1545" s="129" t="s">
        <v>2910</v>
      </c>
      <c r="I1545" s="129" t="s">
        <v>2835</v>
      </c>
      <c r="J1545" s="129"/>
      <c r="K1545" s="129"/>
      <c r="L1545" s="129" t="s">
        <v>2994</v>
      </c>
      <c r="M1545" s="129" t="s">
        <v>2836</v>
      </c>
      <c r="N1545" s="129"/>
      <c r="O1545" s="129" t="s">
        <v>3002</v>
      </c>
      <c r="Q1545" s="129" t="b">
        <v>0</v>
      </c>
    </row>
    <row r="1546" spans="1:17" s="5" customFormat="1" ht="15" hidden="1" customHeight="1">
      <c r="A1546" s="129">
        <v>9353</v>
      </c>
      <c r="B1546" s="129">
        <v>2338</v>
      </c>
      <c r="C1546" s="129">
        <v>0</v>
      </c>
      <c r="D1546" s="129">
        <v>291</v>
      </c>
      <c r="E1546" s="129" t="b">
        <v>1</v>
      </c>
      <c r="F1546" s="129" t="b">
        <v>0</v>
      </c>
      <c r="G1546" s="129" t="s">
        <v>3160</v>
      </c>
      <c r="H1546" s="129" t="s">
        <v>2910</v>
      </c>
      <c r="I1546" s="129" t="s">
        <v>110</v>
      </c>
      <c r="J1546" s="129"/>
      <c r="K1546" s="129"/>
      <c r="L1546" s="129" t="s">
        <v>2994</v>
      </c>
      <c r="M1546" s="129" t="s">
        <v>2913</v>
      </c>
      <c r="N1546" s="129"/>
      <c r="O1546" s="129" t="s">
        <v>3023</v>
      </c>
      <c r="Q1546" s="129" t="b">
        <v>0</v>
      </c>
    </row>
    <row r="1547" spans="1:17" s="5" customFormat="1" ht="15" hidden="1" customHeight="1">
      <c r="A1547" s="129">
        <v>9362</v>
      </c>
      <c r="B1547" s="129">
        <v>2339</v>
      </c>
      <c r="C1547" s="129">
        <v>0</v>
      </c>
      <c r="D1547" s="129">
        <v>164</v>
      </c>
      <c r="E1547" s="129" t="b">
        <v>1</v>
      </c>
      <c r="F1547" s="129" t="b">
        <v>0</v>
      </c>
      <c r="G1547" s="129" t="s">
        <v>3160</v>
      </c>
      <c r="H1547" s="129" t="s">
        <v>2921</v>
      </c>
      <c r="I1547" s="129" t="s">
        <v>114</v>
      </c>
      <c r="J1547" s="129"/>
      <c r="K1547" s="129"/>
      <c r="L1547" s="129" t="s">
        <v>2994</v>
      </c>
      <c r="M1547" s="129" t="s">
        <v>2922</v>
      </c>
      <c r="N1547" s="129"/>
      <c r="O1547" s="129" t="s">
        <v>3024</v>
      </c>
      <c r="Q1547" s="129" t="b">
        <v>0</v>
      </c>
    </row>
    <row r="1548" spans="1:17" s="5" customFormat="1" ht="15" hidden="1" customHeight="1">
      <c r="A1548" s="129">
        <v>9361</v>
      </c>
      <c r="B1548" s="129">
        <v>2340</v>
      </c>
      <c r="C1548" s="129">
        <v>0</v>
      </c>
      <c r="D1548" s="129">
        <v>292</v>
      </c>
      <c r="E1548" s="129" t="b">
        <v>1</v>
      </c>
      <c r="F1548" s="129" t="b">
        <v>0</v>
      </c>
      <c r="G1548" s="129" t="s">
        <v>3160</v>
      </c>
      <c r="H1548" s="129" t="s">
        <v>2921</v>
      </c>
      <c r="I1548" s="129" t="s">
        <v>3025</v>
      </c>
      <c r="J1548" s="129"/>
      <c r="K1548" s="129"/>
      <c r="L1548" s="129" t="s">
        <v>2994</v>
      </c>
      <c r="M1548" s="129" t="s">
        <v>2923</v>
      </c>
      <c r="N1548" s="129"/>
      <c r="O1548" s="129" t="s">
        <v>3026</v>
      </c>
      <c r="Q1548" s="129" t="b">
        <v>0</v>
      </c>
    </row>
    <row r="1549" spans="1:17" s="5" customFormat="1" ht="15" hidden="1" customHeight="1">
      <c r="A1549" s="129">
        <v>9373</v>
      </c>
      <c r="B1549" s="129">
        <v>2341</v>
      </c>
      <c r="C1549" s="129">
        <v>0</v>
      </c>
      <c r="D1549" s="129">
        <v>164</v>
      </c>
      <c r="E1549" s="129" t="b">
        <v>1</v>
      </c>
      <c r="F1549" s="129" t="b">
        <v>0</v>
      </c>
      <c r="G1549" s="129" t="s">
        <v>3160</v>
      </c>
      <c r="H1549" s="129" t="s">
        <v>3056</v>
      </c>
      <c r="I1549" s="129" t="s">
        <v>3057</v>
      </c>
      <c r="J1549" s="129"/>
      <c r="K1549" s="129"/>
      <c r="L1549" s="129" t="s">
        <v>2994</v>
      </c>
      <c r="M1549" s="129" t="s">
        <v>3058</v>
      </c>
      <c r="N1549" s="129"/>
      <c r="O1549" s="129" t="s">
        <v>3167</v>
      </c>
      <c r="Q1549" s="129" t="b">
        <v>0</v>
      </c>
    </row>
    <row r="1550" spans="1:17" s="5" customFormat="1" ht="15" hidden="1" customHeight="1">
      <c r="A1550" s="129">
        <v>9371</v>
      </c>
      <c r="B1550" s="129">
        <v>2342</v>
      </c>
      <c r="C1550" s="129">
        <v>0</v>
      </c>
      <c r="D1550" s="129">
        <v>307</v>
      </c>
      <c r="E1550" s="129" t="b">
        <v>1</v>
      </c>
      <c r="F1550" s="129" t="b">
        <v>0</v>
      </c>
      <c r="G1550" s="129" t="s">
        <v>3160</v>
      </c>
      <c r="H1550" s="129" t="s">
        <v>3056</v>
      </c>
      <c r="I1550" s="129" t="s">
        <v>2959</v>
      </c>
      <c r="J1550" s="129"/>
      <c r="K1550" s="129"/>
      <c r="L1550" s="129" t="s">
        <v>2994</v>
      </c>
      <c r="M1550" s="129" t="s">
        <v>3063</v>
      </c>
      <c r="N1550" s="129"/>
      <c r="O1550" s="129" t="s">
        <v>3168</v>
      </c>
      <c r="Q1550" s="129" t="b">
        <v>0</v>
      </c>
    </row>
    <row r="1551" spans="1:17" s="5" customFormat="1" ht="15" hidden="1" customHeight="1">
      <c r="A1551" s="129">
        <v>9372</v>
      </c>
      <c r="B1551" s="129">
        <v>2343</v>
      </c>
      <c r="C1551" s="129">
        <v>0</v>
      </c>
      <c r="D1551" s="129">
        <v>252</v>
      </c>
      <c r="E1551" s="129" t="b">
        <v>1</v>
      </c>
      <c r="F1551" s="129" t="b">
        <v>0</v>
      </c>
      <c r="G1551" s="129" t="s">
        <v>3160</v>
      </c>
      <c r="H1551" s="129" t="s">
        <v>3056</v>
      </c>
      <c r="I1551" s="129" t="s">
        <v>3169</v>
      </c>
      <c r="J1551" s="129"/>
      <c r="K1551" s="129"/>
      <c r="L1551" s="129" t="s">
        <v>2994</v>
      </c>
      <c r="M1551" s="129" t="s">
        <v>3066</v>
      </c>
      <c r="N1551" s="129"/>
      <c r="O1551" s="129" t="s">
        <v>3170</v>
      </c>
      <c r="Q1551" s="129" t="b">
        <v>0</v>
      </c>
    </row>
    <row r="1552" spans="1:17" s="5" customFormat="1" ht="15" hidden="1" customHeight="1">
      <c r="A1552" s="129">
        <v>9400</v>
      </c>
      <c r="B1552" s="129">
        <v>2344</v>
      </c>
      <c r="C1552" s="129">
        <v>0</v>
      </c>
      <c r="D1552" s="129">
        <v>109</v>
      </c>
      <c r="E1552" s="129" t="b">
        <v>1</v>
      </c>
      <c r="F1552" s="129" t="b">
        <v>0</v>
      </c>
      <c r="G1552" s="129" t="s">
        <v>3160</v>
      </c>
      <c r="H1552" s="129" t="s">
        <v>2926</v>
      </c>
      <c r="I1552" s="129" t="s">
        <v>2927</v>
      </c>
      <c r="J1552" s="129">
        <v>52</v>
      </c>
      <c r="K1552" s="129"/>
      <c r="L1552" s="129" t="s">
        <v>2994</v>
      </c>
      <c r="M1552" s="129" t="s">
        <v>3068</v>
      </c>
      <c r="N1552" s="129"/>
      <c r="O1552" s="129" t="s">
        <v>3171</v>
      </c>
      <c r="Q1552" s="129" t="b">
        <v>0</v>
      </c>
    </row>
    <row r="1553" spans="1:17" s="5" customFormat="1" ht="15" hidden="1" customHeight="1">
      <c r="A1553" s="129">
        <v>9404</v>
      </c>
      <c r="B1553" s="129">
        <v>2345</v>
      </c>
      <c r="C1553" s="129">
        <v>0</v>
      </c>
      <c r="D1553" s="129">
        <v>164</v>
      </c>
      <c r="E1553" s="129" t="b">
        <v>1</v>
      </c>
      <c r="F1553" s="129" t="b">
        <v>0</v>
      </c>
      <c r="G1553" s="129" t="s">
        <v>3160</v>
      </c>
      <c r="H1553" s="129" t="s">
        <v>2930</v>
      </c>
      <c r="I1553" s="129" t="s">
        <v>49</v>
      </c>
      <c r="J1553" s="129"/>
      <c r="K1553" s="129"/>
      <c r="L1553" s="129" t="s">
        <v>2994</v>
      </c>
      <c r="M1553" s="129" t="s">
        <v>2849</v>
      </c>
      <c r="N1553" s="129"/>
      <c r="O1553" s="129" t="s">
        <v>3003</v>
      </c>
      <c r="Q1553" s="129" t="b">
        <v>0</v>
      </c>
    </row>
    <row r="1554" spans="1:17" s="5" customFormat="1" ht="15" hidden="1" customHeight="1">
      <c r="A1554" s="129">
        <v>9401</v>
      </c>
      <c r="B1554" s="129">
        <v>2346</v>
      </c>
      <c r="C1554" s="129">
        <v>0</v>
      </c>
      <c r="D1554" s="129">
        <v>278</v>
      </c>
      <c r="E1554" s="129" t="b">
        <v>1</v>
      </c>
      <c r="F1554" s="129" t="b">
        <v>0</v>
      </c>
      <c r="G1554" s="129" t="s">
        <v>3160</v>
      </c>
      <c r="H1554" s="129" t="s">
        <v>2930</v>
      </c>
      <c r="I1554" s="129" t="s">
        <v>2851</v>
      </c>
      <c r="J1554" s="129"/>
      <c r="K1554" s="129"/>
      <c r="L1554" s="129" t="s">
        <v>2994</v>
      </c>
      <c r="M1554" s="129" t="s">
        <v>2852</v>
      </c>
      <c r="N1554" s="129"/>
      <c r="O1554" s="129" t="s">
        <v>3004</v>
      </c>
      <c r="Q1554" s="129" t="b">
        <v>0</v>
      </c>
    </row>
    <row r="1555" spans="1:17" s="5" customFormat="1" ht="15" hidden="1" customHeight="1">
      <c r="A1555" s="129">
        <v>9402</v>
      </c>
      <c r="B1555" s="129">
        <v>2347</v>
      </c>
      <c r="C1555" s="129">
        <v>0</v>
      </c>
      <c r="D1555" s="129">
        <v>279</v>
      </c>
      <c r="E1555" s="129" t="b">
        <v>1</v>
      </c>
      <c r="F1555" s="129" t="b">
        <v>0</v>
      </c>
      <c r="G1555" s="129" t="s">
        <v>3160</v>
      </c>
      <c r="H1555" s="129" t="s">
        <v>2930</v>
      </c>
      <c r="I1555" s="129" t="s">
        <v>2854</v>
      </c>
      <c r="J1555" s="129"/>
      <c r="K1555" s="129"/>
      <c r="L1555" s="129" t="s">
        <v>2994</v>
      </c>
      <c r="M1555" s="129" t="s">
        <v>2855</v>
      </c>
      <c r="N1555" s="129"/>
      <c r="O1555" s="129" t="s">
        <v>3005</v>
      </c>
      <c r="Q1555" s="129" t="b">
        <v>0</v>
      </c>
    </row>
    <row r="1556" spans="1:17" s="5" customFormat="1" ht="15" hidden="1" customHeight="1">
      <c r="A1556" s="129">
        <v>9403</v>
      </c>
      <c r="B1556" s="129">
        <v>2348</v>
      </c>
      <c r="C1556" s="129">
        <v>0</v>
      </c>
      <c r="D1556" s="129">
        <v>280</v>
      </c>
      <c r="E1556" s="129" t="b">
        <v>1</v>
      </c>
      <c r="F1556" s="129" t="b">
        <v>0</v>
      </c>
      <c r="G1556" s="129" t="s">
        <v>3160</v>
      </c>
      <c r="H1556" s="129" t="s">
        <v>2930</v>
      </c>
      <c r="I1556" s="129" t="s">
        <v>2857</v>
      </c>
      <c r="J1556" s="129"/>
      <c r="K1556" s="129"/>
      <c r="L1556" s="129" t="s">
        <v>2994</v>
      </c>
      <c r="M1556" s="129" t="s">
        <v>2858</v>
      </c>
      <c r="N1556" s="129"/>
      <c r="O1556" s="129" t="s">
        <v>3006</v>
      </c>
      <c r="Q1556" s="129" t="b">
        <v>0</v>
      </c>
    </row>
    <row r="1557" spans="1:17" s="5" customFormat="1" ht="15" hidden="1" customHeight="1">
      <c r="A1557" s="129">
        <v>9412</v>
      </c>
      <c r="B1557" s="129">
        <v>2349</v>
      </c>
      <c r="C1557" s="129">
        <v>0</v>
      </c>
      <c r="D1557" s="129">
        <v>176</v>
      </c>
      <c r="E1557" s="129" t="b">
        <v>1</v>
      </c>
      <c r="F1557" s="129" t="b">
        <v>0</v>
      </c>
      <c r="G1557" s="129" t="s">
        <v>3160</v>
      </c>
      <c r="H1557" s="129" t="s">
        <v>2931</v>
      </c>
      <c r="I1557" s="129" t="s">
        <v>68</v>
      </c>
      <c r="J1557" s="129"/>
      <c r="K1557" s="129"/>
      <c r="L1557" s="129" t="s">
        <v>2994</v>
      </c>
      <c r="M1557" s="129" t="s">
        <v>2868</v>
      </c>
      <c r="N1557" s="129"/>
      <c r="O1557" s="129" t="s">
        <v>3010</v>
      </c>
      <c r="Q1557" s="129" t="b">
        <v>0</v>
      </c>
    </row>
    <row r="1558" spans="1:17" s="5" customFormat="1" ht="15" hidden="1" customHeight="1">
      <c r="A1558" s="129">
        <v>9411</v>
      </c>
      <c r="B1558" s="129">
        <v>2350</v>
      </c>
      <c r="C1558" s="129">
        <v>0</v>
      </c>
      <c r="D1558" s="129">
        <v>283</v>
      </c>
      <c r="E1558" s="129" t="b">
        <v>1</v>
      </c>
      <c r="F1558" s="129" t="b">
        <v>0</v>
      </c>
      <c r="G1558" s="129" t="s">
        <v>3160</v>
      </c>
      <c r="H1558" s="129" t="s">
        <v>2931</v>
      </c>
      <c r="I1558" s="129" t="s">
        <v>2870</v>
      </c>
      <c r="J1558" s="129"/>
      <c r="K1558" s="129"/>
      <c r="L1558" s="129" t="s">
        <v>2994</v>
      </c>
      <c r="M1558" s="129" t="s">
        <v>75</v>
      </c>
      <c r="N1558" s="129"/>
      <c r="O1558" s="129" t="s">
        <v>3011</v>
      </c>
      <c r="Q1558" s="129" t="b">
        <v>0</v>
      </c>
    </row>
    <row r="1559" spans="1:17" s="5" customFormat="1" ht="15" hidden="1" customHeight="1">
      <c r="A1559" s="129">
        <v>9423</v>
      </c>
      <c r="B1559" s="129">
        <v>2351</v>
      </c>
      <c r="C1559" s="129">
        <v>0</v>
      </c>
      <c r="D1559" s="129">
        <v>164</v>
      </c>
      <c r="E1559" s="129" t="b">
        <v>1</v>
      </c>
      <c r="F1559" s="129" t="b">
        <v>0</v>
      </c>
      <c r="G1559" s="129" t="s">
        <v>3160</v>
      </c>
      <c r="H1559" s="129" t="s">
        <v>2932</v>
      </c>
      <c r="I1559" s="129" t="s">
        <v>2873</v>
      </c>
      <c r="J1559" s="129"/>
      <c r="K1559" s="129"/>
      <c r="L1559" s="129" t="s">
        <v>2994</v>
      </c>
      <c r="M1559" s="129" t="s">
        <v>2874</v>
      </c>
      <c r="N1559" s="129"/>
      <c r="O1559" s="129" t="s">
        <v>3012</v>
      </c>
      <c r="Q1559" s="129" t="b">
        <v>0</v>
      </c>
    </row>
    <row r="1560" spans="1:17" s="5" customFormat="1" ht="15" hidden="1" customHeight="1">
      <c r="A1560" s="129">
        <v>9421</v>
      </c>
      <c r="B1560" s="129">
        <v>2352</v>
      </c>
      <c r="C1560" s="129">
        <v>0</v>
      </c>
      <c r="D1560" s="129">
        <v>284</v>
      </c>
      <c r="E1560" s="129" t="b">
        <v>1</v>
      </c>
      <c r="F1560" s="129" t="b">
        <v>0</v>
      </c>
      <c r="G1560" s="129" t="s">
        <v>3160</v>
      </c>
      <c r="H1560" s="129" t="s">
        <v>2932</v>
      </c>
      <c r="I1560" s="129" t="s">
        <v>2876</v>
      </c>
      <c r="J1560" s="129"/>
      <c r="K1560" s="129"/>
      <c r="L1560" s="129" t="s">
        <v>2994</v>
      </c>
      <c r="M1560" s="129" t="s">
        <v>2877</v>
      </c>
      <c r="N1560" s="129"/>
      <c r="O1560" s="129" t="s">
        <v>3013</v>
      </c>
      <c r="Q1560" s="129" t="b">
        <v>0</v>
      </c>
    </row>
    <row r="1561" spans="1:17" s="5" customFormat="1" ht="15" hidden="1" customHeight="1">
      <c r="A1561" s="129">
        <v>9422</v>
      </c>
      <c r="B1561" s="129">
        <v>2353</v>
      </c>
      <c r="C1561" s="129">
        <v>0</v>
      </c>
      <c r="D1561" s="129">
        <v>285</v>
      </c>
      <c r="E1561" s="129" t="b">
        <v>1</v>
      </c>
      <c r="F1561" s="129" t="b">
        <v>0</v>
      </c>
      <c r="G1561" s="129" t="s">
        <v>3160</v>
      </c>
      <c r="H1561" s="129" t="s">
        <v>2932</v>
      </c>
      <c r="I1561" s="129" t="s">
        <v>3014</v>
      </c>
      <c r="J1561" s="129"/>
      <c r="K1561" s="129"/>
      <c r="L1561" s="129" t="s">
        <v>2994</v>
      </c>
      <c r="M1561" s="129" t="s">
        <v>2880</v>
      </c>
      <c r="N1561" s="129"/>
      <c r="O1561" s="129" t="s">
        <v>3015</v>
      </c>
      <c r="Q1561" s="129" t="b">
        <v>0</v>
      </c>
    </row>
    <row r="1562" spans="1:17" s="5" customFormat="1" ht="15" hidden="1" customHeight="1">
      <c r="A1562" s="129">
        <v>9433</v>
      </c>
      <c r="B1562" s="129">
        <v>2354</v>
      </c>
      <c r="C1562" s="129">
        <v>0</v>
      </c>
      <c r="D1562" s="129">
        <v>164</v>
      </c>
      <c r="E1562" s="129" t="b">
        <v>1</v>
      </c>
      <c r="F1562" s="129" t="b">
        <v>0</v>
      </c>
      <c r="G1562" s="129" t="s">
        <v>3160</v>
      </c>
      <c r="H1562" s="129" t="s">
        <v>2933</v>
      </c>
      <c r="I1562" s="129" t="s">
        <v>160</v>
      </c>
      <c r="J1562" s="129"/>
      <c r="K1562" s="129"/>
      <c r="L1562" s="129" t="s">
        <v>2994</v>
      </c>
      <c r="M1562" s="129" t="s">
        <v>2903</v>
      </c>
      <c r="N1562" s="129"/>
      <c r="O1562" s="129" t="s">
        <v>3020</v>
      </c>
      <c r="Q1562" s="129" t="b">
        <v>0</v>
      </c>
    </row>
    <row r="1563" spans="1:17" s="5" customFormat="1" ht="15" hidden="1" customHeight="1">
      <c r="A1563" s="129">
        <v>9431</v>
      </c>
      <c r="B1563" s="129">
        <v>2355</v>
      </c>
      <c r="C1563" s="129">
        <v>0</v>
      </c>
      <c r="D1563" s="129">
        <v>289</v>
      </c>
      <c r="E1563" s="129" t="b">
        <v>1</v>
      </c>
      <c r="F1563" s="129" t="b">
        <v>0</v>
      </c>
      <c r="G1563" s="129" t="s">
        <v>3160</v>
      </c>
      <c r="H1563" s="129" t="s">
        <v>2933</v>
      </c>
      <c r="I1563" s="129" t="s">
        <v>2748</v>
      </c>
      <c r="J1563" s="129"/>
      <c r="K1563" s="129"/>
      <c r="L1563" s="129" t="s">
        <v>2994</v>
      </c>
      <c r="M1563" s="129" t="s">
        <v>2905</v>
      </c>
      <c r="N1563" s="129"/>
      <c r="O1563" s="129" t="s">
        <v>2748</v>
      </c>
      <c r="Q1563" s="129" t="b">
        <v>0</v>
      </c>
    </row>
    <row r="1564" spans="1:17" s="5" customFormat="1" ht="15" hidden="1" customHeight="1">
      <c r="A1564" s="129">
        <v>9432</v>
      </c>
      <c r="B1564" s="129">
        <v>2356</v>
      </c>
      <c r="C1564" s="129">
        <v>0</v>
      </c>
      <c r="D1564" s="129">
        <v>290</v>
      </c>
      <c r="E1564" s="129" t="b">
        <v>1</v>
      </c>
      <c r="F1564" s="129" t="b">
        <v>0</v>
      </c>
      <c r="G1564" s="129" t="s">
        <v>3160</v>
      </c>
      <c r="H1564" s="129" t="s">
        <v>2933</v>
      </c>
      <c r="I1564" s="129" t="s">
        <v>2907</v>
      </c>
      <c r="J1564" s="129"/>
      <c r="K1564" s="129"/>
      <c r="L1564" s="129" t="s">
        <v>2994</v>
      </c>
      <c r="M1564" s="129" t="s">
        <v>2908</v>
      </c>
      <c r="N1564" s="129"/>
      <c r="O1564" s="129" t="s">
        <v>3021</v>
      </c>
      <c r="Q1564" s="129" t="b">
        <v>0</v>
      </c>
    </row>
    <row r="1565" spans="1:17" s="5" customFormat="1" ht="15" hidden="1" customHeight="1">
      <c r="A1565" s="129">
        <v>9444</v>
      </c>
      <c r="B1565" s="129">
        <v>2357</v>
      </c>
      <c r="C1565" s="129">
        <v>0</v>
      </c>
      <c r="D1565" s="129">
        <v>164</v>
      </c>
      <c r="E1565" s="129" t="b">
        <v>1</v>
      </c>
      <c r="F1565" s="129" t="b">
        <v>0</v>
      </c>
      <c r="G1565" s="129" t="s">
        <v>3160</v>
      </c>
      <c r="H1565" s="129" t="s">
        <v>2934</v>
      </c>
      <c r="I1565" s="129" t="s">
        <v>101</v>
      </c>
      <c r="J1565" s="129"/>
      <c r="K1565" s="129"/>
      <c r="L1565" s="129" t="s">
        <v>2994</v>
      </c>
      <c r="M1565" s="129" t="s">
        <v>2911</v>
      </c>
      <c r="N1565" s="129"/>
      <c r="O1565" s="129" t="s">
        <v>3022</v>
      </c>
      <c r="Q1565" s="129" t="b">
        <v>0</v>
      </c>
    </row>
    <row r="1566" spans="1:17" s="5" customFormat="1" ht="15" hidden="1" customHeight="1">
      <c r="A1566" s="129">
        <v>9441</v>
      </c>
      <c r="B1566" s="129">
        <v>2358</v>
      </c>
      <c r="C1566" s="129">
        <v>0</v>
      </c>
      <c r="D1566" s="129">
        <v>275</v>
      </c>
      <c r="E1566" s="129" t="b">
        <v>1</v>
      </c>
      <c r="F1566" s="129" t="b">
        <v>0</v>
      </c>
      <c r="G1566" s="129" t="s">
        <v>3160</v>
      </c>
      <c r="H1566" s="129" t="s">
        <v>2934</v>
      </c>
      <c r="I1566" s="5" t="s">
        <v>3000</v>
      </c>
      <c r="J1566" s="129"/>
      <c r="K1566" s="129"/>
      <c r="L1566" s="129" t="s">
        <v>2994</v>
      </c>
      <c r="M1566" s="129" t="s">
        <v>2830</v>
      </c>
      <c r="N1566" s="129"/>
      <c r="O1566" s="129" t="s">
        <v>3000</v>
      </c>
      <c r="Q1566" s="129" t="b">
        <v>0</v>
      </c>
    </row>
    <row r="1567" spans="1:17" s="5" customFormat="1" ht="15" hidden="1" customHeight="1">
      <c r="A1567" s="129">
        <v>9442</v>
      </c>
      <c r="B1567" s="129">
        <v>2359</v>
      </c>
      <c r="C1567" s="129">
        <v>0</v>
      </c>
      <c r="D1567" s="129">
        <v>277</v>
      </c>
      <c r="E1567" s="129" t="b">
        <v>1</v>
      </c>
      <c r="F1567" s="129" t="b">
        <v>0</v>
      </c>
      <c r="G1567" s="129" t="s">
        <v>3160</v>
      </c>
      <c r="H1567" s="129" t="s">
        <v>2934</v>
      </c>
      <c r="I1567" s="129" t="s">
        <v>2835</v>
      </c>
      <c r="J1567" s="129"/>
      <c r="K1567" s="129"/>
      <c r="L1567" s="129" t="s">
        <v>2994</v>
      </c>
      <c r="M1567" s="129" t="s">
        <v>2836</v>
      </c>
      <c r="N1567" s="129"/>
      <c r="O1567" s="129" t="s">
        <v>3002</v>
      </c>
      <c r="Q1567" s="129" t="b">
        <v>0</v>
      </c>
    </row>
    <row r="1568" spans="1:17" s="5" customFormat="1" ht="15" hidden="1" customHeight="1">
      <c r="A1568" s="129">
        <v>9443</v>
      </c>
      <c r="B1568" s="129">
        <v>2360</v>
      </c>
      <c r="C1568" s="129">
        <v>0</v>
      </c>
      <c r="D1568" s="129">
        <v>291</v>
      </c>
      <c r="E1568" s="129" t="b">
        <v>1</v>
      </c>
      <c r="F1568" s="129" t="b">
        <v>0</v>
      </c>
      <c r="G1568" s="129" t="s">
        <v>3160</v>
      </c>
      <c r="H1568" s="129" t="s">
        <v>2934</v>
      </c>
      <c r="I1568" s="129" t="s">
        <v>110</v>
      </c>
      <c r="J1568" s="129"/>
      <c r="K1568" s="129"/>
      <c r="L1568" s="129" t="s">
        <v>2994</v>
      </c>
      <c r="M1568" s="129" t="s">
        <v>2913</v>
      </c>
      <c r="N1568" s="129"/>
      <c r="O1568" s="129" t="s">
        <v>3023</v>
      </c>
      <c r="Q1568" s="129" t="b">
        <v>0</v>
      </c>
    </row>
    <row r="1569" spans="1:17" s="5" customFormat="1" ht="15" hidden="1" customHeight="1">
      <c r="A1569" s="129">
        <v>9453</v>
      </c>
      <c r="B1569" s="129">
        <v>2361</v>
      </c>
      <c r="C1569" s="129">
        <v>0</v>
      </c>
      <c r="D1569" s="129">
        <v>164</v>
      </c>
      <c r="E1569" s="129" t="b">
        <v>1</v>
      </c>
      <c r="F1569" s="129" t="b">
        <v>0</v>
      </c>
      <c r="G1569" s="129" t="s">
        <v>3160</v>
      </c>
      <c r="H1569" s="129" t="s">
        <v>3070</v>
      </c>
      <c r="I1569" s="129" t="s">
        <v>3172</v>
      </c>
      <c r="J1569" s="129"/>
      <c r="K1569" s="129"/>
      <c r="L1569" s="129" t="s">
        <v>2994</v>
      </c>
      <c r="M1569" s="129" t="s">
        <v>3072</v>
      </c>
      <c r="N1569" s="129"/>
      <c r="O1569" s="129" t="s">
        <v>3173</v>
      </c>
      <c r="Q1569" s="129" t="b">
        <v>0</v>
      </c>
    </row>
    <row r="1570" spans="1:17" s="5" customFormat="1" ht="15" hidden="1" customHeight="1">
      <c r="A1570" s="129">
        <v>9451</v>
      </c>
      <c r="B1570" s="129">
        <v>2362</v>
      </c>
      <c r="C1570" s="129">
        <v>0</v>
      </c>
      <c r="D1570" s="129">
        <v>253</v>
      </c>
      <c r="E1570" s="129" t="b">
        <v>1</v>
      </c>
      <c r="F1570" s="129" t="b">
        <v>0</v>
      </c>
      <c r="G1570" s="129" t="s">
        <v>3160</v>
      </c>
      <c r="H1570" s="129" t="s">
        <v>3070</v>
      </c>
      <c r="I1570" s="129" t="s">
        <v>3174</v>
      </c>
      <c r="J1570" s="129"/>
      <c r="K1570" s="129"/>
      <c r="L1570" s="129" t="s">
        <v>2994</v>
      </c>
      <c r="M1570" s="129" t="s">
        <v>3175</v>
      </c>
      <c r="N1570" s="129"/>
      <c r="O1570" s="129" t="s">
        <v>3176</v>
      </c>
      <c r="Q1570" s="129" t="b">
        <v>0</v>
      </c>
    </row>
    <row r="1571" spans="1:17" s="5" customFormat="1" ht="15" hidden="1" customHeight="1">
      <c r="A1571" s="129">
        <v>9452</v>
      </c>
      <c r="B1571" s="129">
        <v>2363</v>
      </c>
      <c r="C1571" s="129">
        <v>0</v>
      </c>
      <c r="D1571" s="129">
        <v>254</v>
      </c>
      <c r="E1571" s="129" t="b">
        <v>1</v>
      </c>
      <c r="F1571" s="129" t="b">
        <v>0</v>
      </c>
      <c r="G1571" s="129" t="s">
        <v>3160</v>
      </c>
      <c r="H1571" s="129" t="s">
        <v>3070</v>
      </c>
      <c r="I1571" s="129" t="s">
        <v>3177</v>
      </c>
      <c r="J1571" s="129"/>
      <c r="K1571" s="129"/>
      <c r="L1571" s="129" t="s">
        <v>2994</v>
      </c>
      <c r="M1571" s="129" t="s">
        <v>3178</v>
      </c>
      <c r="N1571" s="129"/>
      <c r="O1571" s="129" t="s">
        <v>3179</v>
      </c>
      <c r="Q1571" s="129" t="b">
        <v>0</v>
      </c>
    </row>
    <row r="1572" spans="1:17" s="5" customFormat="1" ht="15" hidden="1" customHeight="1">
      <c r="A1572" s="129">
        <v>9462</v>
      </c>
      <c r="B1572" s="129">
        <v>2364</v>
      </c>
      <c r="C1572" s="129">
        <v>0</v>
      </c>
      <c r="D1572" s="129">
        <v>164</v>
      </c>
      <c r="E1572" s="129" t="b">
        <v>1</v>
      </c>
      <c r="F1572" s="129" t="b">
        <v>0</v>
      </c>
      <c r="G1572" s="129" t="s">
        <v>3160</v>
      </c>
      <c r="H1572" s="129" t="s">
        <v>3084</v>
      </c>
      <c r="I1572" s="129" t="s">
        <v>3085</v>
      </c>
      <c r="J1572" s="129"/>
      <c r="K1572" s="129"/>
      <c r="L1572" s="129" t="s">
        <v>2994</v>
      </c>
      <c r="M1572" s="129" t="s">
        <v>3086</v>
      </c>
      <c r="N1572" s="129"/>
      <c r="O1572" s="129" t="s">
        <v>3180</v>
      </c>
      <c r="Q1572" s="129" t="b">
        <v>0</v>
      </c>
    </row>
    <row r="1573" spans="1:17" s="5" customFormat="1" ht="15" hidden="1" customHeight="1">
      <c r="A1573" s="129">
        <v>9461</v>
      </c>
      <c r="B1573" s="129">
        <v>2365</v>
      </c>
      <c r="C1573" s="129">
        <v>0</v>
      </c>
      <c r="D1573" s="129">
        <v>255</v>
      </c>
      <c r="E1573" s="129" t="b">
        <v>1</v>
      </c>
      <c r="F1573" s="129" t="b">
        <v>0</v>
      </c>
      <c r="G1573" s="129" t="s">
        <v>3160</v>
      </c>
      <c r="H1573" s="129" t="s">
        <v>3084</v>
      </c>
      <c r="I1573" s="129" t="s">
        <v>3181</v>
      </c>
      <c r="J1573" s="129"/>
      <c r="K1573" s="129"/>
      <c r="L1573" s="129" t="s">
        <v>2994</v>
      </c>
      <c r="M1573" s="129" t="s">
        <v>3182</v>
      </c>
      <c r="N1573" s="129"/>
      <c r="O1573" s="129" t="s">
        <v>3183</v>
      </c>
      <c r="Q1573" s="129" t="b">
        <v>0</v>
      </c>
    </row>
    <row r="1574" spans="1:17" s="5" customFormat="1" ht="15" hidden="1" customHeight="1">
      <c r="A1574" s="129">
        <v>9473</v>
      </c>
      <c r="B1574" s="129">
        <v>2366</v>
      </c>
      <c r="C1574" s="129">
        <v>0</v>
      </c>
      <c r="D1574" s="129">
        <v>164</v>
      </c>
      <c r="E1574" s="129" t="b">
        <v>1</v>
      </c>
      <c r="F1574" s="129" t="b">
        <v>0</v>
      </c>
      <c r="G1574" s="129" t="s">
        <v>3160</v>
      </c>
      <c r="H1574" s="129" t="s">
        <v>2935</v>
      </c>
      <c r="I1574" s="129" t="s">
        <v>2936</v>
      </c>
      <c r="J1574" s="129"/>
      <c r="K1574" s="129"/>
      <c r="L1574" s="129" t="s">
        <v>2994</v>
      </c>
      <c r="M1574" s="129" t="s">
        <v>2937</v>
      </c>
      <c r="N1574" s="129"/>
      <c r="O1574" s="129" t="s">
        <v>3027</v>
      </c>
      <c r="Q1574" s="129" t="b">
        <v>0</v>
      </c>
    </row>
    <row r="1575" spans="1:17" s="5" customFormat="1" ht="15" hidden="1" customHeight="1">
      <c r="A1575" s="129">
        <v>9471</v>
      </c>
      <c r="B1575" s="129">
        <v>2367</v>
      </c>
      <c r="C1575" s="129">
        <v>0</v>
      </c>
      <c r="D1575" s="129">
        <v>239</v>
      </c>
      <c r="E1575" s="129" t="b">
        <v>1</v>
      </c>
      <c r="F1575" s="129" t="b">
        <v>0</v>
      </c>
      <c r="G1575" s="129" t="s">
        <v>3160</v>
      </c>
      <c r="H1575" s="129" t="s">
        <v>2935</v>
      </c>
      <c r="I1575" s="129" t="s">
        <v>3028</v>
      </c>
      <c r="J1575" s="129"/>
      <c r="K1575" s="129"/>
      <c r="L1575" s="129" t="s">
        <v>2994</v>
      </c>
      <c r="M1575" s="129" t="s">
        <v>3029</v>
      </c>
      <c r="N1575" s="129"/>
      <c r="O1575" s="129" t="s">
        <v>3030</v>
      </c>
      <c r="Q1575" s="129" t="b">
        <v>0</v>
      </c>
    </row>
    <row r="1576" spans="1:17" s="5" customFormat="1" ht="15" hidden="1" customHeight="1">
      <c r="A1576" s="129">
        <v>9472</v>
      </c>
      <c r="B1576" s="129">
        <v>2368</v>
      </c>
      <c r="C1576" s="129">
        <v>0</v>
      </c>
      <c r="D1576" s="129">
        <v>240</v>
      </c>
      <c r="E1576" s="129" t="b">
        <v>1</v>
      </c>
      <c r="F1576" s="129" t="b">
        <v>0</v>
      </c>
      <c r="G1576" s="129" t="s">
        <v>3160</v>
      </c>
      <c r="H1576" s="129" t="s">
        <v>2935</v>
      </c>
      <c r="I1576" s="129" t="s">
        <v>3031</v>
      </c>
      <c r="J1576" s="129"/>
      <c r="K1576" s="129"/>
      <c r="L1576" s="129" t="s">
        <v>2994</v>
      </c>
      <c r="M1576" s="129" t="s">
        <v>3032</v>
      </c>
      <c r="N1576" s="129"/>
      <c r="O1576" s="129" t="s">
        <v>3033</v>
      </c>
      <c r="Q1576" s="129" t="b">
        <v>0</v>
      </c>
    </row>
    <row r="1577" spans="1:17" s="76" customFormat="1" ht="15" hidden="1" customHeight="1">
      <c r="A1577" s="129">
        <v>9500</v>
      </c>
      <c r="B1577" s="129">
        <v>2369</v>
      </c>
      <c r="C1577" s="129">
        <v>0</v>
      </c>
      <c r="D1577" s="129">
        <v>109</v>
      </c>
      <c r="E1577" s="129" t="b">
        <v>1</v>
      </c>
      <c r="F1577" s="129" t="b">
        <v>0</v>
      </c>
      <c r="G1577" s="129" t="s">
        <v>3160</v>
      </c>
      <c r="H1577" s="129" t="s">
        <v>2949</v>
      </c>
      <c r="I1577" s="129" t="s">
        <v>2950</v>
      </c>
      <c r="J1577" s="129">
        <v>53</v>
      </c>
      <c r="K1577" s="129"/>
      <c r="L1577" s="129" t="s">
        <v>2994</v>
      </c>
      <c r="M1577" s="129" t="s">
        <v>3101</v>
      </c>
      <c r="N1577" s="129"/>
      <c r="O1577" s="129" t="s">
        <v>3184</v>
      </c>
      <c r="Q1577" s="129" t="b">
        <v>0</v>
      </c>
    </row>
    <row r="1578" spans="1:17" s="5" customFormat="1" ht="15" hidden="1" customHeight="1">
      <c r="A1578" s="129">
        <v>9503</v>
      </c>
      <c r="B1578" s="129">
        <v>2370</v>
      </c>
      <c r="C1578" s="129">
        <v>0</v>
      </c>
      <c r="D1578" s="129">
        <v>164</v>
      </c>
      <c r="E1578" s="129" t="b">
        <v>1</v>
      </c>
      <c r="F1578" s="129" t="b">
        <v>0</v>
      </c>
      <c r="G1578" s="129" t="s">
        <v>3160</v>
      </c>
      <c r="H1578" s="129" t="s">
        <v>2953</v>
      </c>
      <c r="I1578" s="129" t="s">
        <v>2954</v>
      </c>
      <c r="J1578" s="129"/>
      <c r="K1578" s="129"/>
      <c r="L1578" s="129" t="s">
        <v>2994</v>
      </c>
      <c r="M1578" s="129" t="s">
        <v>2955</v>
      </c>
      <c r="N1578" s="129"/>
      <c r="O1578" s="129" t="s">
        <v>3036</v>
      </c>
      <c r="Q1578" s="129" t="b">
        <v>0</v>
      </c>
    </row>
    <row r="1579" spans="1:17" s="5" customFormat="1" ht="15" hidden="1" customHeight="1">
      <c r="A1579" s="129">
        <v>9501</v>
      </c>
      <c r="B1579" s="129">
        <v>2371</v>
      </c>
      <c r="C1579" s="129">
        <v>0</v>
      </c>
      <c r="D1579" s="129">
        <v>294</v>
      </c>
      <c r="E1579" s="129" t="b">
        <v>1</v>
      </c>
      <c r="F1579" s="129" t="b">
        <v>0</v>
      </c>
      <c r="G1579" s="129" t="s">
        <v>3160</v>
      </c>
      <c r="H1579" s="129" t="s">
        <v>2953</v>
      </c>
      <c r="I1579" s="129" t="s">
        <v>2694</v>
      </c>
      <c r="J1579" s="129"/>
      <c r="K1579" s="129"/>
      <c r="L1579" s="129" t="s">
        <v>2994</v>
      </c>
      <c r="M1579" s="129" t="s">
        <v>2957</v>
      </c>
      <c r="N1579" s="129"/>
      <c r="O1579" s="129" t="s">
        <v>3037</v>
      </c>
      <c r="Q1579" s="129" t="b">
        <v>0</v>
      </c>
    </row>
    <row r="1580" spans="1:17" s="5" customFormat="1" ht="15" hidden="1" customHeight="1">
      <c r="A1580" s="129">
        <v>9502</v>
      </c>
      <c r="B1580" s="129">
        <v>2372</v>
      </c>
      <c r="C1580" s="129">
        <v>0</v>
      </c>
      <c r="D1580" s="129">
        <v>296</v>
      </c>
      <c r="E1580" s="129" t="b">
        <v>1</v>
      </c>
      <c r="F1580" s="129" t="b">
        <v>0</v>
      </c>
      <c r="G1580" s="129" t="s">
        <v>3160</v>
      </c>
      <c r="H1580" s="129" t="s">
        <v>2953</v>
      </c>
      <c r="I1580" s="129" t="s">
        <v>2962</v>
      </c>
      <c r="J1580" s="129"/>
      <c r="K1580" s="129"/>
      <c r="L1580" s="129" t="s">
        <v>2994</v>
      </c>
      <c r="M1580" s="129" t="s">
        <v>2963</v>
      </c>
      <c r="N1580" s="129"/>
      <c r="O1580" s="129" t="s">
        <v>3039</v>
      </c>
      <c r="Q1580" s="129" t="b">
        <v>0</v>
      </c>
    </row>
    <row r="1581" spans="1:17" s="5" customFormat="1" ht="15" hidden="1" customHeight="1">
      <c r="A1581" s="129">
        <v>9504</v>
      </c>
      <c r="B1581" s="129">
        <v>2373</v>
      </c>
      <c r="C1581" s="129">
        <v>0</v>
      </c>
      <c r="D1581" s="129">
        <v>307</v>
      </c>
      <c r="E1581" s="129" t="b">
        <v>1</v>
      </c>
      <c r="F1581" s="129" t="b">
        <v>0</v>
      </c>
      <c r="G1581" s="129" t="s">
        <v>3160</v>
      </c>
      <c r="H1581" s="129" t="s">
        <v>2953</v>
      </c>
      <c r="I1581" s="129" t="s">
        <v>2959</v>
      </c>
      <c r="J1581" s="129"/>
      <c r="K1581" s="129"/>
      <c r="L1581" s="129" t="s">
        <v>2994</v>
      </c>
      <c r="M1581" s="129" t="s">
        <v>3063</v>
      </c>
      <c r="N1581" s="129"/>
      <c r="O1581" s="129" t="s">
        <v>3168</v>
      </c>
      <c r="Q1581" s="129" t="b">
        <v>0</v>
      </c>
    </row>
    <row r="1582" spans="1:17" s="5" customFormat="1" ht="15" hidden="1" customHeight="1">
      <c r="A1582" s="129">
        <v>9513</v>
      </c>
      <c r="B1582" s="129">
        <v>2374</v>
      </c>
      <c r="C1582" s="129">
        <v>0</v>
      </c>
      <c r="D1582" s="129">
        <v>164</v>
      </c>
      <c r="E1582" s="129" t="b">
        <v>1</v>
      </c>
      <c r="F1582" s="129" t="b">
        <v>0</v>
      </c>
      <c r="G1582" s="129" t="s">
        <v>3160</v>
      </c>
      <c r="H1582" s="129" t="s">
        <v>2965</v>
      </c>
      <c r="I1582" s="129" t="s">
        <v>131</v>
      </c>
      <c r="J1582" s="129"/>
      <c r="K1582" s="129"/>
      <c r="L1582" s="129" t="s">
        <v>2994</v>
      </c>
      <c r="M1582" s="129" t="s">
        <v>3103</v>
      </c>
      <c r="N1582" s="129"/>
      <c r="O1582" s="129" t="s">
        <v>3185</v>
      </c>
      <c r="Q1582" s="129" t="b">
        <v>0</v>
      </c>
    </row>
    <row r="1583" spans="1:17" s="5" customFormat="1" ht="15" hidden="1" customHeight="1">
      <c r="A1583" s="129">
        <v>9511</v>
      </c>
      <c r="B1583" s="129">
        <v>2375</v>
      </c>
      <c r="C1583" s="129">
        <v>0</v>
      </c>
      <c r="D1583" s="129">
        <v>308</v>
      </c>
      <c r="E1583" s="129" t="b">
        <v>1</v>
      </c>
      <c r="F1583" s="129" t="b">
        <v>0</v>
      </c>
      <c r="G1583" s="129" t="s">
        <v>3160</v>
      </c>
      <c r="H1583" s="129" t="s">
        <v>2965</v>
      </c>
      <c r="I1583" s="129" t="s">
        <v>3186</v>
      </c>
      <c r="J1583" s="129"/>
      <c r="K1583" s="129"/>
      <c r="L1583" s="129" t="s">
        <v>2994</v>
      </c>
      <c r="M1583" s="129" t="s">
        <v>3106</v>
      </c>
      <c r="N1583" s="129"/>
      <c r="O1583" s="129" t="s">
        <v>3106</v>
      </c>
      <c r="Q1583" s="129" t="b">
        <v>0</v>
      </c>
    </row>
    <row r="1584" spans="1:17" s="5" customFormat="1" ht="15" hidden="1" customHeight="1">
      <c r="A1584" s="129">
        <v>9512</v>
      </c>
      <c r="B1584" s="129">
        <v>2376</v>
      </c>
      <c r="C1584" s="129">
        <v>0</v>
      </c>
      <c r="D1584" s="129">
        <v>309</v>
      </c>
      <c r="E1584" s="129" t="b">
        <v>1</v>
      </c>
      <c r="F1584" s="129" t="b">
        <v>0</v>
      </c>
      <c r="G1584" s="129" t="s">
        <v>3160</v>
      </c>
      <c r="H1584" s="129" t="s">
        <v>2965</v>
      </c>
      <c r="I1584" s="129" t="s">
        <v>3108</v>
      </c>
      <c r="J1584" s="129"/>
      <c r="K1584" s="129"/>
      <c r="L1584" s="129" t="s">
        <v>2994</v>
      </c>
      <c r="M1584" s="129" t="s">
        <v>2712</v>
      </c>
      <c r="N1584" s="129"/>
      <c r="O1584" s="129" t="s">
        <v>3187</v>
      </c>
      <c r="Q1584" s="129" t="b">
        <v>0</v>
      </c>
    </row>
    <row r="1585" spans="1:17" ht="15" hidden="1" customHeight="1">
      <c r="A1585" s="129">
        <v>9001</v>
      </c>
      <c r="B1585" s="129">
        <v>2377</v>
      </c>
      <c r="C1585" s="129">
        <v>0</v>
      </c>
      <c r="D1585" s="5">
        <v>199</v>
      </c>
      <c r="E1585" s="129" t="b">
        <v>1</v>
      </c>
      <c r="F1585" s="129" t="b">
        <v>0</v>
      </c>
      <c r="G1585" s="129" t="s">
        <v>3160</v>
      </c>
      <c r="H1585" s="129" t="s">
        <v>3110</v>
      </c>
      <c r="I1585" s="129" t="s">
        <v>3188</v>
      </c>
      <c r="J1585" s="129">
        <v>48</v>
      </c>
      <c r="K1585" s="129"/>
      <c r="L1585" s="129" t="s">
        <v>2994</v>
      </c>
      <c r="M1585" s="129" t="s">
        <v>3112</v>
      </c>
      <c r="N1585" s="129"/>
      <c r="O1585" s="129" t="s">
        <v>3189</v>
      </c>
      <c r="P1585" s="5"/>
      <c r="Q1585" s="129" t="b">
        <v>0</v>
      </c>
    </row>
    <row r="1586" spans="1:17" ht="15" hidden="1" customHeight="1">
      <c r="A1586" s="129">
        <v>9002</v>
      </c>
      <c r="B1586" s="129">
        <v>2378</v>
      </c>
      <c r="C1586" s="129">
        <v>0</v>
      </c>
      <c r="D1586" s="5">
        <v>199</v>
      </c>
      <c r="E1586" s="129" t="b">
        <v>1</v>
      </c>
      <c r="F1586" s="129" t="b">
        <v>0</v>
      </c>
      <c r="G1586" s="129" t="s">
        <v>3160</v>
      </c>
      <c r="H1586" s="129" t="s">
        <v>3110</v>
      </c>
      <c r="I1586" s="129" t="s">
        <v>3190</v>
      </c>
      <c r="J1586" s="129"/>
      <c r="K1586" s="129"/>
      <c r="L1586" s="129" t="s">
        <v>2994</v>
      </c>
      <c r="M1586" s="129" t="s">
        <v>3115</v>
      </c>
      <c r="N1586" s="129"/>
      <c r="O1586" s="129" t="s">
        <v>3191</v>
      </c>
      <c r="P1586" s="5"/>
      <c r="Q1586" s="129" t="b">
        <v>0</v>
      </c>
    </row>
    <row r="1587" spans="1:17" ht="15" hidden="1" customHeight="1">
      <c r="A1587" s="129">
        <v>9003</v>
      </c>
      <c r="B1587" s="129">
        <v>2379</v>
      </c>
      <c r="C1587" s="129">
        <v>0</v>
      </c>
      <c r="D1587" s="5">
        <v>199</v>
      </c>
      <c r="E1587" s="129" t="b">
        <v>1</v>
      </c>
      <c r="F1587" s="129" t="b">
        <v>0</v>
      </c>
      <c r="G1587" s="129" t="s">
        <v>3160</v>
      </c>
      <c r="H1587" s="129" t="s">
        <v>3110</v>
      </c>
      <c r="I1587" s="129" t="s">
        <v>3192</v>
      </c>
      <c r="J1587" s="129"/>
      <c r="K1587" s="129"/>
      <c r="L1587" s="129" t="s">
        <v>2994</v>
      </c>
      <c r="M1587" s="129" t="s">
        <v>3118</v>
      </c>
      <c r="N1587" s="129"/>
      <c r="O1587" s="129" t="s">
        <v>3193</v>
      </c>
      <c r="P1587" s="5"/>
      <c r="Q1587" s="129" t="b">
        <v>0</v>
      </c>
    </row>
    <row r="1588" spans="1:17" ht="15" hidden="1" customHeight="1">
      <c r="A1588" s="129">
        <v>9004</v>
      </c>
      <c r="B1588" s="129">
        <v>2380</v>
      </c>
      <c r="C1588" s="129">
        <v>0</v>
      </c>
      <c r="D1588" s="5">
        <v>199</v>
      </c>
      <c r="E1588" s="129" t="b">
        <v>1</v>
      </c>
      <c r="F1588" s="129" t="b">
        <v>0</v>
      </c>
      <c r="G1588" s="129" t="s">
        <v>3160</v>
      </c>
      <c r="H1588" s="129" t="s">
        <v>3110</v>
      </c>
      <c r="I1588" s="129" t="s">
        <v>3194</v>
      </c>
      <c r="J1588" s="129"/>
      <c r="K1588" s="129"/>
      <c r="L1588" s="129" t="s">
        <v>2994</v>
      </c>
      <c r="M1588" s="129" t="s">
        <v>3121</v>
      </c>
      <c r="N1588" s="129"/>
      <c r="O1588" s="129" t="s">
        <v>3195</v>
      </c>
      <c r="P1588" s="5"/>
      <c r="Q1588" s="129" t="b">
        <v>0</v>
      </c>
    </row>
    <row r="1589" spans="1:17" s="5" customFormat="1" ht="15" hidden="1" customHeight="1">
      <c r="A1589" s="129">
        <v>9005</v>
      </c>
      <c r="B1589" s="129">
        <v>2381</v>
      </c>
      <c r="C1589" s="129">
        <v>0</v>
      </c>
      <c r="D1589" s="129">
        <v>1</v>
      </c>
      <c r="E1589" s="129" t="b">
        <v>0</v>
      </c>
      <c r="F1589" s="129" t="b">
        <v>0</v>
      </c>
      <c r="G1589" s="129" t="s">
        <v>3160</v>
      </c>
      <c r="H1589" s="129" t="s">
        <v>3110</v>
      </c>
      <c r="I1589" s="129" t="s">
        <v>3196</v>
      </c>
      <c r="J1589" s="129"/>
      <c r="K1589" s="129"/>
      <c r="L1589" s="129" t="s">
        <v>2994</v>
      </c>
      <c r="M1589" s="129" t="s">
        <v>3197</v>
      </c>
      <c r="N1589" s="129"/>
      <c r="O1589" s="129" t="s">
        <v>3198</v>
      </c>
      <c r="Q1589" s="129" t="b">
        <v>0</v>
      </c>
    </row>
    <row r="1590" spans="1:17" s="5" customFormat="1" ht="15" hidden="1" customHeight="1">
      <c r="A1590" s="129">
        <v>9006</v>
      </c>
      <c r="B1590" s="129">
        <v>2382</v>
      </c>
      <c r="C1590" s="129">
        <v>0</v>
      </c>
      <c r="D1590" s="129">
        <v>1</v>
      </c>
      <c r="E1590" s="129" t="b">
        <v>0</v>
      </c>
      <c r="F1590" s="129" t="b">
        <v>0</v>
      </c>
      <c r="G1590" s="129" t="s">
        <v>3160</v>
      </c>
      <c r="H1590" s="129" t="s">
        <v>3110</v>
      </c>
      <c r="I1590" s="129" t="s">
        <v>3199</v>
      </c>
      <c r="J1590" s="129"/>
      <c r="K1590" s="129"/>
      <c r="L1590" s="129" t="s">
        <v>2994</v>
      </c>
      <c r="M1590" s="129" t="s">
        <v>3200</v>
      </c>
      <c r="N1590" s="129"/>
      <c r="O1590" s="129" t="s">
        <v>3201</v>
      </c>
      <c r="Q1590" s="129" t="b">
        <v>0</v>
      </c>
    </row>
    <row r="1591" spans="1:17" s="5" customFormat="1" ht="15" hidden="1" customHeight="1">
      <c r="A1591" s="129">
        <v>9007</v>
      </c>
      <c r="B1591" s="129">
        <v>2383</v>
      </c>
      <c r="C1591" s="129">
        <v>0</v>
      </c>
      <c r="D1591" s="129">
        <v>1</v>
      </c>
      <c r="E1591" s="129" t="b">
        <v>0</v>
      </c>
      <c r="F1591" s="129" t="b">
        <v>0</v>
      </c>
      <c r="G1591" s="129" t="s">
        <v>3160</v>
      </c>
      <c r="H1591" s="129" t="s">
        <v>3110</v>
      </c>
      <c r="I1591" s="129" t="s">
        <v>3202</v>
      </c>
      <c r="J1591" s="129"/>
      <c r="K1591" s="129"/>
      <c r="L1591" s="129" t="s">
        <v>2994</v>
      </c>
      <c r="M1591" s="129" t="s">
        <v>3203</v>
      </c>
      <c r="N1591" s="129"/>
      <c r="O1591" s="129" t="s">
        <v>3204</v>
      </c>
      <c r="Q1591" s="129" t="b">
        <v>0</v>
      </c>
    </row>
    <row r="1592" spans="1:17" s="5" customFormat="1" ht="15" hidden="1" customHeight="1">
      <c r="A1592" s="129">
        <v>9008</v>
      </c>
      <c r="B1592" s="129">
        <v>2384</v>
      </c>
      <c r="C1592" s="129">
        <v>0</v>
      </c>
      <c r="D1592" s="129">
        <v>1</v>
      </c>
      <c r="E1592" s="129" t="b">
        <v>0</v>
      </c>
      <c r="F1592" s="129" t="b">
        <v>0</v>
      </c>
      <c r="G1592" s="129" t="s">
        <v>3160</v>
      </c>
      <c r="H1592" s="129" t="s">
        <v>3110</v>
      </c>
      <c r="I1592" s="129" t="s">
        <v>3205</v>
      </c>
      <c r="J1592" s="129"/>
      <c r="K1592" s="129"/>
      <c r="L1592" s="129" t="s">
        <v>2994</v>
      </c>
      <c r="M1592" s="129" t="s">
        <v>3206</v>
      </c>
      <c r="N1592" s="129"/>
      <c r="O1592" s="129" t="s">
        <v>3207</v>
      </c>
      <c r="Q1592" s="129" t="b">
        <v>0</v>
      </c>
    </row>
    <row r="1593" spans="1:17" s="5" customFormat="1" ht="15" hidden="1" customHeight="1">
      <c r="A1593" s="129">
        <v>9009</v>
      </c>
      <c r="B1593" s="129">
        <v>2385</v>
      </c>
      <c r="C1593" s="129">
        <v>0</v>
      </c>
      <c r="D1593" s="129">
        <v>1</v>
      </c>
      <c r="E1593" s="129" t="b">
        <v>0</v>
      </c>
      <c r="F1593" s="129" t="b">
        <v>0</v>
      </c>
      <c r="G1593" s="129" t="s">
        <v>3160</v>
      </c>
      <c r="H1593" s="129" t="s">
        <v>3123</v>
      </c>
      <c r="I1593" s="129" t="s">
        <v>3124</v>
      </c>
      <c r="J1593" s="129"/>
      <c r="K1593" s="129"/>
      <c r="L1593" s="129" t="s">
        <v>2994</v>
      </c>
      <c r="M1593" s="129" t="s">
        <v>3125</v>
      </c>
      <c r="N1593" s="129"/>
      <c r="O1593" s="129" t="s">
        <v>3208</v>
      </c>
      <c r="Q1593" s="129" t="b">
        <v>0</v>
      </c>
    </row>
    <row r="1594" spans="1:17" s="5" customFormat="1" ht="15" hidden="1" customHeight="1">
      <c r="A1594" s="129">
        <v>9010</v>
      </c>
      <c r="B1594" s="129">
        <v>2386</v>
      </c>
      <c r="C1594" s="129">
        <v>0</v>
      </c>
      <c r="D1594" s="129">
        <v>1</v>
      </c>
      <c r="E1594" s="129" t="b">
        <v>0</v>
      </c>
      <c r="F1594" s="129" t="b">
        <v>0</v>
      </c>
      <c r="G1594" s="129" t="s">
        <v>3160</v>
      </c>
      <c r="H1594" s="129" t="s">
        <v>3123</v>
      </c>
      <c r="I1594" s="129" t="s">
        <v>3127</v>
      </c>
      <c r="J1594" s="129"/>
      <c r="K1594" s="129"/>
      <c r="L1594" s="129" t="s">
        <v>2994</v>
      </c>
      <c r="M1594" s="129" t="s">
        <v>3128</v>
      </c>
      <c r="N1594" s="129"/>
      <c r="O1594" s="129" t="s">
        <v>3209</v>
      </c>
      <c r="Q1594" s="129" t="b">
        <v>0</v>
      </c>
    </row>
    <row r="1595" spans="1:17" s="5" customFormat="1" ht="15" hidden="1" customHeight="1">
      <c r="A1595" s="129">
        <v>9011</v>
      </c>
      <c r="B1595" s="129">
        <v>2387</v>
      </c>
      <c r="C1595" s="129">
        <v>0</v>
      </c>
      <c r="D1595" s="129">
        <v>1</v>
      </c>
      <c r="E1595" s="129" t="b">
        <v>0</v>
      </c>
      <c r="F1595" s="129" t="b">
        <v>0</v>
      </c>
      <c r="G1595" s="129" t="s">
        <v>3160</v>
      </c>
      <c r="H1595" s="129" t="s">
        <v>3123</v>
      </c>
      <c r="I1595" s="129" t="s">
        <v>3130</v>
      </c>
      <c r="J1595" s="129"/>
      <c r="K1595" s="129"/>
      <c r="L1595" s="129" t="s">
        <v>2994</v>
      </c>
      <c r="M1595" s="129" t="s">
        <v>3131</v>
      </c>
      <c r="N1595" s="129"/>
      <c r="O1595" s="129" t="s">
        <v>3210</v>
      </c>
      <c r="Q1595" s="129" t="b">
        <v>0</v>
      </c>
    </row>
    <row r="1596" spans="1:17" s="5" customFormat="1" ht="15" hidden="1" customHeight="1">
      <c r="A1596" s="129">
        <v>9012</v>
      </c>
      <c r="B1596" s="129">
        <v>2388</v>
      </c>
      <c r="C1596" s="129">
        <v>0</v>
      </c>
      <c r="D1596" s="129">
        <v>1</v>
      </c>
      <c r="E1596" s="129" t="b">
        <v>0</v>
      </c>
      <c r="F1596" s="129" t="b">
        <v>0</v>
      </c>
      <c r="G1596" s="129" t="s">
        <v>3160</v>
      </c>
      <c r="H1596" s="129" t="s">
        <v>3123</v>
      </c>
      <c r="I1596" s="129" t="s">
        <v>3133</v>
      </c>
      <c r="J1596" s="129"/>
      <c r="K1596" s="129"/>
      <c r="L1596" s="129" t="s">
        <v>2994</v>
      </c>
      <c r="M1596" s="129" t="s">
        <v>3134</v>
      </c>
      <c r="N1596" s="129"/>
      <c r="O1596" s="129" t="s">
        <v>3211</v>
      </c>
      <c r="Q1596" s="129" t="b">
        <v>0</v>
      </c>
    </row>
    <row r="1597" spans="1:17" ht="15" hidden="1" customHeight="1">
      <c r="A1597" s="129">
        <v>9013</v>
      </c>
      <c r="B1597" s="129">
        <v>2389</v>
      </c>
      <c r="C1597" s="129">
        <v>0</v>
      </c>
      <c r="D1597" s="129">
        <v>109</v>
      </c>
      <c r="E1597" s="129" t="b">
        <v>1</v>
      </c>
      <c r="F1597" s="129" t="b">
        <v>0</v>
      </c>
      <c r="G1597" s="129" t="s">
        <v>3160</v>
      </c>
      <c r="H1597" s="129" t="s">
        <v>3110</v>
      </c>
      <c r="I1597" s="129" t="s">
        <v>3212</v>
      </c>
      <c r="J1597" s="129"/>
      <c r="K1597" s="129"/>
      <c r="L1597" s="129" t="s">
        <v>2994</v>
      </c>
      <c r="M1597" s="129" t="s">
        <v>3137</v>
      </c>
      <c r="N1597" s="129"/>
      <c r="O1597" s="129" t="s">
        <v>3213</v>
      </c>
      <c r="P1597" s="5"/>
      <c r="Q1597" s="129" t="b">
        <v>0</v>
      </c>
    </row>
    <row r="1598" spans="1:17" ht="15" hidden="1" customHeight="1">
      <c r="A1598" s="129">
        <v>9014</v>
      </c>
      <c r="B1598" s="129">
        <v>2390</v>
      </c>
      <c r="C1598" s="129">
        <v>0</v>
      </c>
      <c r="D1598" s="129">
        <v>109</v>
      </c>
      <c r="E1598" s="129" t="b">
        <v>1</v>
      </c>
      <c r="F1598" s="129" t="b">
        <v>0</v>
      </c>
      <c r="G1598" s="129" t="s">
        <v>3160</v>
      </c>
      <c r="H1598" s="129" t="s">
        <v>3110</v>
      </c>
      <c r="I1598" s="129" t="s">
        <v>3214</v>
      </c>
      <c r="J1598" s="129"/>
      <c r="K1598" s="129"/>
      <c r="L1598" s="129" t="s">
        <v>2994</v>
      </c>
      <c r="M1598" s="129" t="s">
        <v>3140</v>
      </c>
      <c r="N1598" s="129"/>
      <c r="O1598" s="129" t="s">
        <v>3215</v>
      </c>
      <c r="P1598" s="5"/>
      <c r="Q1598" s="129" t="b">
        <v>0</v>
      </c>
    </row>
    <row r="1599" spans="1:17" ht="15" hidden="1" customHeight="1">
      <c r="A1599" s="129">
        <v>9015</v>
      </c>
      <c r="B1599" s="129">
        <v>2391</v>
      </c>
      <c r="C1599" s="129">
        <v>0</v>
      </c>
      <c r="D1599" s="129">
        <v>109</v>
      </c>
      <c r="E1599" s="129" t="b">
        <v>1</v>
      </c>
      <c r="F1599" s="129" t="b">
        <v>0</v>
      </c>
      <c r="G1599" s="129" t="s">
        <v>3160</v>
      </c>
      <c r="H1599" s="129" t="s">
        <v>3110</v>
      </c>
      <c r="I1599" s="129" t="s">
        <v>3216</v>
      </c>
      <c r="J1599" s="129"/>
      <c r="K1599" s="129"/>
      <c r="L1599" s="129" t="s">
        <v>2994</v>
      </c>
      <c r="M1599" s="129" t="s">
        <v>3143</v>
      </c>
      <c r="N1599" s="129"/>
      <c r="O1599" s="129" t="s">
        <v>3217</v>
      </c>
      <c r="P1599" s="5"/>
      <c r="Q1599" s="129" t="b">
        <v>0</v>
      </c>
    </row>
    <row r="1600" spans="1:17" ht="15" hidden="1" customHeight="1">
      <c r="A1600" s="129">
        <v>9016</v>
      </c>
      <c r="B1600" s="129">
        <v>2392</v>
      </c>
      <c r="C1600" s="129">
        <v>0</v>
      </c>
      <c r="D1600" s="129">
        <v>109</v>
      </c>
      <c r="E1600" s="129" t="b">
        <v>1</v>
      </c>
      <c r="F1600" s="129" t="b">
        <v>0</v>
      </c>
      <c r="G1600" s="129" t="s">
        <v>3160</v>
      </c>
      <c r="H1600" s="129" t="s">
        <v>3110</v>
      </c>
      <c r="I1600" s="129" t="s">
        <v>3218</v>
      </c>
      <c r="J1600" s="129"/>
      <c r="K1600" s="129"/>
      <c r="L1600" s="129" t="s">
        <v>2994</v>
      </c>
      <c r="M1600" s="129" t="s">
        <v>3146</v>
      </c>
      <c r="N1600" s="129"/>
      <c r="O1600" s="129" t="s">
        <v>3219</v>
      </c>
      <c r="P1600" s="5"/>
      <c r="Q1600" s="129" t="b">
        <v>0</v>
      </c>
    </row>
    <row r="1601" spans="1:17" ht="15" hidden="1" customHeight="1">
      <c r="A1601" s="129">
        <v>9017</v>
      </c>
      <c r="B1601" s="129">
        <v>2393</v>
      </c>
      <c r="C1601" s="129">
        <v>0</v>
      </c>
      <c r="D1601" s="129">
        <v>109</v>
      </c>
      <c r="E1601" s="129" t="b">
        <v>1</v>
      </c>
      <c r="F1601" s="129" t="b">
        <v>0</v>
      </c>
      <c r="G1601" s="129" t="s">
        <v>3160</v>
      </c>
      <c r="H1601" s="129" t="s">
        <v>3123</v>
      </c>
      <c r="I1601" s="129" t="s">
        <v>3148</v>
      </c>
      <c r="J1601" s="129"/>
      <c r="K1601" s="129"/>
      <c r="L1601" s="129" t="s">
        <v>2994</v>
      </c>
      <c r="M1601" s="129" t="s">
        <v>3149</v>
      </c>
      <c r="N1601" s="129"/>
      <c r="O1601" s="129" t="s">
        <v>3220</v>
      </c>
      <c r="P1601" s="5"/>
      <c r="Q1601" s="129" t="b">
        <v>0</v>
      </c>
    </row>
    <row r="1602" spans="1:17" ht="15" hidden="1" customHeight="1">
      <c r="A1602" s="129">
        <v>9018</v>
      </c>
      <c r="B1602" s="129">
        <v>2394</v>
      </c>
      <c r="C1602" s="129">
        <v>0</v>
      </c>
      <c r="D1602" s="129">
        <v>109</v>
      </c>
      <c r="E1602" s="129" t="b">
        <v>1</v>
      </c>
      <c r="F1602" s="129" t="b">
        <v>0</v>
      </c>
      <c r="G1602" s="129" t="s">
        <v>3160</v>
      </c>
      <c r="H1602" s="129" t="s">
        <v>3123</v>
      </c>
      <c r="I1602" s="129" t="s">
        <v>3151</v>
      </c>
      <c r="J1602" s="129"/>
      <c r="K1602" s="129"/>
      <c r="L1602" s="129" t="s">
        <v>2994</v>
      </c>
      <c r="M1602" s="129" t="s">
        <v>3152</v>
      </c>
      <c r="N1602" s="129"/>
      <c r="O1602" s="129" t="s">
        <v>3221</v>
      </c>
      <c r="P1602" s="5"/>
      <c r="Q1602" s="129" t="b">
        <v>0</v>
      </c>
    </row>
    <row r="1603" spans="1:17" ht="15" hidden="1" customHeight="1">
      <c r="A1603" s="129">
        <v>9019</v>
      </c>
      <c r="B1603" s="129">
        <v>2395</v>
      </c>
      <c r="C1603" s="129">
        <v>0</v>
      </c>
      <c r="D1603" s="129">
        <v>109</v>
      </c>
      <c r="E1603" s="129" t="b">
        <v>1</v>
      </c>
      <c r="F1603" s="129" t="b">
        <v>0</v>
      </c>
      <c r="G1603" s="129" t="s">
        <v>3160</v>
      </c>
      <c r="H1603" s="129" t="s">
        <v>3123</v>
      </c>
      <c r="I1603" s="129" t="s">
        <v>3154</v>
      </c>
      <c r="J1603" s="129"/>
      <c r="K1603" s="129"/>
      <c r="L1603" s="129" t="s">
        <v>2994</v>
      </c>
      <c r="M1603" s="129" t="s">
        <v>3155</v>
      </c>
      <c r="N1603" s="129"/>
      <c r="O1603" s="129" t="s">
        <v>3222</v>
      </c>
      <c r="P1603" s="5"/>
      <c r="Q1603" s="129" t="b">
        <v>0</v>
      </c>
    </row>
    <row r="1604" spans="1:17" ht="15" hidden="1" customHeight="1">
      <c r="A1604" s="129">
        <v>9020</v>
      </c>
      <c r="B1604" s="129">
        <v>2396</v>
      </c>
      <c r="C1604" s="129">
        <v>0</v>
      </c>
      <c r="D1604" s="129">
        <v>109</v>
      </c>
      <c r="E1604" s="129" t="b">
        <v>1</v>
      </c>
      <c r="F1604" s="129" t="b">
        <v>0</v>
      </c>
      <c r="G1604" s="129" t="s">
        <v>3160</v>
      </c>
      <c r="H1604" s="129" t="s">
        <v>3123</v>
      </c>
      <c r="I1604" s="129" t="s">
        <v>3157</v>
      </c>
      <c r="J1604" s="129"/>
      <c r="K1604" s="129"/>
      <c r="L1604" s="129" t="s">
        <v>2994</v>
      </c>
      <c r="M1604" s="129" t="s">
        <v>3158</v>
      </c>
      <c r="N1604" s="129"/>
      <c r="O1604" s="129" t="s">
        <v>3223</v>
      </c>
      <c r="P1604" s="5"/>
      <c r="Q1604" s="129" t="b">
        <v>0</v>
      </c>
    </row>
    <row r="1605" spans="1:17" ht="15" hidden="1" customHeight="1">
      <c r="A1605" s="15">
        <v>4001</v>
      </c>
      <c r="B1605" s="15">
        <v>2397</v>
      </c>
      <c r="C1605" s="15">
        <v>0</v>
      </c>
      <c r="D1605" s="15">
        <v>197</v>
      </c>
      <c r="E1605" s="15" t="b">
        <v>1</v>
      </c>
      <c r="F1605" s="15" t="b">
        <v>1</v>
      </c>
      <c r="G1605" s="24" t="s">
        <v>3224</v>
      </c>
      <c r="H1605" s="15" t="s">
        <v>3225</v>
      </c>
      <c r="I1605" s="24" t="s">
        <v>3226</v>
      </c>
      <c r="J1605" s="16" t="s">
        <v>3227</v>
      </c>
      <c r="K1605" s="15"/>
      <c r="L1605" s="15"/>
      <c r="M1605" s="15"/>
      <c r="N1605" s="15"/>
      <c r="O1605" s="15"/>
      <c r="P1605" s="15"/>
      <c r="Q1605" s="15" t="b">
        <v>0</v>
      </c>
    </row>
    <row r="1606" spans="1:17" ht="15" hidden="1" customHeight="1">
      <c r="A1606" s="15">
        <v>4002</v>
      </c>
      <c r="B1606" s="15">
        <v>2398</v>
      </c>
      <c r="C1606" s="15">
        <v>1</v>
      </c>
      <c r="D1606" s="15"/>
      <c r="E1606" s="15" t="b">
        <v>1</v>
      </c>
      <c r="F1606" s="15" t="b">
        <v>1</v>
      </c>
      <c r="G1606" s="24" t="s">
        <v>3224</v>
      </c>
      <c r="H1606" s="15" t="s">
        <v>3225</v>
      </c>
      <c r="I1606" s="24" t="s">
        <v>3228</v>
      </c>
      <c r="J1606" s="15"/>
      <c r="K1606" s="15"/>
      <c r="L1606" s="15"/>
      <c r="M1606" s="15"/>
      <c r="N1606" s="15"/>
      <c r="O1606" s="15"/>
      <c r="P1606" s="15"/>
      <c r="Q1606" s="15" t="b">
        <v>1</v>
      </c>
    </row>
    <row r="1607" spans="1:17" ht="15" hidden="1" customHeight="1">
      <c r="A1607" s="15">
        <v>4003</v>
      </c>
      <c r="B1607" s="15">
        <v>2399</v>
      </c>
      <c r="C1607" s="15">
        <v>2</v>
      </c>
      <c r="D1607" s="15"/>
      <c r="E1607" s="15" t="b">
        <v>1</v>
      </c>
      <c r="F1607" s="15" t="b">
        <v>1</v>
      </c>
      <c r="G1607" s="24" t="s">
        <v>3224</v>
      </c>
      <c r="H1607" s="15" t="s">
        <v>3225</v>
      </c>
      <c r="I1607" s="24" t="s">
        <v>3229</v>
      </c>
      <c r="J1607" s="15"/>
      <c r="K1607" s="15"/>
      <c r="L1607" s="15"/>
      <c r="M1607" s="15"/>
      <c r="N1607" s="15"/>
      <c r="O1607" s="15"/>
      <c r="P1607" s="15"/>
      <c r="Q1607" s="15" t="b">
        <v>1</v>
      </c>
    </row>
    <row r="1608" spans="1:17" ht="15" hidden="1" customHeight="1">
      <c r="A1608" s="15">
        <v>4004</v>
      </c>
      <c r="B1608" s="15">
        <v>2400</v>
      </c>
      <c r="C1608" s="15">
        <v>3</v>
      </c>
      <c r="D1608" s="15"/>
      <c r="E1608" s="15" t="b">
        <v>1</v>
      </c>
      <c r="F1608" s="15" t="b">
        <v>1</v>
      </c>
      <c r="G1608" s="24" t="s">
        <v>3224</v>
      </c>
      <c r="H1608" s="15" t="s">
        <v>3225</v>
      </c>
      <c r="I1608" s="24" t="s">
        <v>3230</v>
      </c>
      <c r="J1608" s="15"/>
      <c r="K1608" s="15"/>
      <c r="L1608" s="15"/>
      <c r="M1608" s="15"/>
      <c r="N1608" s="15"/>
      <c r="O1608" s="15"/>
      <c r="P1608" s="15"/>
      <c r="Q1608" s="15" t="b">
        <v>1</v>
      </c>
    </row>
    <row r="1609" spans="1:17" ht="15" hidden="1" customHeight="1">
      <c r="A1609" s="15">
        <v>4005</v>
      </c>
      <c r="B1609" s="15">
        <v>2401</v>
      </c>
      <c r="C1609" s="15">
        <v>4</v>
      </c>
      <c r="D1609" s="15"/>
      <c r="E1609" s="15" t="b">
        <v>1</v>
      </c>
      <c r="F1609" s="15" t="b">
        <v>1</v>
      </c>
      <c r="G1609" s="24" t="s">
        <v>3224</v>
      </c>
      <c r="H1609" s="15" t="s">
        <v>3225</v>
      </c>
      <c r="I1609" s="24" t="s">
        <v>3231</v>
      </c>
      <c r="J1609" s="15"/>
      <c r="K1609" s="15"/>
      <c r="L1609" s="15"/>
      <c r="M1609" s="15"/>
      <c r="N1609" s="15"/>
      <c r="O1609" s="15"/>
      <c r="P1609" s="15"/>
      <c r="Q1609" s="15" t="b">
        <v>1</v>
      </c>
    </row>
    <row r="1610" spans="1:17" ht="15" hidden="1" customHeight="1">
      <c r="A1610" s="15">
        <v>4006</v>
      </c>
      <c r="B1610" s="15">
        <v>2402</v>
      </c>
      <c r="C1610" s="15">
        <v>5</v>
      </c>
      <c r="D1610" s="15"/>
      <c r="E1610" s="15" t="b">
        <v>1</v>
      </c>
      <c r="F1610" s="15" t="b">
        <v>1</v>
      </c>
      <c r="G1610" s="24" t="s">
        <v>3224</v>
      </c>
      <c r="H1610" s="15" t="s">
        <v>3225</v>
      </c>
      <c r="I1610" s="24" t="s">
        <v>3232</v>
      </c>
      <c r="J1610" s="15"/>
      <c r="K1610" s="15"/>
      <c r="L1610" s="15"/>
      <c r="M1610" s="15"/>
      <c r="N1610" s="15"/>
      <c r="O1610" s="15"/>
      <c r="P1610" s="15"/>
      <c r="Q1610" s="15" t="b">
        <v>1</v>
      </c>
    </row>
    <row r="1611" spans="1:17" ht="15" hidden="1" customHeight="1">
      <c r="A1611" s="15">
        <v>4007</v>
      </c>
      <c r="B1611" s="15">
        <v>2403</v>
      </c>
      <c r="C1611" s="15">
        <v>6</v>
      </c>
      <c r="D1611" s="15"/>
      <c r="E1611" s="15" t="b">
        <v>1</v>
      </c>
      <c r="F1611" s="15" t="b">
        <v>1</v>
      </c>
      <c r="G1611" s="24" t="s">
        <v>3224</v>
      </c>
      <c r="H1611" s="15" t="s">
        <v>3225</v>
      </c>
      <c r="I1611" s="24" t="s">
        <v>3233</v>
      </c>
      <c r="J1611" s="15"/>
      <c r="K1611" s="15"/>
      <c r="L1611" s="15"/>
      <c r="M1611" s="15"/>
      <c r="N1611" s="15"/>
      <c r="O1611" s="15"/>
      <c r="P1611" s="15"/>
      <c r="Q1611" s="15" t="b">
        <v>1</v>
      </c>
    </row>
    <row r="1612" spans="1:17" ht="15" hidden="1" customHeight="1">
      <c r="A1612" s="15">
        <v>4008</v>
      </c>
      <c r="B1612" s="15">
        <v>2404</v>
      </c>
      <c r="C1612" s="15">
        <v>7</v>
      </c>
      <c r="D1612" s="15"/>
      <c r="E1612" s="15" t="b">
        <v>0</v>
      </c>
      <c r="F1612" s="15" t="b">
        <v>1</v>
      </c>
      <c r="G1612" s="24" t="s">
        <v>3224</v>
      </c>
      <c r="H1612" s="15" t="s">
        <v>3225</v>
      </c>
      <c r="I1612" s="24" t="s">
        <v>3234</v>
      </c>
      <c r="J1612" s="15"/>
      <c r="K1612" s="15"/>
      <c r="L1612" s="15"/>
      <c r="M1612" s="15"/>
      <c r="N1612" s="15"/>
      <c r="O1612" s="15"/>
      <c r="P1612" s="15"/>
      <c r="Q1612" s="15" t="b">
        <v>1</v>
      </c>
    </row>
    <row r="1613" spans="1:17" ht="15" hidden="1" customHeight="1">
      <c r="A1613" s="15">
        <v>4009</v>
      </c>
      <c r="B1613" s="15">
        <v>2405</v>
      </c>
      <c r="C1613" s="15">
        <v>8</v>
      </c>
      <c r="D1613" s="15"/>
      <c r="E1613" s="15" t="b">
        <v>1</v>
      </c>
      <c r="F1613" s="15" t="b">
        <v>1</v>
      </c>
      <c r="G1613" s="24" t="s">
        <v>3224</v>
      </c>
      <c r="H1613" s="15" t="s">
        <v>3235</v>
      </c>
      <c r="I1613" s="24" t="s">
        <v>3226</v>
      </c>
      <c r="J1613" s="16" t="s">
        <v>3236</v>
      </c>
      <c r="K1613" s="15"/>
      <c r="L1613" s="15"/>
      <c r="M1613" s="15"/>
      <c r="N1613" s="15"/>
      <c r="O1613" s="15"/>
      <c r="P1613" s="15"/>
      <c r="Q1613" s="15" t="b">
        <v>1</v>
      </c>
    </row>
    <row r="1614" spans="1:17" ht="15" hidden="1" customHeight="1">
      <c r="A1614" s="15">
        <v>4010</v>
      </c>
      <c r="B1614" s="15">
        <v>2406</v>
      </c>
      <c r="C1614" s="15">
        <v>9</v>
      </c>
      <c r="D1614" s="15"/>
      <c r="E1614" s="15" t="b">
        <v>1</v>
      </c>
      <c r="F1614" s="15" t="b">
        <v>1</v>
      </c>
      <c r="G1614" s="24" t="s">
        <v>3224</v>
      </c>
      <c r="H1614" s="15" t="s">
        <v>3235</v>
      </c>
      <c r="I1614" s="24" t="s">
        <v>3228</v>
      </c>
      <c r="J1614" s="15"/>
      <c r="K1614" s="15"/>
      <c r="L1614" s="15"/>
      <c r="M1614" s="15"/>
      <c r="N1614" s="15"/>
      <c r="O1614" s="15"/>
      <c r="P1614" s="15"/>
      <c r="Q1614" s="15" t="b">
        <v>1</v>
      </c>
    </row>
    <row r="1615" spans="1:17" ht="15" hidden="1" customHeight="1">
      <c r="A1615" s="97">
        <v>4011</v>
      </c>
      <c r="B1615" s="15">
        <v>2407</v>
      </c>
      <c r="C1615" s="97">
        <v>10</v>
      </c>
      <c r="D1615" s="97"/>
      <c r="E1615" s="97" t="b">
        <v>0</v>
      </c>
      <c r="F1615" s="97" t="b">
        <v>1</v>
      </c>
      <c r="G1615" s="97" t="s">
        <v>3224</v>
      </c>
      <c r="H1615" s="97" t="s">
        <v>3235</v>
      </c>
      <c r="I1615" s="97" t="s">
        <v>3237</v>
      </c>
      <c r="J1615" s="97"/>
      <c r="K1615" s="97"/>
      <c r="L1615" s="97"/>
      <c r="M1615" s="97"/>
      <c r="N1615" s="97"/>
      <c r="O1615" s="97"/>
      <c r="P1615" s="97"/>
      <c r="Q1615" s="97" t="b">
        <v>1</v>
      </c>
    </row>
    <row r="1616" spans="1:17" ht="15" hidden="1" customHeight="1">
      <c r="A1616" s="15">
        <v>4012</v>
      </c>
      <c r="B1616" s="15">
        <v>2408</v>
      </c>
      <c r="C1616" s="15">
        <v>11</v>
      </c>
      <c r="D1616" s="15"/>
      <c r="E1616" s="15" t="b">
        <v>1</v>
      </c>
      <c r="F1616" s="15" t="b">
        <v>1</v>
      </c>
      <c r="G1616" s="24" t="s">
        <v>3224</v>
      </c>
      <c r="H1616" s="15" t="s">
        <v>3235</v>
      </c>
      <c r="I1616" s="24" t="s">
        <v>3238</v>
      </c>
      <c r="J1616" s="15"/>
      <c r="K1616" s="15"/>
      <c r="L1616" s="15"/>
      <c r="M1616" s="15"/>
      <c r="N1616" s="15"/>
      <c r="O1616" s="15"/>
      <c r="P1616" s="15"/>
      <c r="Q1616" s="15" t="b">
        <v>1</v>
      </c>
    </row>
    <row r="1617" spans="1:17" ht="15" hidden="1" customHeight="1">
      <c r="A1617" s="97">
        <v>4013</v>
      </c>
      <c r="B1617" s="15">
        <v>2409</v>
      </c>
      <c r="C1617" s="97">
        <v>12</v>
      </c>
      <c r="D1617" s="97"/>
      <c r="E1617" s="97" t="b">
        <v>0</v>
      </c>
      <c r="F1617" s="97" t="b">
        <v>1</v>
      </c>
      <c r="G1617" s="97" t="s">
        <v>3224</v>
      </c>
      <c r="H1617" s="97" t="s">
        <v>3235</v>
      </c>
      <c r="I1617" s="97" t="s">
        <v>3239</v>
      </c>
      <c r="J1617" s="97"/>
      <c r="K1617" s="97"/>
      <c r="L1617" s="97"/>
      <c r="M1617" s="97"/>
      <c r="N1617" s="97"/>
      <c r="O1617" s="97"/>
      <c r="P1617" s="97"/>
      <c r="Q1617" s="97" t="b">
        <v>1</v>
      </c>
    </row>
    <row r="1618" spans="1:17" ht="15" hidden="1" customHeight="1">
      <c r="A1618" s="97">
        <v>4014</v>
      </c>
      <c r="B1618" s="15">
        <v>2410</v>
      </c>
      <c r="C1618" s="97">
        <v>13</v>
      </c>
      <c r="D1618" s="97"/>
      <c r="E1618" s="97" t="b">
        <v>0</v>
      </c>
      <c r="F1618" s="97" t="b">
        <v>1</v>
      </c>
      <c r="G1618" s="97" t="s">
        <v>3224</v>
      </c>
      <c r="H1618" s="97" t="s">
        <v>3235</v>
      </c>
      <c r="I1618" s="97" t="s">
        <v>3240</v>
      </c>
      <c r="J1618" s="97"/>
      <c r="K1618" s="97"/>
      <c r="L1618" s="97"/>
      <c r="M1618" s="97"/>
      <c r="N1618" s="97"/>
      <c r="O1618" s="97"/>
      <c r="P1618" s="97"/>
      <c r="Q1618" s="97" t="b">
        <v>1</v>
      </c>
    </row>
    <row r="1619" spans="1:17" ht="15" hidden="1" customHeight="1">
      <c r="A1619" s="97">
        <v>4015</v>
      </c>
      <c r="B1619" s="15">
        <v>2411</v>
      </c>
      <c r="C1619" s="97">
        <v>14</v>
      </c>
      <c r="D1619" s="97"/>
      <c r="E1619" s="97" t="b">
        <v>0</v>
      </c>
      <c r="F1619" s="97" t="b">
        <v>1</v>
      </c>
      <c r="G1619" s="97" t="s">
        <v>3224</v>
      </c>
      <c r="H1619" s="97" t="s">
        <v>3235</v>
      </c>
      <c r="I1619" s="97" t="s">
        <v>3241</v>
      </c>
      <c r="J1619" s="97"/>
      <c r="K1619" s="97"/>
      <c r="L1619" s="97"/>
      <c r="M1619" s="97"/>
      <c r="N1619" s="97"/>
      <c r="O1619" s="97"/>
      <c r="P1619" s="97"/>
      <c r="Q1619" s="97" t="b">
        <v>1</v>
      </c>
    </row>
    <row r="1620" spans="1:17" ht="15" hidden="1" customHeight="1">
      <c r="A1620" s="20">
        <v>4016</v>
      </c>
      <c r="B1620" s="15">
        <v>2412</v>
      </c>
      <c r="C1620" s="20">
        <v>15</v>
      </c>
      <c r="D1620" s="20"/>
      <c r="E1620" s="20" t="b">
        <v>0</v>
      </c>
      <c r="F1620" s="20" t="b">
        <v>1</v>
      </c>
      <c r="G1620" s="101" t="s">
        <v>3224</v>
      </c>
      <c r="H1620" s="20" t="s">
        <v>3242</v>
      </c>
      <c r="I1620" s="101"/>
      <c r="J1620" s="102"/>
      <c r="K1620" s="20"/>
      <c r="L1620" s="20"/>
      <c r="M1620" s="20"/>
      <c r="N1620" s="20"/>
      <c r="O1620" s="20"/>
      <c r="P1620" s="20"/>
      <c r="Q1620" s="20" t="b">
        <v>1</v>
      </c>
    </row>
    <row r="1621" spans="1:17" ht="15" hidden="1" customHeight="1">
      <c r="A1621" s="15">
        <v>5001</v>
      </c>
      <c r="B1621" s="15">
        <v>2413</v>
      </c>
      <c r="C1621" s="15">
        <v>3</v>
      </c>
      <c r="D1621" s="15">
        <v>314</v>
      </c>
      <c r="E1621" s="15" t="b">
        <v>1</v>
      </c>
      <c r="F1621" s="15" t="b">
        <v>1</v>
      </c>
      <c r="G1621" s="25" t="s">
        <v>3243</v>
      </c>
      <c r="H1621" s="15"/>
      <c r="I1621" s="25" t="s">
        <v>3244</v>
      </c>
      <c r="J1621" s="15"/>
      <c r="K1621" s="15"/>
      <c r="L1621" s="15" t="s">
        <v>3245</v>
      </c>
      <c r="M1621" s="15"/>
      <c r="N1621" s="15"/>
      <c r="O1621" s="15"/>
      <c r="P1621" s="15"/>
      <c r="Q1621" s="15" t="b">
        <v>0</v>
      </c>
    </row>
    <row r="1622" spans="1:17" ht="15" hidden="1" customHeight="1">
      <c r="A1622" s="15">
        <v>5002</v>
      </c>
      <c r="B1622" s="15">
        <v>2414</v>
      </c>
      <c r="C1622" s="15">
        <v>4</v>
      </c>
      <c r="D1622" s="15">
        <v>315</v>
      </c>
      <c r="E1622" s="15" t="b">
        <v>1</v>
      </c>
      <c r="F1622" s="15" t="b">
        <v>1</v>
      </c>
      <c r="G1622" s="25" t="s">
        <v>3243</v>
      </c>
      <c r="H1622" s="15"/>
      <c r="I1622" s="25" t="s">
        <v>3246</v>
      </c>
      <c r="J1622" s="15"/>
      <c r="K1622" s="15"/>
      <c r="L1622" s="15" t="s">
        <v>3247</v>
      </c>
      <c r="M1622" s="15"/>
      <c r="N1622" s="15"/>
      <c r="O1622" s="15"/>
      <c r="P1622" s="15"/>
      <c r="Q1622" s="15" t="b">
        <v>0</v>
      </c>
    </row>
    <row r="1623" spans="1:17" ht="15" hidden="1" customHeight="1">
      <c r="A1623" s="15">
        <v>5003</v>
      </c>
      <c r="B1623" s="15">
        <v>2415</v>
      </c>
      <c r="C1623" s="15">
        <v>0</v>
      </c>
      <c r="D1623" s="15"/>
      <c r="E1623" s="15" t="b">
        <v>0</v>
      </c>
      <c r="F1623" s="15" t="b">
        <v>1</v>
      </c>
      <c r="G1623" s="25" t="s">
        <v>3243</v>
      </c>
      <c r="H1623" s="15"/>
      <c r="I1623" s="25" t="s">
        <v>3248</v>
      </c>
      <c r="J1623" s="15"/>
      <c r="K1623" s="15"/>
      <c r="L1623" s="15" t="s">
        <v>3249</v>
      </c>
      <c r="M1623" s="15"/>
      <c r="N1623" s="15"/>
      <c r="O1623" s="15"/>
      <c r="P1623" s="15"/>
      <c r="Q1623" s="15" t="b">
        <v>1</v>
      </c>
    </row>
    <row r="1624" spans="1:17" ht="15" hidden="1" customHeight="1">
      <c r="A1624" s="15">
        <v>5004</v>
      </c>
      <c r="B1624" s="15">
        <v>2416</v>
      </c>
      <c r="C1624" s="15">
        <v>1</v>
      </c>
      <c r="D1624" s="15"/>
      <c r="E1624" s="15" t="b">
        <v>0</v>
      </c>
      <c r="F1624" s="15" t="b">
        <v>1</v>
      </c>
      <c r="G1624" s="25" t="s">
        <v>3243</v>
      </c>
      <c r="H1624" s="15"/>
      <c r="I1624" s="25" t="s">
        <v>3250</v>
      </c>
      <c r="J1624" s="15"/>
      <c r="K1624" s="15"/>
      <c r="L1624" s="15" t="s">
        <v>3251</v>
      </c>
      <c r="M1624" s="15"/>
      <c r="N1624" s="15"/>
      <c r="O1624" s="15"/>
      <c r="P1624" s="15"/>
      <c r="Q1624" s="15" t="b">
        <v>1</v>
      </c>
    </row>
    <row r="1625" spans="1:17" ht="15" hidden="1" customHeight="1">
      <c r="A1625" s="15">
        <v>5005</v>
      </c>
      <c r="B1625" s="15">
        <v>2417</v>
      </c>
      <c r="C1625" s="15">
        <v>2</v>
      </c>
      <c r="D1625" s="15">
        <v>198</v>
      </c>
      <c r="E1625" s="15" t="b">
        <v>1</v>
      </c>
      <c r="F1625" s="15" t="b">
        <v>1</v>
      </c>
      <c r="G1625" s="25" t="s">
        <v>3243</v>
      </c>
      <c r="H1625" s="15"/>
      <c r="I1625" s="25" t="s">
        <v>3252</v>
      </c>
      <c r="J1625" s="15"/>
      <c r="K1625" s="15"/>
      <c r="L1625" s="15"/>
      <c r="M1625" s="15"/>
      <c r="N1625" s="15"/>
      <c r="O1625" s="15"/>
      <c r="P1625" s="15"/>
      <c r="Q1625" s="15" t="b">
        <v>0</v>
      </c>
    </row>
    <row r="1626" spans="1:17" ht="15" hidden="1" customHeight="1">
      <c r="A1626" s="15">
        <v>5006</v>
      </c>
      <c r="B1626" s="15">
        <v>2418</v>
      </c>
      <c r="C1626" s="15">
        <v>5</v>
      </c>
      <c r="D1626" s="15">
        <v>316</v>
      </c>
      <c r="E1626" s="15" t="b">
        <v>1</v>
      </c>
      <c r="F1626" s="15" t="b">
        <v>1</v>
      </c>
      <c r="G1626" s="25" t="s">
        <v>3243</v>
      </c>
      <c r="H1626" s="15"/>
      <c r="I1626" s="25" t="s">
        <v>3253</v>
      </c>
      <c r="J1626" s="15"/>
      <c r="K1626" s="15"/>
      <c r="L1626" s="15" t="s">
        <v>3254</v>
      </c>
      <c r="M1626" s="15"/>
      <c r="N1626" s="15"/>
      <c r="O1626" s="15"/>
      <c r="P1626" s="15"/>
      <c r="Q1626" s="15" t="b">
        <v>0</v>
      </c>
    </row>
  </sheetData>
  <autoFilter ref="A1:Q1626" xr:uid="{D279DDAE-07D5-4FE1-A026-C50071540943}">
    <filterColumn colId="10">
      <filters>
        <filter val="101"/>
        <filter val="102"/>
        <filter val="103"/>
        <filter val="104"/>
        <filter val="105"/>
        <filter val="106"/>
        <filter val="107"/>
        <filter val="108"/>
        <filter val="109"/>
        <filter val="110"/>
        <filter val="111"/>
        <filter val="112"/>
        <filter val="113"/>
        <filter val="114"/>
        <filter val="115"/>
        <filter val="116"/>
        <filter val="117"/>
        <filter val="118"/>
        <filter val="119"/>
        <filter val="120"/>
        <filter val="122"/>
        <filter val="123"/>
        <filter val="130"/>
        <filter val="131"/>
        <filter val="132"/>
        <filter val="133"/>
        <filter val="201"/>
        <filter val="202"/>
        <filter val="203"/>
        <filter val="204"/>
        <filter val="22"/>
      </filters>
    </filterColumn>
  </autoFilter>
  <phoneticPr fontId="21" type="noConversion"/>
  <conditionalFormatting sqref="A1442">
    <cfRule type="duplicateValues" dxfId="3" priority="2"/>
  </conditionalFormatting>
  <conditionalFormatting sqref="A1444">
    <cfRule type="duplicateValues" dxfId="2"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05A56-24E0-49D7-A062-DE427D75782E}">
  <dimension ref="A1:J1654"/>
  <sheetViews>
    <sheetView workbookViewId="0">
      <pane ySplit="1" topLeftCell="A77" activePane="bottomLeft" state="frozen"/>
      <selection pane="bottomLeft" activeCell="A77" sqref="A77"/>
    </sheetView>
  </sheetViews>
  <sheetFormatPr defaultColWidth="8.85546875" defaultRowHeight="14.45"/>
  <cols>
    <col min="1" max="1" width="9.28515625" bestFit="1" customWidth="1"/>
    <col min="2" max="2" width="7.7109375" bestFit="1" customWidth="1"/>
    <col min="3" max="3" width="14.42578125" bestFit="1" customWidth="1"/>
    <col min="4" max="4" width="14.85546875" bestFit="1" customWidth="1"/>
    <col min="5" max="5" width="14.28515625" bestFit="1" customWidth="1"/>
    <col min="6" max="6" width="11.85546875" bestFit="1" customWidth="1"/>
    <col min="7" max="7" width="10.85546875" bestFit="1" customWidth="1"/>
    <col min="8" max="8" width="12.140625" customWidth="1"/>
    <col min="9" max="9" width="8.42578125" bestFit="1" customWidth="1"/>
    <col min="10" max="10" width="8.7109375" bestFit="1" customWidth="1"/>
  </cols>
  <sheetData>
    <row r="1" spans="1:10" s="1" customFormat="1">
      <c r="A1" s="1" t="s">
        <v>3255</v>
      </c>
      <c r="B1" s="1" t="s">
        <v>0</v>
      </c>
      <c r="C1" s="1" t="s">
        <v>3256</v>
      </c>
      <c r="D1" s="1" t="s">
        <v>3257</v>
      </c>
      <c r="E1" s="1" t="s">
        <v>3258</v>
      </c>
      <c r="F1" s="1" t="s">
        <v>3259</v>
      </c>
      <c r="G1" s="1" t="s">
        <v>3260</v>
      </c>
      <c r="H1" s="1" t="s">
        <v>3261</v>
      </c>
      <c r="I1" s="1" t="s">
        <v>3262</v>
      </c>
      <c r="J1" s="1" t="s">
        <v>3263</v>
      </c>
    </row>
    <row r="2" spans="1:10">
      <c r="A2">
        <v>0</v>
      </c>
      <c r="B2">
        <v>0</v>
      </c>
      <c r="C2" t="b">
        <v>1</v>
      </c>
      <c r="D2">
        <v>0</v>
      </c>
      <c r="E2" t="s">
        <v>3264</v>
      </c>
      <c r="F2">
        <v>0</v>
      </c>
      <c r="G2">
        <v>0</v>
      </c>
      <c r="H2" t="s">
        <v>3265</v>
      </c>
      <c r="I2">
        <v>0</v>
      </c>
      <c r="J2">
        <v>0</v>
      </c>
    </row>
    <row r="3" spans="1:10">
      <c r="A3" s="17">
        <v>10010</v>
      </c>
      <c r="B3" s="17">
        <v>1001</v>
      </c>
      <c r="C3" s="17" t="b">
        <v>1</v>
      </c>
      <c r="D3" s="17">
        <v>1</v>
      </c>
      <c r="E3" s="17" t="s">
        <v>3264</v>
      </c>
      <c r="F3" s="17">
        <v>52</v>
      </c>
      <c r="G3" s="17">
        <v>10</v>
      </c>
      <c r="H3" s="98"/>
      <c r="I3" s="98"/>
      <c r="J3" s="98"/>
    </row>
    <row r="4" spans="1:10">
      <c r="A4" s="17">
        <v>10030</v>
      </c>
      <c r="B4" s="17">
        <v>1002</v>
      </c>
      <c r="C4" s="17" t="b">
        <v>1</v>
      </c>
      <c r="D4" s="17">
        <v>1</v>
      </c>
      <c r="E4" s="17" t="s">
        <v>3264</v>
      </c>
      <c r="F4" s="17">
        <v>52</v>
      </c>
      <c r="G4" s="17">
        <v>10</v>
      </c>
      <c r="H4" s="98"/>
      <c r="I4" s="98"/>
      <c r="J4" s="98"/>
    </row>
    <row r="5" spans="1:10">
      <c r="A5" s="17">
        <v>10050</v>
      </c>
      <c r="B5" s="17">
        <v>1003</v>
      </c>
      <c r="C5" s="17" t="b">
        <v>1</v>
      </c>
      <c r="D5" s="17">
        <v>1</v>
      </c>
      <c r="E5" s="17" t="s">
        <v>3264</v>
      </c>
      <c r="F5" s="17">
        <v>52</v>
      </c>
      <c r="G5" s="17">
        <v>10</v>
      </c>
      <c r="H5" s="98"/>
      <c r="I5" s="98"/>
      <c r="J5" s="98"/>
    </row>
    <row r="6" spans="1:10">
      <c r="A6" s="17">
        <v>10060</v>
      </c>
      <c r="B6" s="17">
        <v>1004</v>
      </c>
      <c r="C6" s="17" t="b">
        <v>1</v>
      </c>
      <c r="D6" s="17">
        <v>1</v>
      </c>
      <c r="E6" s="17" t="s">
        <v>3264</v>
      </c>
      <c r="F6" s="17">
        <v>52</v>
      </c>
      <c r="G6" s="17">
        <v>10</v>
      </c>
      <c r="H6" s="98"/>
      <c r="I6" s="98"/>
      <c r="J6" s="98"/>
    </row>
    <row r="7" spans="1:10">
      <c r="A7" s="17">
        <v>10070</v>
      </c>
      <c r="B7" s="17">
        <v>1005</v>
      </c>
      <c r="C7" s="17" t="b">
        <v>1</v>
      </c>
      <c r="D7" s="17">
        <v>1</v>
      </c>
      <c r="E7" s="17" t="s">
        <v>3264</v>
      </c>
      <c r="F7" s="17">
        <v>52</v>
      </c>
      <c r="G7" s="17">
        <v>10</v>
      </c>
      <c r="H7" s="98"/>
      <c r="I7" s="98"/>
      <c r="J7" s="98"/>
    </row>
    <row r="8" spans="1:10">
      <c r="A8" s="17">
        <v>10080</v>
      </c>
      <c r="B8" s="17">
        <v>1006</v>
      </c>
      <c r="C8" s="17" t="b">
        <v>1</v>
      </c>
      <c r="D8" s="17">
        <v>1</v>
      </c>
      <c r="E8" s="17" t="s">
        <v>3264</v>
      </c>
      <c r="F8" s="17">
        <v>52</v>
      </c>
      <c r="G8" s="17">
        <v>10</v>
      </c>
      <c r="H8" s="98"/>
      <c r="I8" s="98"/>
      <c r="J8" s="98"/>
    </row>
    <row r="9" spans="1:10">
      <c r="A9" s="17">
        <v>10090</v>
      </c>
      <c r="B9" s="17">
        <v>1007</v>
      </c>
      <c r="C9" s="17" t="b">
        <v>1</v>
      </c>
      <c r="D9" s="17">
        <v>1</v>
      </c>
      <c r="E9" s="17" t="s">
        <v>3264</v>
      </c>
      <c r="F9" s="17">
        <v>52</v>
      </c>
      <c r="G9" s="17">
        <v>10</v>
      </c>
      <c r="H9" s="98"/>
      <c r="I9" s="98"/>
      <c r="J9" s="98"/>
    </row>
    <row r="10" spans="1:10">
      <c r="A10" s="17">
        <v>10100</v>
      </c>
      <c r="B10" s="17">
        <v>1008</v>
      </c>
      <c r="C10" s="17" t="b">
        <v>1</v>
      </c>
      <c r="D10" s="17">
        <v>1</v>
      </c>
      <c r="E10" s="17" t="s">
        <v>3264</v>
      </c>
      <c r="F10" s="17">
        <v>52</v>
      </c>
      <c r="G10" s="17">
        <v>10</v>
      </c>
      <c r="H10" s="98"/>
      <c r="I10" s="98"/>
      <c r="J10" s="98"/>
    </row>
    <row r="11" spans="1:10">
      <c r="A11" s="17">
        <v>10110</v>
      </c>
      <c r="B11" s="17">
        <v>1009</v>
      </c>
      <c r="C11" s="17" t="b">
        <v>1</v>
      </c>
      <c r="D11" s="17">
        <v>1</v>
      </c>
      <c r="E11" s="17" t="s">
        <v>3264</v>
      </c>
      <c r="F11" s="17">
        <v>52</v>
      </c>
      <c r="G11" s="17">
        <v>10</v>
      </c>
      <c r="H11" s="98"/>
      <c r="I11" s="98"/>
      <c r="J11" s="98"/>
    </row>
    <row r="12" spans="1:10">
      <c r="A12" s="17">
        <v>10120</v>
      </c>
      <c r="B12" s="17">
        <v>1010</v>
      </c>
      <c r="C12" s="17" t="b">
        <v>1</v>
      </c>
      <c r="D12" s="17">
        <v>1</v>
      </c>
      <c r="E12" s="17" t="s">
        <v>3264</v>
      </c>
      <c r="F12" s="17">
        <v>52</v>
      </c>
      <c r="G12" s="17">
        <v>10</v>
      </c>
      <c r="H12" s="98"/>
      <c r="I12" s="98"/>
      <c r="J12" s="98"/>
    </row>
    <row r="13" spans="1:10">
      <c r="A13" s="17">
        <v>10130</v>
      </c>
      <c r="B13" s="17">
        <v>1011</v>
      </c>
      <c r="C13" s="17" t="b">
        <v>1</v>
      </c>
      <c r="D13" s="17">
        <v>1</v>
      </c>
      <c r="E13" s="17" t="s">
        <v>3264</v>
      </c>
      <c r="F13" s="17">
        <v>52</v>
      </c>
      <c r="G13" s="17">
        <v>10</v>
      </c>
      <c r="H13" s="98"/>
      <c r="I13" s="98"/>
      <c r="J13" s="98"/>
    </row>
    <row r="14" spans="1:10">
      <c r="A14" s="17">
        <v>10140</v>
      </c>
      <c r="B14" s="17">
        <v>1012</v>
      </c>
      <c r="C14" s="17" t="b">
        <v>1</v>
      </c>
      <c r="D14" s="17">
        <v>1</v>
      </c>
      <c r="E14" s="17" t="s">
        <v>3264</v>
      </c>
      <c r="F14" s="17">
        <v>52</v>
      </c>
      <c r="G14" s="17">
        <v>10</v>
      </c>
      <c r="H14" s="98"/>
      <c r="I14" s="98"/>
      <c r="J14" s="98"/>
    </row>
    <row r="15" spans="1:10">
      <c r="A15" s="17">
        <v>10150</v>
      </c>
      <c r="B15" s="17">
        <v>1013</v>
      </c>
      <c r="C15" s="17" t="b">
        <v>1</v>
      </c>
      <c r="D15" s="17">
        <v>1</v>
      </c>
      <c r="E15" s="17" t="s">
        <v>3264</v>
      </c>
      <c r="F15" s="17">
        <v>52</v>
      </c>
      <c r="G15" s="17">
        <v>10</v>
      </c>
      <c r="H15" s="98"/>
      <c r="I15" s="98"/>
      <c r="J15" s="98"/>
    </row>
    <row r="16" spans="1:10">
      <c r="A16" s="17">
        <v>10160</v>
      </c>
      <c r="B16" s="17">
        <v>1014</v>
      </c>
      <c r="C16" s="17" t="b">
        <v>1</v>
      </c>
      <c r="D16" s="17">
        <v>1</v>
      </c>
      <c r="E16" s="17" t="s">
        <v>3264</v>
      </c>
      <c r="F16" s="17">
        <v>52</v>
      </c>
      <c r="G16" s="17">
        <v>10</v>
      </c>
      <c r="H16" s="98"/>
      <c r="I16" s="98"/>
      <c r="J16" s="98"/>
    </row>
    <row r="17" spans="1:10">
      <c r="A17" s="17">
        <v>10170</v>
      </c>
      <c r="B17" s="17">
        <v>1015</v>
      </c>
      <c r="C17" s="17" t="b">
        <v>1</v>
      </c>
      <c r="D17" s="17">
        <v>1</v>
      </c>
      <c r="E17" s="17" t="s">
        <v>3264</v>
      </c>
      <c r="F17" s="17">
        <v>52</v>
      </c>
      <c r="G17" s="17">
        <v>10</v>
      </c>
      <c r="H17" s="98"/>
      <c r="I17" s="98"/>
      <c r="J17" s="98"/>
    </row>
    <row r="18" spans="1:10">
      <c r="A18" s="17">
        <v>10180</v>
      </c>
      <c r="B18" s="17">
        <v>1016</v>
      </c>
      <c r="C18" s="17" t="b">
        <v>1</v>
      </c>
      <c r="D18" s="17">
        <v>1</v>
      </c>
      <c r="E18" s="17" t="s">
        <v>3264</v>
      </c>
      <c r="F18" s="17">
        <v>52</v>
      </c>
      <c r="G18" s="17">
        <v>10</v>
      </c>
      <c r="H18" s="98"/>
      <c r="I18" s="98"/>
      <c r="J18" s="98"/>
    </row>
    <row r="19" spans="1:10">
      <c r="A19" s="17">
        <v>10190</v>
      </c>
      <c r="B19" s="17">
        <v>1017</v>
      </c>
      <c r="C19" s="17" t="b">
        <v>1</v>
      </c>
      <c r="D19" s="17">
        <v>1</v>
      </c>
      <c r="E19" s="17" t="s">
        <v>3264</v>
      </c>
      <c r="F19" s="17">
        <v>52</v>
      </c>
      <c r="G19" s="17">
        <v>10</v>
      </c>
      <c r="H19" s="98"/>
      <c r="I19" s="98"/>
      <c r="J19" s="98"/>
    </row>
    <row r="20" spans="1:10">
      <c r="A20" s="17">
        <v>10200</v>
      </c>
      <c r="B20" s="17">
        <v>1018</v>
      </c>
      <c r="C20" s="17" t="b">
        <v>1</v>
      </c>
      <c r="D20" s="17">
        <v>1</v>
      </c>
      <c r="E20" s="17" t="s">
        <v>3264</v>
      </c>
      <c r="F20" s="17">
        <v>52</v>
      </c>
      <c r="G20" s="17">
        <v>10</v>
      </c>
      <c r="H20" s="98"/>
      <c r="I20" s="98"/>
      <c r="J20" s="98"/>
    </row>
    <row r="21" spans="1:10">
      <c r="A21" s="17">
        <v>10210</v>
      </c>
      <c r="B21" s="17">
        <v>1019</v>
      </c>
      <c r="C21" s="17" t="b">
        <v>1</v>
      </c>
      <c r="D21" s="17">
        <v>1</v>
      </c>
      <c r="E21" s="17" t="s">
        <v>3264</v>
      </c>
      <c r="F21" s="17">
        <v>52</v>
      </c>
      <c r="G21" s="17">
        <v>10</v>
      </c>
      <c r="H21" s="98"/>
      <c r="I21" s="98"/>
      <c r="J21" s="98"/>
    </row>
    <row r="22" spans="1:10">
      <c r="A22" s="17">
        <v>10220</v>
      </c>
      <c r="B22" s="17">
        <v>1020</v>
      </c>
      <c r="C22" s="17" t="b">
        <v>1</v>
      </c>
      <c r="D22" s="17">
        <v>1</v>
      </c>
      <c r="E22" s="17" t="s">
        <v>3264</v>
      </c>
      <c r="F22" s="17">
        <v>52</v>
      </c>
      <c r="G22" s="17">
        <v>10</v>
      </c>
      <c r="H22" s="98"/>
      <c r="I22" s="98"/>
      <c r="J22" s="98"/>
    </row>
    <row r="23" spans="1:10">
      <c r="A23" s="17">
        <v>10230</v>
      </c>
      <c r="B23" s="17">
        <v>1021</v>
      </c>
      <c r="C23" s="17" t="b">
        <v>1</v>
      </c>
      <c r="D23" s="17">
        <v>1</v>
      </c>
      <c r="E23" s="17" t="s">
        <v>3264</v>
      </c>
      <c r="F23" s="17">
        <v>52</v>
      </c>
      <c r="G23" s="17">
        <v>10</v>
      </c>
      <c r="H23" s="98"/>
      <c r="I23" s="98"/>
      <c r="J23" s="98"/>
    </row>
    <row r="24" spans="1:10">
      <c r="A24" s="17">
        <v>10240</v>
      </c>
      <c r="B24" s="17">
        <v>1022</v>
      </c>
      <c r="C24" s="17" t="b">
        <v>1</v>
      </c>
      <c r="D24" s="17">
        <v>1</v>
      </c>
      <c r="E24" s="17" t="s">
        <v>3264</v>
      </c>
      <c r="F24" s="17">
        <v>52</v>
      </c>
      <c r="G24" s="17">
        <v>10</v>
      </c>
      <c r="H24" s="98"/>
      <c r="I24" s="98"/>
      <c r="J24" s="98"/>
    </row>
    <row r="25" spans="1:10">
      <c r="A25" s="17">
        <v>10250</v>
      </c>
      <c r="B25" s="17">
        <v>1023</v>
      </c>
      <c r="C25" s="17" t="b">
        <v>1</v>
      </c>
      <c r="D25" s="17">
        <v>1</v>
      </c>
      <c r="E25" s="17" t="s">
        <v>3264</v>
      </c>
      <c r="F25" s="17">
        <v>52</v>
      </c>
      <c r="G25" s="17">
        <v>10</v>
      </c>
      <c r="H25" s="98"/>
      <c r="I25" s="98"/>
      <c r="J25" s="98"/>
    </row>
    <row r="26" spans="1:10">
      <c r="A26" s="17">
        <v>10260</v>
      </c>
      <c r="B26" s="17">
        <v>1024</v>
      </c>
      <c r="C26" s="17" t="b">
        <v>1</v>
      </c>
      <c r="D26" s="17">
        <v>1</v>
      </c>
      <c r="E26" s="17" t="s">
        <v>3264</v>
      </c>
      <c r="F26" s="17">
        <v>52</v>
      </c>
      <c r="G26" s="17">
        <v>10</v>
      </c>
      <c r="H26" s="98"/>
      <c r="I26" s="98"/>
      <c r="J26" s="98"/>
    </row>
    <row r="27" spans="1:10">
      <c r="A27" s="17">
        <v>10270</v>
      </c>
      <c r="B27" s="17">
        <v>1025</v>
      </c>
      <c r="C27" s="17" t="b">
        <v>1</v>
      </c>
      <c r="D27" s="17">
        <v>1</v>
      </c>
      <c r="E27" s="17" t="s">
        <v>3264</v>
      </c>
      <c r="F27" s="17">
        <v>52</v>
      </c>
      <c r="G27" s="17">
        <v>10</v>
      </c>
      <c r="H27" s="98"/>
      <c r="I27" s="98"/>
      <c r="J27" s="98"/>
    </row>
    <row r="28" spans="1:10">
      <c r="A28" s="17">
        <v>10280</v>
      </c>
      <c r="B28" s="17">
        <v>1026</v>
      </c>
      <c r="C28" s="17" t="b">
        <v>1</v>
      </c>
      <c r="D28" s="17">
        <v>1</v>
      </c>
      <c r="E28" s="17" t="s">
        <v>3264</v>
      </c>
      <c r="F28" s="17">
        <v>52</v>
      </c>
      <c r="G28" s="17">
        <v>10</v>
      </c>
      <c r="H28" s="98"/>
      <c r="I28" s="98"/>
      <c r="J28" s="98"/>
    </row>
    <row r="29" spans="1:10">
      <c r="A29" s="17">
        <v>10290</v>
      </c>
      <c r="B29" s="17">
        <v>1027</v>
      </c>
      <c r="C29" s="17" t="b">
        <v>1</v>
      </c>
      <c r="D29" s="17">
        <v>1</v>
      </c>
      <c r="E29" s="17" t="s">
        <v>3264</v>
      </c>
      <c r="F29" s="17">
        <v>52</v>
      </c>
      <c r="G29" s="17">
        <v>10</v>
      </c>
      <c r="H29" s="98"/>
      <c r="I29" s="98"/>
      <c r="J29" s="98"/>
    </row>
    <row r="30" spans="1:10">
      <c r="A30" s="17">
        <v>10300</v>
      </c>
      <c r="B30" s="17">
        <v>1028</v>
      </c>
      <c r="C30" s="17" t="b">
        <v>1</v>
      </c>
      <c r="D30" s="17">
        <v>1</v>
      </c>
      <c r="E30" s="17" t="s">
        <v>3264</v>
      </c>
      <c r="F30" s="17">
        <v>52</v>
      </c>
      <c r="G30" s="17">
        <v>10</v>
      </c>
      <c r="H30" s="98"/>
      <c r="I30" s="98"/>
      <c r="J30" s="98"/>
    </row>
    <row r="31" spans="1:10">
      <c r="A31" s="17">
        <v>10310</v>
      </c>
      <c r="B31" s="17">
        <v>1029</v>
      </c>
      <c r="C31" s="17" t="b">
        <v>1</v>
      </c>
      <c r="D31" s="17">
        <v>1</v>
      </c>
      <c r="E31" s="17" t="s">
        <v>3264</v>
      </c>
      <c r="F31" s="17">
        <v>52</v>
      </c>
      <c r="G31" s="17">
        <v>10</v>
      </c>
      <c r="H31" s="98"/>
      <c r="I31" s="98"/>
      <c r="J31" s="98"/>
    </row>
    <row r="32" spans="1:10">
      <c r="A32" s="17">
        <v>10320</v>
      </c>
      <c r="B32" s="17">
        <v>1030</v>
      </c>
      <c r="C32" s="17" t="b">
        <v>1</v>
      </c>
      <c r="D32" s="17">
        <v>1</v>
      </c>
      <c r="E32" s="17" t="s">
        <v>3264</v>
      </c>
      <c r="F32" s="17">
        <v>52</v>
      </c>
      <c r="G32" s="17">
        <v>10</v>
      </c>
      <c r="H32" s="98"/>
      <c r="I32" s="98"/>
      <c r="J32" s="98"/>
    </row>
    <row r="33" spans="1:10">
      <c r="A33" s="17">
        <v>10330</v>
      </c>
      <c r="B33" s="17">
        <v>1031</v>
      </c>
      <c r="C33" s="17" t="b">
        <v>1</v>
      </c>
      <c r="D33" s="17">
        <v>1</v>
      </c>
      <c r="E33" s="17" t="s">
        <v>3264</v>
      </c>
      <c r="F33" s="17">
        <v>52</v>
      </c>
      <c r="G33" s="17">
        <v>10</v>
      </c>
      <c r="H33" s="98"/>
      <c r="I33" s="98"/>
      <c r="J33" s="98"/>
    </row>
    <row r="34" spans="1:10">
      <c r="A34" s="17">
        <v>10340</v>
      </c>
      <c r="B34" s="17">
        <v>1032</v>
      </c>
      <c r="C34" s="17" t="b">
        <v>1</v>
      </c>
      <c r="D34" s="17">
        <v>1</v>
      </c>
      <c r="E34" s="17" t="s">
        <v>3264</v>
      </c>
      <c r="F34" s="17">
        <v>52</v>
      </c>
      <c r="G34" s="17">
        <v>10</v>
      </c>
      <c r="H34" s="98"/>
      <c r="I34" s="98"/>
      <c r="J34" s="98"/>
    </row>
    <row r="35" spans="1:10">
      <c r="A35" s="17">
        <v>10350</v>
      </c>
      <c r="B35" s="17">
        <v>1033</v>
      </c>
      <c r="C35" s="17" t="b">
        <v>1</v>
      </c>
      <c r="D35" s="17">
        <v>1</v>
      </c>
      <c r="E35" s="17" t="s">
        <v>3264</v>
      </c>
      <c r="F35" s="17">
        <v>52</v>
      </c>
      <c r="G35" s="17">
        <v>10</v>
      </c>
      <c r="H35" s="98"/>
      <c r="I35" s="98"/>
      <c r="J35" s="98"/>
    </row>
    <row r="36" spans="1:10">
      <c r="A36" s="17">
        <v>10360</v>
      </c>
      <c r="B36" s="17">
        <v>1034</v>
      </c>
      <c r="C36" s="17" t="b">
        <v>1</v>
      </c>
      <c r="D36" s="17">
        <v>1</v>
      </c>
      <c r="E36" s="17" t="s">
        <v>3264</v>
      </c>
      <c r="F36" s="17">
        <v>52</v>
      </c>
      <c r="G36" s="17">
        <v>10</v>
      </c>
      <c r="H36" s="98"/>
      <c r="I36" s="98"/>
      <c r="J36" s="98"/>
    </row>
    <row r="37" spans="1:10">
      <c r="A37" s="17">
        <v>10370</v>
      </c>
      <c r="B37" s="17">
        <v>1035</v>
      </c>
      <c r="C37" s="17" t="b">
        <v>1</v>
      </c>
      <c r="D37" s="17">
        <v>1</v>
      </c>
      <c r="E37" s="17" t="s">
        <v>3264</v>
      </c>
      <c r="F37" s="17">
        <v>52</v>
      </c>
      <c r="G37" s="17">
        <v>10</v>
      </c>
      <c r="H37" s="98"/>
      <c r="I37" s="98"/>
      <c r="J37" s="98"/>
    </row>
    <row r="38" spans="1:10">
      <c r="A38" s="17">
        <v>10380</v>
      </c>
      <c r="B38" s="17">
        <v>1036</v>
      </c>
      <c r="C38" s="17" t="b">
        <v>1</v>
      </c>
      <c r="D38" s="17">
        <v>1</v>
      </c>
      <c r="E38" s="17" t="s">
        <v>3264</v>
      </c>
      <c r="F38" s="17">
        <v>52</v>
      </c>
      <c r="G38" s="17">
        <v>10</v>
      </c>
      <c r="H38" s="98"/>
      <c r="I38" s="98"/>
      <c r="J38" s="98"/>
    </row>
    <row r="39" spans="1:10">
      <c r="A39" s="17">
        <v>10390</v>
      </c>
      <c r="B39" s="17">
        <v>1037</v>
      </c>
      <c r="C39" s="17" t="b">
        <v>1</v>
      </c>
      <c r="D39" s="17">
        <v>1</v>
      </c>
      <c r="E39" s="17" t="s">
        <v>3264</v>
      </c>
      <c r="F39" s="17">
        <v>52</v>
      </c>
      <c r="G39" s="17">
        <v>10</v>
      </c>
      <c r="H39" s="98"/>
      <c r="I39" s="98"/>
      <c r="J39" s="98"/>
    </row>
    <row r="40" spans="1:10">
      <c r="A40" s="17">
        <v>10400</v>
      </c>
      <c r="B40" s="17">
        <v>1038</v>
      </c>
      <c r="C40" s="17" t="b">
        <v>1</v>
      </c>
      <c r="D40" s="17">
        <v>1</v>
      </c>
      <c r="E40" s="17" t="s">
        <v>3264</v>
      </c>
      <c r="F40" s="17">
        <v>52</v>
      </c>
      <c r="G40" s="17">
        <v>10</v>
      </c>
      <c r="H40" s="98"/>
      <c r="I40" s="98"/>
      <c r="J40" s="98"/>
    </row>
    <row r="41" spans="1:10">
      <c r="A41" s="17">
        <v>10410</v>
      </c>
      <c r="B41" s="17">
        <v>1039</v>
      </c>
      <c r="C41" s="17" t="b">
        <v>1</v>
      </c>
      <c r="D41" s="17">
        <v>1</v>
      </c>
      <c r="E41" s="17" t="s">
        <v>3264</v>
      </c>
      <c r="F41" s="17">
        <v>52</v>
      </c>
      <c r="G41" s="17">
        <v>10</v>
      </c>
      <c r="H41" s="98"/>
      <c r="I41" s="98"/>
      <c r="J41" s="98"/>
    </row>
    <row r="42" spans="1:10">
      <c r="A42" s="17">
        <v>10420</v>
      </c>
      <c r="B42" s="17">
        <v>1040</v>
      </c>
      <c r="C42" s="17" t="b">
        <v>1</v>
      </c>
      <c r="D42" s="17">
        <v>1</v>
      </c>
      <c r="E42" s="17" t="s">
        <v>3264</v>
      </c>
      <c r="F42" s="17">
        <v>52</v>
      </c>
      <c r="G42" s="17">
        <v>10</v>
      </c>
      <c r="H42" s="98"/>
      <c r="I42" s="98"/>
      <c r="J42" s="98"/>
    </row>
    <row r="43" spans="1:10">
      <c r="A43" s="17">
        <v>10430</v>
      </c>
      <c r="B43" s="17">
        <v>1041</v>
      </c>
      <c r="C43" s="17" t="b">
        <v>1</v>
      </c>
      <c r="D43" s="17">
        <v>1</v>
      </c>
      <c r="E43" s="17" t="s">
        <v>3264</v>
      </c>
      <c r="F43" s="17">
        <v>52</v>
      </c>
      <c r="G43" s="17">
        <v>10</v>
      </c>
      <c r="H43" s="98"/>
      <c r="I43" s="98"/>
      <c r="J43" s="98"/>
    </row>
    <row r="44" spans="1:10">
      <c r="A44" s="17">
        <v>10440</v>
      </c>
      <c r="B44" s="17">
        <v>1042</v>
      </c>
      <c r="C44" s="17" t="b">
        <v>1</v>
      </c>
      <c r="D44" s="17">
        <v>1</v>
      </c>
      <c r="E44" s="17" t="s">
        <v>3264</v>
      </c>
      <c r="F44" s="17">
        <v>52</v>
      </c>
      <c r="G44" s="17">
        <v>10</v>
      </c>
      <c r="H44" s="98"/>
      <c r="I44" s="98"/>
      <c r="J44" s="98"/>
    </row>
    <row r="45" spans="1:10">
      <c r="A45" s="17">
        <v>10450</v>
      </c>
      <c r="B45" s="17">
        <v>1043</v>
      </c>
      <c r="C45" s="17" t="b">
        <v>1</v>
      </c>
      <c r="D45" s="17">
        <v>1</v>
      </c>
      <c r="E45" s="17" t="s">
        <v>3264</v>
      </c>
      <c r="F45" s="17">
        <v>52</v>
      </c>
      <c r="G45" s="17">
        <v>10</v>
      </c>
      <c r="H45" s="98"/>
      <c r="I45" s="98"/>
      <c r="J45" s="98"/>
    </row>
    <row r="46" spans="1:10">
      <c r="A46" s="17">
        <v>10460</v>
      </c>
      <c r="B46" s="17">
        <v>1044</v>
      </c>
      <c r="C46" s="17" t="b">
        <v>1</v>
      </c>
      <c r="D46" s="17">
        <v>1</v>
      </c>
      <c r="E46" s="17" t="s">
        <v>3264</v>
      </c>
      <c r="F46" s="17">
        <v>52</v>
      </c>
      <c r="G46" s="17">
        <v>10</v>
      </c>
      <c r="H46" s="98"/>
      <c r="I46" s="98"/>
      <c r="J46" s="98"/>
    </row>
    <row r="47" spans="1:10">
      <c r="A47" s="17">
        <v>10470</v>
      </c>
      <c r="B47" s="17">
        <v>1045</v>
      </c>
      <c r="C47" s="17" t="b">
        <v>1</v>
      </c>
      <c r="D47" s="17">
        <v>1</v>
      </c>
      <c r="E47" s="17" t="s">
        <v>3264</v>
      </c>
      <c r="F47" s="17">
        <v>52</v>
      </c>
      <c r="G47" s="17">
        <v>10</v>
      </c>
      <c r="H47" s="98"/>
      <c r="I47" s="98"/>
      <c r="J47" s="98"/>
    </row>
    <row r="48" spans="1:10">
      <c r="A48" s="17">
        <v>10480</v>
      </c>
      <c r="B48" s="17">
        <v>1046</v>
      </c>
      <c r="C48" s="17" t="b">
        <v>1</v>
      </c>
      <c r="D48" s="17">
        <v>1</v>
      </c>
      <c r="E48" s="17" t="s">
        <v>3264</v>
      </c>
      <c r="F48" s="17">
        <v>52</v>
      </c>
      <c r="G48" s="17">
        <v>10</v>
      </c>
      <c r="H48" s="98"/>
      <c r="I48" s="98"/>
      <c r="J48" s="98"/>
    </row>
    <row r="49" spans="1:10">
      <c r="A49" s="17">
        <v>10490</v>
      </c>
      <c r="B49" s="17">
        <v>1047</v>
      </c>
      <c r="C49" s="17" t="b">
        <v>1</v>
      </c>
      <c r="D49" s="17">
        <v>1</v>
      </c>
      <c r="E49" s="17" t="s">
        <v>3264</v>
      </c>
      <c r="F49" s="17">
        <v>52</v>
      </c>
      <c r="G49" s="17">
        <v>10</v>
      </c>
      <c r="H49" s="98"/>
      <c r="I49" s="98"/>
      <c r="J49" s="98"/>
    </row>
    <row r="50" spans="1:10">
      <c r="A50" s="17">
        <v>10500</v>
      </c>
      <c r="B50" s="17">
        <v>1048</v>
      </c>
      <c r="C50" s="17" t="b">
        <v>1</v>
      </c>
      <c r="D50" s="17">
        <v>1</v>
      </c>
      <c r="E50" s="17" t="s">
        <v>3264</v>
      </c>
      <c r="F50" s="17">
        <v>52</v>
      </c>
      <c r="G50" s="17">
        <v>10</v>
      </c>
      <c r="H50" s="98"/>
      <c r="I50" s="98"/>
      <c r="J50" s="98"/>
    </row>
    <row r="51" spans="1:10">
      <c r="A51" s="17">
        <v>10510</v>
      </c>
      <c r="B51" s="17">
        <v>1049</v>
      </c>
      <c r="C51" s="17" t="b">
        <v>1</v>
      </c>
      <c r="D51" s="17">
        <v>1</v>
      </c>
      <c r="E51" s="17" t="s">
        <v>3264</v>
      </c>
      <c r="F51" s="17">
        <v>52</v>
      </c>
      <c r="G51" s="17">
        <v>10</v>
      </c>
      <c r="H51" s="98"/>
      <c r="I51" s="98"/>
      <c r="J51" s="98"/>
    </row>
    <row r="52" spans="1:10">
      <c r="A52" s="17">
        <v>10520</v>
      </c>
      <c r="B52" s="17">
        <v>1050</v>
      </c>
      <c r="C52" s="17" t="b">
        <v>1</v>
      </c>
      <c r="D52" s="17">
        <v>1</v>
      </c>
      <c r="E52" s="17" t="s">
        <v>3264</v>
      </c>
      <c r="F52" s="17">
        <v>52</v>
      </c>
      <c r="G52" s="17">
        <v>10</v>
      </c>
      <c r="H52" s="98"/>
      <c r="I52" s="98"/>
      <c r="J52" s="98"/>
    </row>
    <row r="53" spans="1:10">
      <c r="A53" s="17">
        <v>10530</v>
      </c>
      <c r="B53" s="17">
        <v>1051</v>
      </c>
      <c r="C53" s="17" t="b">
        <v>1</v>
      </c>
      <c r="D53" s="17">
        <v>1</v>
      </c>
      <c r="E53" s="17" t="s">
        <v>3264</v>
      </c>
      <c r="F53" s="17">
        <v>52</v>
      </c>
      <c r="G53" s="17">
        <v>10</v>
      </c>
      <c r="H53" s="98"/>
      <c r="I53" s="98"/>
      <c r="J53" s="98"/>
    </row>
    <row r="54" spans="1:10">
      <c r="A54" s="17">
        <v>10540</v>
      </c>
      <c r="B54" s="17">
        <v>1052</v>
      </c>
      <c r="C54" s="17" t="b">
        <v>1</v>
      </c>
      <c r="D54" s="17">
        <v>1</v>
      </c>
      <c r="E54" s="17" t="s">
        <v>3264</v>
      </c>
      <c r="F54" s="17">
        <v>52</v>
      </c>
      <c r="G54" s="17">
        <v>10</v>
      </c>
      <c r="H54" s="98"/>
      <c r="I54" s="98"/>
      <c r="J54" s="98"/>
    </row>
    <row r="55" spans="1:10">
      <c r="A55" s="17">
        <v>10550</v>
      </c>
      <c r="B55" s="17">
        <v>1053</v>
      </c>
      <c r="C55" s="17" t="b">
        <v>1</v>
      </c>
      <c r="D55" s="17">
        <v>1</v>
      </c>
      <c r="E55" s="17" t="s">
        <v>3264</v>
      </c>
      <c r="F55" s="17">
        <v>52</v>
      </c>
      <c r="G55" s="17">
        <v>10</v>
      </c>
      <c r="H55" s="98"/>
      <c r="I55" s="98"/>
      <c r="J55" s="98"/>
    </row>
    <row r="56" spans="1:10">
      <c r="A56" s="17">
        <v>10560</v>
      </c>
      <c r="B56" s="17">
        <v>1054</v>
      </c>
      <c r="C56" s="17" t="b">
        <v>1</v>
      </c>
      <c r="D56" s="17">
        <v>1</v>
      </c>
      <c r="E56" s="17" t="s">
        <v>3264</v>
      </c>
      <c r="F56" s="17">
        <v>52</v>
      </c>
      <c r="G56" s="17">
        <v>10</v>
      </c>
      <c r="H56" s="98"/>
      <c r="I56" s="98"/>
      <c r="J56" s="98"/>
    </row>
    <row r="57" spans="1:10">
      <c r="A57" s="17">
        <v>10570</v>
      </c>
      <c r="B57" s="17">
        <v>1055</v>
      </c>
      <c r="C57" s="17" t="b">
        <v>1</v>
      </c>
      <c r="D57" s="17">
        <v>1</v>
      </c>
      <c r="E57" s="17" t="s">
        <v>3264</v>
      </c>
      <c r="F57" s="17">
        <v>52</v>
      </c>
      <c r="G57" s="17">
        <v>10</v>
      </c>
      <c r="H57" s="98"/>
      <c r="I57" s="98"/>
      <c r="J57" s="98"/>
    </row>
    <row r="58" spans="1:10">
      <c r="A58" s="17">
        <v>10580</v>
      </c>
      <c r="B58" s="17">
        <v>1056</v>
      </c>
      <c r="C58" s="17" t="b">
        <v>1</v>
      </c>
      <c r="D58" s="17">
        <v>1</v>
      </c>
      <c r="E58" s="17" t="s">
        <v>3264</v>
      </c>
      <c r="F58" s="17">
        <v>52</v>
      </c>
      <c r="G58" s="17">
        <v>10</v>
      </c>
      <c r="H58" s="98"/>
      <c r="I58" s="98"/>
      <c r="J58" s="98"/>
    </row>
    <row r="59" spans="1:10">
      <c r="A59" s="17">
        <v>10590</v>
      </c>
      <c r="B59" s="17">
        <v>1057</v>
      </c>
      <c r="C59" s="17" t="b">
        <v>1</v>
      </c>
      <c r="D59" s="17">
        <v>1</v>
      </c>
      <c r="E59" s="17" t="s">
        <v>3264</v>
      </c>
      <c r="F59" s="17">
        <v>52</v>
      </c>
      <c r="G59" s="17">
        <v>10</v>
      </c>
      <c r="H59" s="98"/>
      <c r="I59" s="98"/>
      <c r="J59" s="98"/>
    </row>
    <row r="60" spans="1:10">
      <c r="A60" s="17">
        <v>10600</v>
      </c>
      <c r="B60" s="17">
        <v>1058</v>
      </c>
      <c r="C60" s="17" t="b">
        <v>1</v>
      </c>
      <c r="D60" s="17">
        <v>1</v>
      </c>
      <c r="E60" s="17" t="s">
        <v>3264</v>
      </c>
      <c r="F60" s="17">
        <v>52</v>
      </c>
      <c r="G60" s="17">
        <v>10</v>
      </c>
      <c r="H60" s="98"/>
      <c r="I60" s="98"/>
      <c r="J60" s="98"/>
    </row>
    <row r="61" spans="1:10">
      <c r="A61" s="17">
        <v>10610</v>
      </c>
      <c r="B61" s="17">
        <v>1059</v>
      </c>
      <c r="C61" s="17" t="b">
        <v>1</v>
      </c>
      <c r="D61" s="17">
        <v>1</v>
      </c>
      <c r="E61" s="17" t="s">
        <v>3264</v>
      </c>
      <c r="F61" s="17">
        <v>52</v>
      </c>
      <c r="G61" s="17">
        <v>10</v>
      </c>
      <c r="H61" s="98"/>
      <c r="I61" s="98"/>
      <c r="J61" s="98"/>
    </row>
    <row r="62" spans="1:10">
      <c r="A62" s="17">
        <v>10620</v>
      </c>
      <c r="B62" s="17">
        <v>1060</v>
      </c>
      <c r="C62" s="17" t="b">
        <v>1</v>
      </c>
      <c r="D62" s="17">
        <v>1</v>
      </c>
      <c r="E62" s="17" t="s">
        <v>3264</v>
      </c>
      <c r="F62" s="17">
        <v>52</v>
      </c>
      <c r="G62" s="17">
        <v>10</v>
      </c>
      <c r="H62" s="98"/>
      <c r="I62" s="98"/>
      <c r="J62" s="98"/>
    </row>
    <row r="63" spans="1:10">
      <c r="A63" s="17">
        <v>10630</v>
      </c>
      <c r="B63" s="17">
        <v>1061</v>
      </c>
      <c r="C63" s="17" t="b">
        <v>1</v>
      </c>
      <c r="D63" s="17">
        <v>1</v>
      </c>
      <c r="E63" s="17" t="s">
        <v>3264</v>
      </c>
      <c r="F63" s="17">
        <v>52</v>
      </c>
      <c r="G63" s="17">
        <v>10</v>
      </c>
      <c r="H63" s="98"/>
      <c r="I63" s="98"/>
      <c r="J63" s="98"/>
    </row>
    <row r="64" spans="1:10">
      <c r="A64" s="17">
        <v>10640</v>
      </c>
      <c r="B64" s="17">
        <v>1062</v>
      </c>
      <c r="C64" s="17" t="b">
        <v>1</v>
      </c>
      <c r="D64" s="17">
        <v>1</v>
      </c>
      <c r="E64" s="17" t="s">
        <v>3264</v>
      </c>
      <c r="F64" s="17">
        <v>52</v>
      </c>
      <c r="G64" s="17">
        <v>10</v>
      </c>
      <c r="H64" s="98"/>
      <c r="I64" s="98"/>
      <c r="J64" s="98"/>
    </row>
    <row r="65" spans="1:10">
      <c r="A65" s="17">
        <v>10650</v>
      </c>
      <c r="B65" s="17">
        <v>1063</v>
      </c>
      <c r="C65" s="17" t="b">
        <v>1</v>
      </c>
      <c r="D65" s="17">
        <v>1</v>
      </c>
      <c r="E65" s="17" t="s">
        <v>3264</v>
      </c>
      <c r="F65" s="17">
        <v>52</v>
      </c>
      <c r="G65" s="17">
        <v>10</v>
      </c>
      <c r="H65" s="98"/>
      <c r="I65" s="98"/>
      <c r="J65" s="98"/>
    </row>
    <row r="66" spans="1:10">
      <c r="A66" s="17">
        <v>10660</v>
      </c>
      <c r="B66" s="17">
        <v>1064</v>
      </c>
      <c r="C66" s="17" t="b">
        <v>1</v>
      </c>
      <c r="D66" s="17">
        <v>1</v>
      </c>
      <c r="E66" s="17" t="s">
        <v>3264</v>
      </c>
      <c r="F66" s="17">
        <v>52</v>
      </c>
      <c r="G66" s="17">
        <v>10</v>
      </c>
      <c r="H66" s="98"/>
      <c r="I66" s="98"/>
      <c r="J66" s="98"/>
    </row>
    <row r="67" spans="1:10">
      <c r="A67" s="17">
        <v>10670</v>
      </c>
      <c r="B67" s="17">
        <v>1065</v>
      </c>
      <c r="C67" s="17" t="b">
        <v>1</v>
      </c>
      <c r="D67" s="17">
        <v>1</v>
      </c>
      <c r="E67" s="17" t="s">
        <v>3264</v>
      </c>
      <c r="F67" s="17">
        <v>52</v>
      </c>
      <c r="G67" s="17">
        <v>10</v>
      </c>
      <c r="H67" s="98"/>
      <c r="I67" s="98"/>
      <c r="J67" s="98"/>
    </row>
    <row r="68" spans="1:10">
      <c r="A68" s="17">
        <v>10680</v>
      </c>
      <c r="B68" s="17">
        <v>1066</v>
      </c>
      <c r="C68" s="17" t="b">
        <v>1</v>
      </c>
      <c r="D68" s="17">
        <v>1</v>
      </c>
      <c r="E68" s="17" t="s">
        <v>3264</v>
      </c>
      <c r="F68" s="17">
        <v>52</v>
      </c>
      <c r="G68" s="17">
        <v>10</v>
      </c>
      <c r="H68" s="98"/>
      <c r="I68" s="98"/>
      <c r="J68" s="98"/>
    </row>
    <row r="69" spans="1:10">
      <c r="A69" s="17">
        <v>10690</v>
      </c>
      <c r="B69" s="17">
        <v>1067</v>
      </c>
      <c r="C69" s="17" t="b">
        <v>1</v>
      </c>
      <c r="D69" s="17">
        <v>1</v>
      </c>
      <c r="E69" s="17" t="s">
        <v>3264</v>
      </c>
      <c r="F69" s="17">
        <v>52</v>
      </c>
      <c r="G69" s="17">
        <v>10</v>
      </c>
      <c r="H69" s="98"/>
      <c r="I69" s="98"/>
      <c r="J69" s="98"/>
    </row>
    <row r="70" spans="1:10">
      <c r="A70" s="17">
        <v>10700</v>
      </c>
      <c r="B70" s="17">
        <v>1068</v>
      </c>
      <c r="C70" s="17" t="b">
        <v>1</v>
      </c>
      <c r="D70" s="17">
        <v>1</v>
      </c>
      <c r="E70" s="17" t="s">
        <v>3264</v>
      </c>
      <c r="F70" s="17">
        <v>52</v>
      </c>
      <c r="G70" s="17">
        <v>10</v>
      </c>
      <c r="H70" s="98"/>
      <c r="I70" s="98"/>
      <c r="J70" s="98"/>
    </row>
    <row r="71" spans="1:10">
      <c r="A71" s="17">
        <v>10710</v>
      </c>
      <c r="B71" s="17">
        <v>1069</v>
      </c>
      <c r="C71" s="17" t="b">
        <v>1</v>
      </c>
      <c r="D71" s="17">
        <v>1</v>
      </c>
      <c r="E71" s="17" t="s">
        <v>3264</v>
      </c>
      <c r="F71" s="17">
        <v>52</v>
      </c>
      <c r="G71" s="17">
        <v>10</v>
      </c>
      <c r="H71" s="98"/>
      <c r="I71" s="98"/>
      <c r="J71" s="98"/>
    </row>
    <row r="72" spans="1:10">
      <c r="A72" s="17">
        <v>10720</v>
      </c>
      <c r="B72" s="17">
        <v>1070</v>
      </c>
      <c r="C72" s="17" t="b">
        <v>1</v>
      </c>
      <c r="D72" s="17">
        <v>1</v>
      </c>
      <c r="E72" s="17" t="s">
        <v>3264</v>
      </c>
      <c r="F72" s="17">
        <v>52</v>
      </c>
      <c r="G72" s="17">
        <v>10</v>
      </c>
      <c r="H72" s="98"/>
      <c r="I72" s="98"/>
      <c r="J72" s="98"/>
    </row>
    <row r="73" spans="1:10">
      <c r="A73" s="17">
        <v>10730</v>
      </c>
      <c r="B73" s="17">
        <v>1071</v>
      </c>
      <c r="C73" s="17" t="b">
        <v>1</v>
      </c>
      <c r="D73" s="17">
        <v>1</v>
      </c>
      <c r="E73" s="17" t="s">
        <v>3264</v>
      </c>
      <c r="F73" s="17">
        <v>52</v>
      </c>
      <c r="G73" s="17">
        <v>10</v>
      </c>
      <c r="H73" s="98"/>
      <c r="I73" s="98"/>
      <c r="J73" s="98"/>
    </row>
    <row r="74" spans="1:10">
      <c r="A74" s="17">
        <v>10740</v>
      </c>
      <c r="B74" s="17">
        <v>1072</v>
      </c>
      <c r="C74" s="17" t="b">
        <v>1</v>
      </c>
      <c r="D74" s="17">
        <v>1</v>
      </c>
      <c r="E74" s="17" t="s">
        <v>3264</v>
      </c>
      <c r="F74" s="17">
        <v>52</v>
      </c>
      <c r="G74" s="17">
        <v>10</v>
      </c>
      <c r="H74" s="98"/>
      <c r="I74" s="98"/>
      <c r="J74" s="98"/>
    </row>
    <row r="75" spans="1:10">
      <c r="A75" s="17">
        <v>10750</v>
      </c>
      <c r="B75" s="17">
        <v>1073</v>
      </c>
      <c r="C75" s="17" t="b">
        <v>1</v>
      </c>
      <c r="D75" s="17">
        <v>1</v>
      </c>
      <c r="E75" s="17" t="s">
        <v>3264</v>
      </c>
      <c r="F75" s="17">
        <v>52</v>
      </c>
      <c r="G75" s="17">
        <v>10</v>
      </c>
      <c r="H75" s="98"/>
      <c r="I75" s="98"/>
      <c r="J75" s="98"/>
    </row>
    <row r="76" spans="1:10">
      <c r="A76" s="17">
        <v>10760</v>
      </c>
      <c r="B76" s="17">
        <v>1074</v>
      </c>
      <c r="C76" s="17" t="b">
        <v>1</v>
      </c>
      <c r="D76" s="17">
        <v>1</v>
      </c>
      <c r="E76" s="17" t="s">
        <v>3264</v>
      </c>
      <c r="F76" s="17">
        <v>52</v>
      </c>
      <c r="G76" s="17">
        <v>10</v>
      </c>
      <c r="H76" s="98"/>
      <c r="I76" s="98"/>
      <c r="J76" s="98"/>
    </row>
    <row r="77" spans="1:10">
      <c r="A77" s="17">
        <v>10770</v>
      </c>
      <c r="B77" s="17">
        <v>1075</v>
      </c>
      <c r="C77" s="17" t="b">
        <v>1</v>
      </c>
      <c r="D77" s="17">
        <v>1</v>
      </c>
      <c r="E77" s="17" t="s">
        <v>3264</v>
      </c>
      <c r="F77" s="17">
        <v>52</v>
      </c>
      <c r="G77" s="17">
        <v>10</v>
      </c>
      <c r="H77" s="98"/>
      <c r="I77" s="98"/>
      <c r="J77" s="98"/>
    </row>
    <row r="78" spans="1:10">
      <c r="A78" s="17">
        <v>10780</v>
      </c>
      <c r="B78" s="17">
        <v>1076</v>
      </c>
      <c r="C78" s="17" t="b">
        <v>1</v>
      </c>
      <c r="D78" s="17">
        <v>1</v>
      </c>
      <c r="E78" s="17" t="s">
        <v>3264</v>
      </c>
      <c r="F78" s="17">
        <v>52</v>
      </c>
      <c r="G78" s="17">
        <v>10</v>
      </c>
      <c r="H78" s="98"/>
      <c r="I78" s="98"/>
      <c r="J78" s="98"/>
    </row>
    <row r="79" spans="1:10">
      <c r="A79" s="17">
        <v>10790</v>
      </c>
      <c r="B79" s="17">
        <v>1077</v>
      </c>
      <c r="C79" s="17" t="b">
        <v>1</v>
      </c>
      <c r="D79" s="17">
        <v>1</v>
      </c>
      <c r="E79" s="17" t="s">
        <v>3264</v>
      </c>
      <c r="F79" s="17">
        <v>52</v>
      </c>
      <c r="G79" s="17">
        <v>10</v>
      </c>
      <c r="H79" s="98"/>
      <c r="I79" s="98"/>
      <c r="J79" s="98"/>
    </row>
    <row r="80" spans="1:10">
      <c r="A80" s="17">
        <v>10800</v>
      </c>
      <c r="B80" s="17">
        <v>1078</v>
      </c>
      <c r="C80" s="17" t="b">
        <v>1</v>
      </c>
      <c r="D80" s="17">
        <v>1</v>
      </c>
      <c r="E80" s="17" t="s">
        <v>3264</v>
      </c>
      <c r="F80" s="17">
        <v>52</v>
      </c>
      <c r="G80" s="17">
        <v>10</v>
      </c>
      <c r="H80" s="98"/>
      <c r="I80" s="98"/>
      <c r="J80" s="98"/>
    </row>
    <row r="81" spans="1:10">
      <c r="A81" s="17">
        <v>10810</v>
      </c>
      <c r="B81" s="17">
        <v>1079</v>
      </c>
      <c r="C81" s="17" t="b">
        <v>1</v>
      </c>
      <c r="D81" s="17">
        <v>1</v>
      </c>
      <c r="E81" s="17" t="s">
        <v>3264</v>
      </c>
      <c r="F81" s="17">
        <v>52</v>
      </c>
      <c r="G81" s="17">
        <v>10</v>
      </c>
      <c r="H81" s="98"/>
      <c r="I81" s="98"/>
      <c r="J81" s="98"/>
    </row>
    <row r="82" spans="1:10">
      <c r="A82" s="17">
        <v>10820</v>
      </c>
      <c r="B82" s="17">
        <v>1080</v>
      </c>
      <c r="C82" s="17" t="b">
        <v>1</v>
      </c>
      <c r="D82" s="17">
        <v>1</v>
      </c>
      <c r="E82" s="17" t="s">
        <v>3264</v>
      </c>
      <c r="F82" s="17">
        <v>52</v>
      </c>
      <c r="G82" s="17">
        <v>10</v>
      </c>
      <c r="H82" s="98"/>
      <c r="I82" s="98"/>
      <c r="J82" s="98"/>
    </row>
    <row r="83" spans="1:10">
      <c r="A83" s="18">
        <v>20010</v>
      </c>
      <c r="B83" s="18">
        <v>2001</v>
      </c>
      <c r="C83" s="18" t="b">
        <v>1</v>
      </c>
      <c r="D83" s="18">
        <v>1</v>
      </c>
      <c r="E83" s="18" t="s">
        <v>3264</v>
      </c>
      <c r="F83" s="18">
        <v>52</v>
      </c>
      <c r="G83" s="18">
        <v>7</v>
      </c>
      <c r="H83" s="99"/>
      <c r="I83" s="99"/>
      <c r="J83" s="99"/>
    </row>
    <row r="84" spans="1:10">
      <c r="A84" s="18">
        <v>20020</v>
      </c>
      <c r="B84" s="18">
        <v>2002</v>
      </c>
      <c r="C84" s="18" t="b">
        <v>1</v>
      </c>
      <c r="D84" s="18">
        <v>1</v>
      </c>
      <c r="E84" s="18" t="s">
        <v>3264</v>
      </c>
      <c r="F84" s="18">
        <v>52</v>
      </c>
      <c r="G84" s="18">
        <v>7</v>
      </c>
      <c r="H84" s="99"/>
      <c r="I84" s="99"/>
      <c r="J84" s="99"/>
    </row>
    <row r="85" spans="1:10">
      <c r="A85" s="18">
        <v>20030</v>
      </c>
      <c r="B85" s="18">
        <v>2003</v>
      </c>
      <c r="C85" s="18" t="b">
        <v>1</v>
      </c>
      <c r="D85" s="18">
        <v>1</v>
      </c>
      <c r="E85" s="18" t="s">
        <v>3264</v>
      </c>
      <c r="F85" s="18">
        <v>52</v>
      </c>
      <c r="G85" s="18">
        <v>7</v>
      </c>
      <c r="H85" s="99"/>
      <c r="I85" s="99"/>
      <c r="J85" s="99"/>
    </row>
    <row r="86" spans="1:10">
      <c r="A86" s="18">
        <v>20040</v>
      </c>
      <c r="B86" s="18">
        <v>2004</v>
      </c>
      <c r="C86" s="18" t="b">
        <v>1</v>
      </c>
      <c r="D86" s="18">
        <v>1</v>
      </c>
      <c r="E86" s="18" t="s">
        <v>3264</v>
      </c>
      <c r="F86" s="18">
        <v>52</v>
      </c>
      <c r="G86" s="18">
        <v>7</v>
      </c>
      <c r="H86" s="99"/>
      <c r="I86" s="99"/>
      <c r="J86" s="99"/>
    </row>
    <row r="87" spans="1:10">
      <c r="A87" s="18">
        <v>20050</v>
      </c>
      <c r="B87" s="18">
        <v>2005</v>
      </c>
      <c r="C87" s="18" t="b">
        <v>1</v>
      </c>
      <c r="D87" s="18">
        <v>1</v>
      </c>
      <c r="E87" s="18" t="s">
        <v>3264</v>
      </c>
      <c r="F87" s="18">
        <v>52</v>
      </c>
      <c r="G87" s="18">
        <v>7</v>
      </c>
      <c r="H87" s="99"/>
      <c r="I87" s="99"/>
      <c r="J87" s="99"/>
    </row>
    <row r="88" spans="1:10">
      <c r="A88" s="18">
        <v>20060</v>
      </c>
      <c r="B88" s="18">
        <v>2006</v>
      </c>
      <c r="C88" s="18" t="b">
        <v>1</v>
      </c>
      <c r="D88" s="18">
        <v>1</v>
      </c>
      <c r="E88" s="18" t="s">
        <v>3264</v>
      </c>
      <c r="F88" s="18">
        <v>52</v>
      </c>
      <c r="G88" s="18">
        <v>7</v>
      </c>
      <c r="H88" s="99"/>
      <c r="I88" s="99"/>
      <c r="J88" s="99"/>
    </row>
    <row r="89" spans="1:10">
      <c r="A89" s="18">
        <v>20070</v>
      </c>
      <c r="B89" s="18">
        <v>2007</v>
      </c>
      <c r="C89" s="18" t="b">
        <v>1</v>
      </c>
      <c r="D89" s="18">
        <v>1</v>
      </c>
      <c r="E89" s="18" t="s">
        <v>3264</v>
      </c>
      <c r="F89" s="18">
        <v>52</v>
      </c>
      <c r="G89" s="18">
        <v>7</v>
      </c>
      <c r="H89" s="99"/>
      <c r="I89" s="99"/>
      <c r="J89" s="99"/>
    </row>
    <row r="90" spans="1:10">
      <c r="A90" s="18">
        <v>20080</v>
      </c>
      <c r="B90" s="18">
        <v>2008</v>
      </c>
      <c r="C90" s="18" t="b">
        <v>1</v>
      </c>
      <c r="D90" s="18">
        <v>1</v>
      </c>
      <c r="E90" s="18" t="s">
        <v>3264</v>
      </c>
      <c r="F90" s="18">
        <v>52</v>
      </c>
      <c r="G90" s="18">
        <v>7</v>
      </c>
      <c r="H90" s="99"/>
      <c r="I90" s="99"/>
      <c r="J90" s="99"/>
    </row>
    <row r="91" spans="1:10">
      <c r="A91" s="18">
        <v>20090</v>
      </c>
      <c r="B91" s="18">
        <v>2009</v>
      </c>
      <c r="C91" s="18" t="b">
        <v>1</v>
      </c>
      <c r="D91" s="18">
        <v>1</v>
      </c>
      <c r="E91" s="18" t="s">
        <v>3264</v>
      </c>
      <c r="F91" s="18">
        <v>52</v>
      </c>
      <c r="G91" s="18">
        <v>7</v>
      </c>
      <c r="H91" s="99"/>
      <c r="I91" s="99"/>
      <c r="J91" s="99"/>
    </row>
    <row r="92" spans="1:10">
      <c r="A92" s="18">
        <v>20100</v>
      </c>
      <c r="B92" s="18">
        <v>2010</v>
      </c>
      <c r="C92" s="18" t="b">
        <v>1</v>
      </c>
      <c r="D92" s="18">
        <v>1</v>
      </c>
      <c r="E92" s="18" t="s">
        <v>3264</v>
      </c>
      <c r="F92" s="18">
        <v>52</v>
      </c>
      <c r="G92" s="18">
        <v>7</v>
      </c>
      <c r="H92" s="99"/>
      <c r="I92" s="99"/>
      <c r="J92" s="99"/>
    </row>
    <row r="93" spans="1:10">
      <c r="A93" s="18">
        <v>20110</v>
      </c>
      <c r="B93" s="18">
        <v>2011</v>
      </c>
      <c r="C93" s="18" t="b">
        <v>1</v>
      </c>
      <c r="D93" s="18">
        <v>1</v>
      </c>
      <c r="E93" s="18" t="s">
        <v>3264</v>
      </c>
      <c r="F93" s="18">
        <v>52</v>
      </c>
      <c r="G93" s="18">
        <v>7</v>
      </c>
      <c r="H93" s="99"/>
      <c r="I93" s="99"/>
      <c r="J93" s="99"/>
    </row>
    <row r="94" spans="1:10">
      <c r="A94" s="18">
        <v>20120</v>
      </c>
      <c r="B94" s="18">
        <v>2012</v>
      </c>
      <c r="C94" s="18" t="b">
        <v>1</v>
      </c>
      <c r="D94" s="18">
        <v>1</v>
      </c>
      <c r="E94" s="18" t="s">
        <v>3264</v>
      </c>
      <c r="F94" s="18">
        <v>52</v>
      </c>
      <c r="G94" s="18">
        <v>7</v>
      </c>
      <c r="H94" s="99"/>
      <c r="I94" s="99"/>
      <c r="J94" s="99"/>
    </row>
    <row r="95" spans="1:10">
      <c r="A95" s="18">
        <v>20130</v>
      </c>
      <c r="B95" s="18">
        <v>2013</v>
      </c>
      <c r="C95" s="18" t="b">
        <v>1</v>
      </c>
      <c r="D95" s="18">
        <v>1</v>
      </c>
      <c r="E95" s="18" t="s">
        <v>3264</v>
      </c>
      <c r="F95" s="18">
        <v>52</v>
      </c>
      <c r="G95" s="18">
        <v>7</v>
      </c>
      <c r="H95" s="99"/>
      <c r="I95" s="99"/>
      <c r="J95" s="99"/>
    </row>
    <row r="96" spans="1:10">
      <c r="A96" s="18">
        <v>20140</v>
      </c>
      <c r="B96" s="18">
        <v>2014</v>
      </c>
      <c r="C96" s="18" t="b">
        <v>1</v>
      </c>
      <c r="D96" s="18">
        <v>1</v>
      </c>
      <c r="E96" s="18" t="s">
        <v>3264</v>
      </c>
      <c r="F96" s="18">
        <v>52</v>
      </c>
      <c r="G96" s="18">
        <v>7</v>
      </c>
      <c r="H96" s="99"/>
      <c r="I96" s="99"/>
      <c r="J96" s="99"/>
    </row>
    <row r="97" spans="1:10">
      <c r="A97" s="18">
        <v>20150</v>
      </c>
      <c r="B97" s="18">
        <v>2015</v>
      </c>
      <c r="C97" s="18" t="b">
        <v>1</v>
      </c>
      <c r="D97" s="18">
        <v>1</v>
      </c>
      <c r="E97" s="18" t="s">
        <v>3264</v>
      </c>
      <c r="F97" s="18">
        <v>52</v>
      </c>
      <c r="G97" s="18">
        <v>7</v>
      </c>
      <c r="H97" s="99"/>
      <c r="I97" s="99"/>
      <c r="J97" s="99"/>
    </row>
    <row r="98" spans="1:10">
      <c r="A98" s="18">
        <v>20160</v>
      </c>
      <c r="B98" s="18">
        <v>2016</v>
      </c>
      <c r="C98" s="18" t="b">
        <v>1</v>
      </c>
      <c r="D98" s="18">
        <v>1</v>
      </c>
      <c r="E98" s="18" t="s">
        <v>3264</v>
      </c>
      <c r="F98" s="18">
        <v>52</v>
      </c>
      <c r="G98" s="18">
        <v>7</v>
      </c>
      <c r="H98" s="99"/>
      <c r="I98" s="99"/>
      <c r="J98" s="99"/>
    </row>
    <row r="99" spans="1:10">
      <c r="A99" s="18">
        <v>20170</v>
      </c>
      <c r="B99" s="18">
        <v>2017</v>
      </c>
      <c r="C99" s="18" t="b">
        <v>1</v>
      </c>
      <c r="D99" s="18">
        <v>1</v>
      </c>
      <c r="E99" s="18" t="s">
        <v>3264</v>
      </c>
      <c r="F99" s="18">
        <v>52</v>
      </c>
      <c r="G99" s="18">
        <v>7</v>
      </c>
      <c r="H99" s="99"/>
      <c r="I99" s="99"/>
      <c r="J99" s="99"/>
    </row>
    <row r="100" spans="1:10">
      <c r="A100" s="18">
        <v>20180</v>
      </c>
      <c r="B100" s="18">
        <v>2018</v>
      </c>
      <c r="C100" s="18" t="b">
        <v>1</v>
      </c>
      <c r="D100" s="18">
        <v>1</v>
      </c>
      <c r="E100" s="18" t="s">
        <v>3264</v>
      </c>
      <c r="F100" s="18">
        <v>52</v>
      </c>
      <c r="G100" s="18">
        <v>7</v>
      </c>
      <c r="H100" s="99"/>
      <c r="I100" s="99"/>
      <c r="J100" s="99"/>
    </row>
    <row r="101" spans="1:10">
      <c r="A101" s="18">
        <v>20190</v>
      </c>
      <c r="B101" s="18">
        <v>2019</v>
      </c>
      <c r="C101" s="18" t="b">
        <v>1</v>
      </c>
      <c r="D101" s="18">
        <v>1</v>
      </c>
      <c r="E101" s="18" t="s">
        <v>3264</v>
      </c>
      <c r="F101" s="18">
        <v>52</v>
      </c>
      <c r="G101" s="18">
        <v>7</v>
      </c>
      <c r="H101" s="99"/>
      <c r="I101" s="99"/>
      <c r="J101" s="99"/>
    </row>
    <row r="102" spans="1:10">
      <c r="A102" s="18">
        <v>20200</v>
      </c>
      <c r="B102" s="18">
        <v>2020</v>
      </c>
      <c r="C102" s="18" t="b">
        <v>1</v>
      </c>
      <c r="D102" s="18">
        <v>1</v>
      </c>
      <c r="E102" s="18" t="s">
        <v>3264</v>
      </c>
      <c r="F102" s="18">
        <v>52</v>
      </c>
      <c r="G102" s="18">
        <v>7</v>
      </c>
      <c r="H102" s="99"/>
      <c r="I102" s="99"/>
      <c r="J102" s="99"/>
    </row>
    <row r="103" spans="1:10">
      <c r="A103" s="18">
        <v>20210</v>
      </c>
      <c r="B103" s="18">
        <v>2021</v>
      </c>
      <c r="C103" s="18" t="b">
        <v>1</v>
      </c>
      <c r="D103" s="18">
        <v>1</v>
      </c>
      <c r="E103" s="18" t="s">
        <v>3264</v>
      </c>
      <c r="F103" s="18">
        <v>52</v>
      </c>
      <c r="G103" s="18">
        <v>7</v>
      </c>
      <c r="H103" s="99"/>
      <c r="I103" s="99"/>
      <c r="J103" s="99"/>
    </row>
    <row r="104" spans="1:10">
      <c r="A104" s="18">
        <v>20220</v>
      </c>
      <c r="B104" s="18">
        <v>2022</v>
      </c>
      <c r="C104" s="18" t="b">
        <v>1</v>
      </c>
      <c r="D104" s="18">
        <v>1</v>
      </c>
      <c r="E104" s="18" t="s">
        <v>3264</v>
      </c>
      <c r="F104" s="18">
        <v>52</v>
      </c>
      <c r="G104" s="18">
        <v>7</v>
      </c>
      <c r="H104" s="99"/>
      <c r="I104" s="99"/>
      <c r="J104" s="99"/>
    </row>
    <row r="105" spans="1:10">
      <c r="A105" s="18">
        <v>20230</v>
      </c>
      <c r="B105" s="18">
        <v>2023</v>
      </c>
      <c r="C105" s="18" t="b">
        <v>1</v>
      </c>
      <c r="D105" s="18">
        <v>1</v>
      </c>
      <c r="E105" s="18" t="s">
        <v>3264</v>
      </c>
      <c r="F105" s="18">
        <v>52</v>
      </c>
      <c r="G105" s="18">
        <v>7</v>
      </c>
      <c r="H105" s="99"/>
      <c r="I105" s="99"/>
      <c r="J105" s="99"/>
    </row>
    <row r="106" spans="1:10">
      <c r="A106" s="18">
        <v>20240</v>
      </c>
      <c r="B106" s="18">
        <v>2024</v>
      </c>
      <c r="C106" s="18" t="b">
        <v>1</v>
      </c>
      <c r="D106" s="18">
        <v>1</v>
      </c>
      <c r="E106" s="18" t="s">
        <v>3264</v>
      </c>
      <c r="F106" s="18">
        <v>52</v>
      </c>
      <c r="G106" s="18">
        <v>7</v>
      </c>
      <c r="H106" s="99"/>
      <c r="I106" s="99"/>
      <c r="J106" s="99"/>
    </row>
    <row r="107" spans="1:10">
      <c r="A107" s="18">
        <v>20250</v>
      </c>
      <c r="B107" s="18">
        <v>2025</v>
      </c>
      <c r="C107" s="18" t="b">
        <v>1</v>
      </c>
      <c r="D107" s="18">
        <v>1</v>
      </c>
      <c r="E107" s="18" t="s">
        <v>3264</v>
      </c>
      <c r="F107" s="18">
        <v>52</v>
      </c>
      <c r="G107" s="18">
        <v>7</v>
      </c>
      <c r="H107" s="99"/>
      <c r="I107" s="99"/>
      <c r="J107" s="99"/>
    </row>
    <row r="108" spans="1:10">
      <c r="A108" s="18">
        <v>20260</v>
      </c>
      <c r="B108" s="18">
        <v>2026</v>
      </c>
      <c r="C108" s="18" t="b">
        <v>1</v>
      </c>
      <c r="D108" s="18">
        <v>1</v>
      </c>
      <c r="E108" s="18" t="s">
        <v>3264</v>
      </c>
      <c r="F108" s="18">
        <v>52</v>
      </c>
      <c r="G108" s="18">
        <v>7</v>
      </c>
      <c r="H108" s="99"/>
      <c r="I108" s="99"/>
      <c r="J108" s="99"/>
    </row>
    <row r="109" spans="1:10">
      <c r="A109" s="18">
        <v>20270</v>
      </c>
      <c r="B109" s="18">
        <v>2027</v>
      </c>
      <c r="C109" s="18" t="b">
        <v>1</v>
      </c>
      <c r="D109" s="18">
        <v>1</v>
      </c>
      <c r="E109" s="18" t="s">
        <v>3264</v>
      </c>
      <c r="F109" s="18">
        <v>52</v>
      </c>
      <c r="G109" s="18">
        <v>7</v>
      </c>
      <c r="H109" s="99"/>
      <c r="I109" s="99"/>
      <c r="J109" s="99"/>
    </row>
    <row r="110" spans="1:10">
      <c r="A110" s="18">
        <v>20280</v>
      </c>
      <c r="B110" s="18">
        <v>2028</v>
      </c>
      <c r="C110" s="18" t="b">
        <v>1</v>
      </c>
      <c r="D110" s="18">
        <v>1</v>
      </c>
      <c r="E110" s="18" t="s">
        <v>3264</v>
      </c>
      <c r="F110" s="18">
        <v>52</v>
      </c>
      <c r="G110" s="18">
        <v>7</v>
      </c>
      <c r="H110" s="99"/>
      <c r="I110" s="99"/>
      <c r="J110" s="99"/>
    </row>
    <row r="111" spans="1:10">
      <c r="A111" s="18">
        <v>20290</v>
      </c>
      <c r="B111" s="18">
        <v>2029</v>
      </c>
      <c r="C111" s="18" t="b">
        <v>1</v>
      </c>
      <c r="D111" s="18">
        <v>1</v>
      </c>
      <c r="E111" s="18" t="s">
        <v>3264</v>
      </c>
      <c r="F111" s="18">
        <v>52</v>
      </c>
      <c r="G111" s="18">
        <v>7</v>
      </c>
      <c r="H111" s="99"/>
      <c r="I111" s="99"/>
      <c r="J111" s="99"/>
    </row>
    <row r="112" spans="1:10">
      <c r="A112" s="18">
        <v>20300</v>
      </c>
      <c r="B112" s="18">
        <v>2030</v>
      </c>
      <c r="C112" s="18" t="b">
        <v>1</v>
      </c>
      <c r="D112" s="18">
        <v>1</v>
      </c>
      <c r="E112" s="18" t="s">
        <v>3264</v>
      </c>
      <c r="F112" s="18">
        <v>52</v>
      </c>
      <c r="G112" s="18">
        <v>7</v>
      </c>
      <c r="H112" s="99"/>
      <c r="I112" s="99"/>
      <c r="J112" s="99"/>
    </row>
    <row r="113" spans="1:10">
      <c r="A113" s="18">
        <v>20310</v>
      </c>
      <c r="B113" s="18">
        <v>2031</v>
      </c>
      <c r="C113" s="18" t="b">
        <v>1</v>
      </c>
      <c r="D113" s="18">
        <v>1</v>
      </c>
      <c r="E113" s="18" t="s">
        <v>3264</v>
      </c>
      <c r="F113" s="18">
        <v>52</v>
      </c>
      <c r="G113" s="18">
        <v>7</v>
      </c>
      <c r="H113" s="99"/>
      <c r="I113" s="99"/>
      <c r="J113" s="99"/>
    </row>
    <row r="114" spans="1:10">
      <c r="A114" s="18">
        <v>20320</v>
      </c>
      <c r="B114" s="18">
        <v>2032</v>
      </c>
      <c r="C114" s="18" t="b">
        <v>1</v>
      </c>
      <c r="D114" s="18">
        <v>1</v>
      </c>
      <c r="E114" s="18" t="s">
        <v>3264</v>
      </c>
      <c r="F114" s="18">
        <v>52</v>
      </c>
      <c r="G114" s="18">
        <v>7</v>
      </c>
      <c r="H114" s="99"/>
      <c r="I114" s="99"/>
      <c r="J114" s="99"/>
    </row>
    <row r="115" spans="1:10">
      <c r="A115" s="18">
        <v>20330</v>
      </c>
      <c r="B115" s="18">
        <v>2033</v>
      </c>
      <c r="C115" s="18" t="b">
        <v>1</v>
      </c>
      <c r="D115" s="18">
        <v>1</v>
      </c>
      <c r="E115" s="18" t="s">
        <v>3264</v>
      </c>
      <c r="F115" s="18">
        <v>52</v>
      </c>
      <c r="G115" s="18">
        <v>7</v>
      </c>
      <c r="H115" s="99"/>
      <c r="I115" s="99"/>
      <c r="J115" s="99"/>
    </row>
    <row r="116" spans="1:10">
      <c r="A116" s="18">
        <v>20340</v>
      </c>
      <c r="B116" s="18">
        <v>2034</v>
      </c>
      <c r="C116" s="18" t="b">
        <v>1</v>
      </c>
      <c r="D116" s="18">
        <v>1</v>
      </c>
      <c r="E116" s="18" t="s">
        <v>3264</v>
      </c>
      <c r="F116" s="18">
        <v>52</v>
      </c>
      <c r="G116" s="18">
        <v>7</v>
      </c>
      <c r="H116" s="99"/>
      <c r="I116" s="99"/>
      <c r="J116" s="99"/>
    </row>
    <row r="117" spans="1:10">
      <c r="A117" s="18">
        <v>20350</v>
      </c>
      <c r="B117" s="18">
        <v>2035</v>
      </c>
      <c r="C117" s="18" t="b">
        <v>1</v>
      </c>
      <c r="D117" s="18">
        <v>1</v>
      </c>
      <c r="E117" s="18" t="s">
        <v>3264</v>
      </c>
      <c r="F117" s="18">
        <v>52</v>
      </c>
      <c r="G117" s="18">
        <v>7</v>
      </c>
      <c r="H117" s="99"/>
      <c r="I117" s="99"/>
      <c r="J117" s="99"/>
    </row>
    <row r="118" spans="1:10">
      <c r="A118" s="18">
        <v>20360</v>
      </c>
      <c r="B118" s="18">
        <v>2036</v>
      </c>
      <c r="C118" s="18" t="b">
        <v>1</v>
      </c>
      <c r="D118" s="18">
        <v>1</v>
      </c>
      <c r="E118" s="18" t="s">
        <v>3264</v>
      </c>
      <c r="F118" s="18">
        <v>52</v>
      </c>
      <c r="G118" s="18">
        <v>7</v>
      </c>
      <c r="H118" s="99"/>
      <c r="I118" s="99"/>
      <c r="J118" s="99"/>
    </row>
    <row r="119" spans="1:10">
      <c r="A119" s="18">
        <v>20370</v>
      </c>
      <c r="B119" s="18">
        <v>2037</v>
      </c>
      <c r="C119" s="18" t="b">
        <v>1</v>
      </c>
      <c r="D119" s="18">
        <v>1</v>
      </c>
      <c r="E119" s="18" t="s">
        <v>3264</v>
      </c>
      <c r="F119" s="18">
        <v>52</v>
      </c>
      <c r="G119" s="18">
        <v>7</v>
      </c>
      <c r="H119" s="99"/>
      <c r="I119" s="99"/>
      <c r="J119" s="99"/>
    </row>
    <row r="120" spans="1:10">
      <c r="A120" s="18">
        <v>20380</v>
      </c>
      <c r="B120" s="18">
        <v>2038</v>
      </c>
      <c r="C120" s="18" t="b">
        <v>1</v>
      </c>
      <c r="D120" s="18">
        <v>1</v>
      </c>
      <c r="E120" s="18" t="s">
        <v>3264</v>
      </c>
      <c r="F120" s="18">
        <v>52</v>
      </c>
      <c r="G120" s="18">
        <v>7</v>
      </c>
      <c r="H120" s="99"/>
      <c r="I120" s="99"/>
      <c r="J120" s="99"/>
    </row>
    <row r="121" spans="1:10">
      <c r="A121" s="18">
        <v>20390</v>
      </c>
      <c r="B121" s="18">
        <v>2039</v>
      </c>
      <c r="C121" s="18" t="b">
        <v>1</v>
      </c>
      <c r="D121" s="18">
        <v>1</v>
      </c>
      <c r="E121" s="18" t="s">
        <v>3264</v>
      </c>
      <c r="F121" s="18">
        <v>52</v>
      </c>
      <c r="G121" s="18">
        <v>7</v>
      </c>
      <c r="H121" s="99"/>
      <c r="I121" s="99"/>
      <c r="J121" s="99"/>
    </row>
    <row r="122" spans="1:10">
      <c r="A122" s="18">
        <v>20400</v>
      </c>
      <c r="B122" s="18">
        <v>2040</v>
      </c>
      <c r="C122" s="18" t="b">
        <v>1</v>
      </c>
      <c r="D122" s="18">
        <v>1</v>
      </c>
      <c r="E122" s="18" t="s">
        <v>3264</v>
      </c>
      <c r="F122" s="18">
        <v>52</v>
      </c>
      <c r="G122" s="18">
        <v>7</v>
      </c>
      <c r="H122" s="99"/>
      <c r="I122" s="99"/>
      <c r="J122" s="99"/>
    </row>
    <row r="123" spans="1:10">
      <c r="A123" s="18">
        <v>20410</v>
      </c>
      <c r="B123" s="18">
        <v>2041</v>
      </c>
      <c r="C123" s="18" t="b">
        <v>1</v>
      </c>
      <c r="D123" s="18">
        <v>1</v>
      </c>
      <c r="E123" s="18" t="s">
        <v>3264</v>
      </c>
      <c r="F123" s="18">
        <v>52</v>
      </c>
      <c r="G123" s="18">
        <v>7</v>
      </c>
      <c r="H123" s="99"/>
      <c r="I123" s="99"/>
      <c r="J123" s="99"/>
    </row>
    <row r="124" spans="1:10">
      <c r="A124" s="18">
        <v>20420</v>
      </c>
      <c r="B124" s="18">
        <v>2042</v>
      </c>
      <c r="C124" s="18" t="b">
        <v>1</v>
      </c>
      <c r="D124" s="18">
        <v>1</v>
      </c>
      <c r="E124" s="18" t="s">
        <v>3264</v>
      </c>
      <c r="F124" s="18">
        <v>52</v>
      </c>
      <c r="G124" s="18">
        <v>7</v>
      </c>
      <c r="H124" s="99"/>
      <c r="I124" s="99"/>
      <c r="J124" s="99"/>
    </row>
    <row r="125" spans="1:10">
      <c r="A125" s="18">
        <v>20430</v>
      </c>
      <c r="B125" s="18">
        <v>2043</v>
      </c>
      <c r="C125" s="18" t="b">
        <v>1</v>
      </c>
      <c r="D125" s="18">
        <v>1</v>
      </c>
      <c r="E125" s="18" t="s">
        <v>3264</v>
      </c>
      <c r="F125" s="18">
        <v>52</v>
      </c>
      <c r="G125" s="18">
        <v>7</v>
      </c>
      <c r="H125" s="99"/>
      <c r="I125" s="99"/>
      <c r="J125" s="99"/>
    </row>
    <row r="126" spans="1:10">
      <c r="A126" s="18">
        <v>20440</v>
      </c>
      <c r="B126" s="18">
        <v>2044</v>
      </c>
      <c r="C126" s="18" t="b">
        <v>1</v>
      </c>
      <c r="D126" s="18">
        <v>1</v>
      </c>
      <c r="E126" s="18" t="s">
        <v>3264</v>
      </c>
      <c r="F126" s="18">
        <v>52</v>
      </c>
      <c r="G126" s="18">
        <v>7</v>
      </c>
      <c r="H126" s="99"/>
      <c r="I126" s="99"/>
      <c r="J126" s="99"/>
    </row>
    <row r="127" spans="1:10">
      <c r="A127" s="18">
        <v>20450</v>
      </c>
      <c r="B127" s="18">
        <v>2045</v>
      </c>
      <c r="C127" s="18" t="b">
        <v>1</v>
      </c>
      <c r="D127" s="18">
        <v>1</v>
      </c>
      <c r="E127" s="18" t="s">
        <v>3264</v>
      </c>
      <c r="F127" s="18">
        <v>52</v>
      </c>
      <c r="G127" s="18">
        <v>7</v>
      </c>
      <c r="H127" s="99"/>
      <c r="I127" s="99"/>
      <c r="J127" s="99"/>
    </row>
    <row r="128" spans="1:10">
      <c r="A128" s="18">
        <v>20460</v>
      </c>
      <c r="B128" s="18">
        <v>2046</v>
      </c>
      <c r="C128" s="18" t="b">
        <v>1</v>
      </c>
      <c r="D128" s="18">
        <v>1</v>
      </c>
      <c r="E128" s="18" t="s">
        <v>3264</v>
      </c>
      <c r="F128" s="18">
        <v>52</v>
      </c>
      <c r="G128" s="18">
        <v>7</v>
      </c>
      <c r="H128" s="99"/>
      <c r="I128" s="99"/>
      <c r="J128" s="99"/>
    </row>
    <row r="129" spans="1:10">
      <c r="A129" s="18">
        <v>20470</v>
      </c>
      <c r="B129" s="18">
        <v>2047</v>
      </c>
      <c r="C129" s="18" t="b">
        <v>1</v>
      </c>
      <c r="D129" s="18">
        <v>1</v>
      </c>
      <c r="E129" s="18" t="s">
        <v>3264</v>
      </c>
      <c r="F129" s="18">
        <v>52</v>
      </c>
      <c r="G129" s="18">
        <v>7</v>
      </c>
      <c r="H129" s="99"/>
      <c r="I129" s="99"/>
      <c r="J129" s="99"/>
    </row>
    <row r="130" spans="1:10">
      <c r="A130" s="18">
        <v>20480</v>
      </c>
      <c r="B130" s="18">
        <v>2048</v>
      </c>
      <c r="C130" s="18" t="b">
        <v>1</v>
      </c>
      <c r="D130" s="18">
        <v>1</v>
      </c>
      <c r="E130" s="18" t="s">
        <v>3264</v>
      </c>
      <c r="F130" s="18">
        <v>52</v>
      </c>
      <c r="G130" s="18">
        <v>7</v>
      </c>
      <c r="H130" s="99"/>
      <c r="I130" s="99"/>
      <c r="J130" s="99"/>
    </row>
    <row r="131" spans="1:10">
      <c r="A131" s="18">
        <v>20490</v>
      </c>
      <c r="B131" s="18">
        <v>2049</v>
      </c>
      <c r="C131" s="18" t="b">
        <v>1</v>
      </c>
      <c r="D131" s="18">
        <v>1</v>
      </c>
      <c r="E131" s="18" t="s">
        <v>3264</v>
      </c>
      <c r="F131" s="18">
        <v>52</v>
      </c>
      <c r="G131" s="18">
        <v>7</v>
      </c>
      <c r="H131" s="99"/>
      <c r="I131" s="99"/>
      <c r="J131" s="99"/>
    </row>
    <row r="132" spans="1:10">
      <c r="A132" s="18">
        <v>20500</v>
      </c>
      <c r="B132" s="18">
        <v>2050</v>
      </c>
      <c r="C132" s="18" t="b">
        <v>1</v>
      </c>
      <c r="D132" s="18">
        <v>1</v>
      </c>
      <c r="E132" s="18" t="s">
        <v>3264</v>
      </c>
      <c r="F132" s="18">
        <v>52</v>
      </c>
      <c r="G132" s="18">
        <v>7</v>
      </c>
      <c r="H132" s="99"/>
      <c r="I132" s="99"/>
      <c r="J132" s="99"/>
    </row>
    <row r="133" spans="1:10">
      <c r="A133" s="18">
        <v>20510</v>
      </c>
      <c r="B133" s="18">
        <v>2051</v>
      </c>
      <c r="C133" s="18" t="b">
        <v>1</v>
      </c>
      <c r="D133" s="18">
        <v>1</v>
      </c>
      <c r="E133" s="18" t="s">
        <v>3264</v>
      </c>
      <c r="F133" s="18">
        <v>52</v>
      </c>
      <c r="G133" s="18">
        <v>7</v>
      </c>
      <c r="H133" s="99"/>
      <c r="I133" s="99"/>
      <c r="J133" s="99"/>
    </row>
    <row r="134" spans="1:10">
      <c r="A134" s="18">
        <v>20520</v>
      </c>
      <c r="B134" s="18">
        <v>2052</v>
      </c>
      <c r="C134" s="18" t="b">
        <v>1</v>
      </c>
      <c r="D134" s="18">
        <v>1</v>
      </c>
      <c r="E134" s="18" t="s">
        <v>3264</v>
      </c>
      <c r="F134" s="18">
        <v>52</v>
      </c>
      <c r="G134" s="18">
        <v>7</v>
      </c>
      <c r="H134" s="99"/>
      <c r="I134" s="99"/>
      <c r="J134" s="99"/>
    </row>
    <row r="135" spans="1:10">
      <c r="A135" s="18">
        <v>20530</v>
      </c>
      <c r="B135" s="18">
        <v>2053</v>
      </c>
      <c r="C135" s="18" t="b">
        <v>1</v>
      </c>
      <c r="D135" s="18">
        <v>1</v>
      </c>
      <c r="E135" s="18" t="s">
        <v>3264</v>
      </c>
      <c r="F135" s="18">
        <v>52</v>
      </c>
      <c r="G135" s="18">
        <v>7</v>
      </c>
      <c r="H135" s="99"/>
      <c r="I135" s="99"/>
      <c r="J135" s="99"/>
    </row>
    <row r="136" spans="1:10">
      <c r="A136" s="18">
        <v>20540</v>
      </c>
      <c r="B136" s="18">
        <v>2054</v>
      </c>
      <c r="C136" s="18" t="b">
        <v>1</v>
      </c>
      <c r="D136" s="18">
        <v>1</v>
      </c>
      <c r="E136" s="18" t="s">
        <v>3264</v>
      </c>
      <c r="F136" s="18">
        <v>52</v>
      </c>
      <c r="G136" s="18">
        <v>7</v>
      </c>
      <c r="H136" s="99"/>
      <c r="I136" s="99"/>
      <c r="J136" s="99"/>
    </row>
    <row r="137" spans="1:10">
      <c r="A137" s="18">
        <v>20550</v>
      </c>
      <c r="B137" s="18">
        <v>2055</v>
      </c>
      <c r="C137" s="18" t="b">
        <v>1</v>
      </c>
      <c r="D137" s="18">
        <v>1</v>
      </c>
      <c r="E137" s="18" t="s">
        <v>3264</v>
      </c>
      <c r="F137" s="18">
        <v>52</v>
      </c>
      <c r="G137" s="18">
        <v>7</v>
      </c>
      <c r="H137" s="99"/>
      <c r="I137" s="99"/>
      <c r="J137" s="99"/>
    </row>
    <row r="138" spans="1:10">
      <c r="A138" s="18">
        <v>20560</v>
      </c>
      <c r="B138" s="18">
        <v>2056</v>
      </c>
      <c r="C138" s="18" t="b">
        <v>1</v>
      </c>
      <c r="D138" s="18">
        <v>1</v>
      </c>
      <c r="E138" s="18" t="s">
        <v>3264</v>
      </c>
      <c r="F138" s="18">
        <v>52</v>
      </c>
      <c r="G138" s="18">
        <v>7</v>
      </c>
      <c r="H138" s="99"/>
      <c r="I138" s="99"/>
      <c r="J138" s="99"/>
    </row>
    <row r="139" spans="1:10">
      <c r="A139" s="18">
        <v>20570</v>
      </c>
      <c r="B139" s="18">
        <v>2057</v>
      </c>
      <c r="C139" s="18" t="b">
        <v>1</v>
      </c>
      <c r="D139" s="18">
        <v>1</v>
      </c>
      <c r="E139" s="18" t="s">
        <v>3264</v>
      </c>
      <c r="F139" s="18">
        <v>52</v>
      </c>
      <c r="G139" s="18">
        <v>7</v>
      </c>
      <c r="H139" s="99"/>
      <c r="I139" s="99"/>
      <c r="J139" s="99"/>
    </row>
    <row r="140" spans="1:10">
      <c r="A140" s="18">
        <v>20580</v>
      </c>
      <c r="B140" s="18">
        <v>2058</v>
      </c>
      <c r="C140" s="18" t="b">
        <v>1</v>
      </c>
      <c r="D140" s="18">
        <v>1</v>
      </c>
      <c r="E140" s="18" t="s">
        <v>3264</v>
      </c>
      <c r="F140" s="18">
        <v>52</v>
      </c>
      <c r="G140" s="18">
        <v>7</v>
      </c>
      <c r="H140" s="99"/>
      <c r="I140" s="99"/>
      <c r="J140" s="99"/>
    </row>
    <row r="141" spans="1:10">
      <c r="A141" s="18">
        <v>20590</v>
      </c>
      <c r="B141" s="18">
        <v>2059</v>
      </c>
      <c r="C141" s="18" t="b">
        <v>1</v>
      </c>
      <c r="D141" s="18">
        <v>1</v>
      </c>
      <c r="E141" s="18" t="s">
        <v>3264</v>
      </c>
      <c r="F141" s="18">
        <v>52</v>
      </c>
      <c r="G141" s="18">
        <v>7</v>
      </c>
      <c r="H141" s="99"/>
      <c r="I141" s="99"/>
      <c r="J141" s="99"/>
    </row>
    <row r="142" spans="1:10">
      <c r="A142" s="18">
        <v>20600</v>
      </c>
      <c r="B142" s="18">
        <v>2060</v>
      </c>
      <c r="C142" s="18" t="b">
        <v>1</v>
      </c>
      <c r="D142" s="18">
        <v>1</v>
      </c>
      <c r="E142" s="18" t="s">
        <v>3264</v>
      </c>
      <c r="F142" s="18">
        <v>52</v>
      </c>
      <c r="G142" s="18">
        <v>7</v>
      </c>
      <c r="H142" s="99"/>
      <c r="I142" s="99"/>
      <c r="J142" s="99"/>
    </row>
    <row r="143" spans="1:10">
      <c r="A143" s="18">
        <v>20610</v>
      </c>
      <c r="B143" s="18">
        <v>2061</v>
      </c>
      <c r="C143" s="18" t="b">
        <v>1</v>
      </c>
      <c r="D143" s="18">
        <v>1</v>
      </c>
      <c r="E143" s="18" t="s">
        <v>3264</v>
      </c>
      <c r="F143" s="18">
        <v>52</v>
      </c>
      <c r="G143" s="18">
        <v>7</v>
      </c>
      <c r="H143" s="99"/>
      <c r="I143" s="99"/>
      <c r="J143" s="99"/>
    </row>
    <row r="144" spans="1:10">
      <c r="A144" s="18">
        <v>20620</v>
      </c>
      <c r="B144" s="18">
        <v>2062</v>
      </c>
      <c r="C144" s="18" t="b">
        <v>1</v>
      </c>
      <c r="D144" s="18">
        <v>1</v>
      </c>
      <c r="E144" s="18" t="s">
        <v>3264</v>
      </c>
      <c r="F144" s="18">
        <v>52</v>
      </c>
      <c r="G144" s="18">
        <v>7</v>
      </c>
      <c r="H144" s="99"/>
      <c r="I144" s="99"/>
      <c r="J144" s="99"/>
    </row>
    <row r="145" spans="1:10">
      <c r="A145" s="18">
        <v>20630</v>
      </c>
      <c r="B145" s="18">
        <v>2063</v>
      </c>
      <c r="C145" s="18" t="b">
        <v>1</v>
      </c>
      <c r="D145" s="18">
        <v>1</v>
      </c>
      <c r="E145" s="18" t="s">
        <v>3264</v>
      </c>
      <c r="F145" s="18">
        <v>52</v>
      </c>
      <c r="G145" s="18">
        <v>7</v>
      </c>
      <c r="H145" s="99"/>
      <c r="I145" s="99"/>
      <c r="J145" s="99"/>
    </row>
    <row r="146" spans="1:10">
      <c r="A146" s="18">
        <v>20640</v>
      </c>
      <c r="B146" s="18">
        <v>2064</v>
      </c>
      <c r="C146" s="18" t="b">
        <v>1</v>
      </c>
      <c r="D146" s="18">
        <v>1</v>
      </c>
      <c r="E146" s="18" t="s">
        <v>3264</v>
      </c>
      <c r="F146" s="18">
        <v>52</v>
      </c>
      <c r="G146" s="18">
        <v>7</v>
      </c>
      <c r="H146" s="99"/>
      <c r="I146" s="99"/>
      <c r="J146" s="99"/>
    </row>
    <row r="147" spans="1:10">
      <c r="A147" s="18">
        <v>20650</v>
      </c>
      <c r="B147" s="18">
        <v>2065</v>
      </c>
      <c r="C147" s="18" t="b">
        <v>1</v>
      </c>
      <c r="D147" s="18">
        <v>1</v>
      </c>
      <c r="E147" s="18" t="s">
        <v>3264</v>
      </c>
      <c r="F147" s="18">
        <v>52</v>
      </c>
      <c r="G147" s="18">
        <v>7</v>
      </c>
      <c r="H147" s="99"/>
      <c r="I147" s="99"/>
      <c r="J147" s="99"/>
    </row>
    <row r="148" spans="1:10">
      <c r="A148" s="18">
        <v>20660</v>
      </c>
      <c r="B148" s="18">
        <v>2066</v>
      </c>
      <c r="C148" s="18" t="b">
        <v>1</v>
      </c>
      <c r="D148" s="18">
        <v>1</v>
      </c>
      <c r="E148" s="18" t="s">
        <v>3264</v>
      </c>
      <c r="F148" s="18">
        <v>52</v>
      </c>
      <c r="G148" s="18">
        <v>7</v>
      </c>
      <c r="H148" s="99"/>
      <c r="I148" s="99"/>
      <c r="J148" s="99"/>
    </row>
    <row r="149" spans="1:10">
      <c r="A149" s="18">
        <v>20670</v>
      </c>
      <c r="B149" s="18">
        <v>2067</v>
      </c>
      <c r="C149" s="18" t="b">
        <v>1</v>
      </c>
      <c r="D149" s="18">
        <v>1</v>
      </c>
      <c r="E149" s="18" t="s">
        <v>3264</v>
      </c>
      <c r="F149" s="18">
        <v>52</v>
      </c>
      <c r="G149" s="18">
        <v>7</v>
      </c>
      <c r="H149" s="99"/>
      <c r="I149" s="99"/>
      <c r="J149" s="99"/>
    </row>
    <row r="150" spans="1:10">
      <c r="A150" s="18">
        <v>20680</v>
      </c>
      <c r="B150" s="18">
        <v>2068</v>
      </c>
      <c r="C150" s="18" t="b">
        <v>1</v>
      </c>
      <c r="D150" s="18">
        <v>1</v>
      </c>
      <c r="E150" s="18" t="s">
        <v>3264</v>
      </c>
      <c r="F150" s="18">
        <v>52</v>
      </c>
      <c r="G150" s="18">
        <v>7</v>
      </c>
      <c r="H150" s="99"/>
      <c r="I150" s="99"/>
      <c r="J150" s="99"/>
    </row>
    <row r="151" spans="1:10">
      <c r="A151" s="18">
        <v>20690</v>
      </c>
      <c r="B151" s="18">
        <v>2069</v>
      </c>
      <c r="C151" s="18" t="b">
        <v>1</v>
      </c>
      <c r="D151" s="18">
        <v>1</v>
      </c>
      <c r="E151" s="18" t="s">
        <v>3264</v>
      </c>
      <c r="F151" s="18">
        <v>52</v>
      </c>
      <c r="G151" s="18">
        <v>7</v>
      </c>
      <c r="H151" s="99"/>
      <c r="I151" s="99"/>
      <c r="J151" s="99"/>
    </row>
    <row r="152" spans="1:10">
      <c r="A152" s="18">
        <v>20700</v>
      </c>
      <c r="B152" s="18">
        <v>2070</v>
      </c>
      <c r="C152" s="18" t="b">
        <v>1</v>
      </c>
      <c r="D152" s="18">
        <v>1</v>
      </c>
      <c r="E152" s="18" t="s">
        <v>3264</v>
      </c>
      <c r="F152" s="18">
        <v>52</v>
      </c>
      <c r="G152" s="18">
        <v>7</v>
      </c>
      <c r="H152" s="99"/>
      <c r="I152" s="99"/>
      <c r="J152" s="99"/>
    </row>
    <row r="153" spans="1:10">
      <c r="A153" s="18">
        <v>20710</v>
      </c>
      <c r="B153" s="18">
        <v>2071</v>
      </c>
      <c r="C153" s="18" t="b">
        <v>1</v>
      </c>
      <c r="D153" s="18">
        <v>1</v>
      </c>
      <c r="E153" s="18" t="s">
        <v>3264</v>
      </c>
      <c r="F153" s="18">
        <v>52</v>
      </c>
      <c r="G153" s="18">
        <v>7</v>
      </c>
      <c r="H153" s="99"/>
      <c r="I153" s="99"/>
      <c r="J153" s="99"/>
    </row>
    <row r="154" spans="1:10">
      <c r="A154" s="18">
        <v>20720</v>
      </c>
      <c r="B154" s="18">
        <v>2072</v>
      </c>
      <c r="C154" s="18" t="b">
        <v>1</v>
      </c>
      <c r="D154" s="18">
        <v>1</v>
      </c>
      <c r="E154" s="18" t="s">
        <v>3264</v>
      </c>
      <c r="F154" s="18">
        <v>52</v>
      </c>
      <c r="G154" s="18">
        <v>7</v>
      </c>
      <c r="H154" s="99"/>
      <c r="I154" s="99"/>
      <c r="J154" s="99"/>
    </row>
    <row r="155" spans="1:10">
      <c r="A155" s="18">
        <v>20730</v>
      </c>
      <c r="B155" s="18">
        <v>2073</v>
      </c>
      <c r="C155" s="18" t="b">
        <v>1</v>
      </c>
      <c r="D155" s="18">
        <v>1</v>
      </c>
      <c r="E155" s="18" t="s">
        <v>3264</v>
      </c>
      <c r="F155" s="18">
        <v>52</v>
      </c>
      <c r="G155" s="18">
        <v>7</v>
      </c>
      <c r="H155" s="99"/>
      <c r="I155" s="99"/>
      <c r="J155" s="99"/>
    </row>
    <row r="156" spans="1:10">
      <c r="A156" s="18">
        <v>20740</v>
      </c>
      <c r="B156" s="18">
        <v>2074</v>
      </c>
      <c r="C156" s="18" t="b">
        <v>1</v>
      </c>
      <c r="D156" s="18">
        <v>1</v>
      </c>
      <c r="E156" s="18" t="s">
        <v>3264</v>
      </c>
      <c r="F156" s="18">
        <v>52</v>
      </c>
      <c r="G156" s="18">
        <v>7</v>
      </c>
      <c r="H156" s="99"/>
      <c r="I156" s="99"/>
      <c r="J156" s="99"/>
    </row>
    <row r="157" spans="1:10">
      <c r="A157" s="18">
        <v>20750</v>
      </c>
      <c r="B157" s="18">
        <v>2075</v>
      </c>
      <c r="C157" s="18" t="b">
        <v>1</v>
      </c>
      <c r="D157" s="18">
        <v>1</v>
      </c>
      <c r="E157" s="18" t="s">
        <v>3264</v>
      </c>
      <c r="F157" s="18">
        <v>52</v>
      </c>
      <c r="G157" s="18">
        <v>7</v>
      </c>
      <c r="H157" s="99"/>
      <c r="I157" s="99"/>
      <c r="J157" s="99"/>
    </row>
    <row r="158" spans="1:10">
      <c r="A158" s="18">
        <v>20760</v>
      </c>
      <c r="B158" s="18">
        <v>2076</v>
      </c>
      <c r="C158" s="18" t="b">
        <v>1</v>
      </c>
      <c r="D158" s="18">
        <v>1</v>
      </c>
      <c r="E158" s="18" t="s">
        <v>3264</v>
      </c>
      <c r="F158" s="18">
        <v>52</v>
      </c>
      <c r="G158" s="18">
        <v>7</v>
      </c>
      <c r="H158" s="99"/>
      <c r="I158" s="99"/>
      <c r="J158" s="99"/>
    </row>
    <row r="159" spans="1:10">
      <c r="A159" s="18">
        <v>20770</v>
      </c>
      <c r="B159" s="18">
        <v>2077</v>
      </c>
      <c r="C159" s="18" t="b">
        <v>1</v>
      </c>
      <c r="D159" s="18">
        <v>1</v>
      </c>
      <c r="E159" s="18" t="s">
        <v>3264</v>
      </c>
      <c r="F159" s="18">
        <v>52</v>
      </c>
      <c r="G159" s="18">
        <v>7</v>
      </c>
      <c r="H159" s="99"/>
      <c r="I159" s="99"/>
      <c r="J159" s="99"/>
    </row>
    <row r="160" spans="1:10">
      <c r="A160" s="18">
        <v>20780</v>
      </c>
      <c r="B160" s="18">
        <v>2078</v>
      </c>
      <c r="C160" s="18" t="b">
        <v>1</v>
      </c>
      <c r="D160" s="18">
        <v>1</v>
      </c>
      <c r="E160" s="18" t="s">
        <v>3264</v>
      </c>
      <c r="F160" s="18">
        <v>52</v>
      </c>
      <c r="G160" s="18">
        <v>7</v>
      </c>
      <c r="H160" s="99"/>
      <c r="I160" s="99"/>
      <c r="J160" s="99"/>
    </row>
    <row r="161" spans="1:10">
      <c r="A161" s="18">
        <v>20790</v>
      </c>
      <c r="B161" s="18">
        <v>2079</v>
      </c>
      <c r="C161" s="18" t="b">
        <v>1</v>
      </c>
      <c r="D161" s="18">
        <v>1</v>
      </c>
      <c r="E161" s="18" t="s">
        <v>3264</v>
      </c>
      <c r="F161" s="18">
        <v>52</v>
      </c>
      <c r="G161" s="18">
        <v>7</v>
      </c>
      <c r="H161" s="99"/>
      <c r="I161" s="99"/>
      <c r="J161" s="99"/>
    </row>
    <row r="162" spans="1:10">
      <c r="A162" s="18">
        <v>20800</v>
      </c>
      <c r="B162" s="18">
        <v>2080</v>
      </c>
      <c r="C162" s="18" t="b">
        <v>1</v>
      </c>
      <c r="D162" s="18">
        <v>1</v>
      </c>
      <c r="E162" s="18" t="s">
        <v>3264</v>
      </c>
      <c r="F162" s="18">
        <v>52</v>
      </c>
      <c r="G162" s="18">
        <v>7</v>
      </c>
      <c r="H162" s="99"/>
      <c r="I162" s="99"/>
      <c r="J162" s="99"/>
    </row>
    <row r="163" spans="1:10">
      <c r="A163" s="18">
        <v>20810</v>
      </c>
      <c r="B163" s="18">
        <v>2081</v>
      </c>
      <c r="C163" s="18" t="b">
        <v>1</v>
      </c>
      <c r="D163" s="18">
        <v>1</v>
      </c>
      <c r="E163" s="18" t="s">
        <v>3264</v>
      </c>
      <c r="F163" s="18">
        <v>52</v>
      </c>
      <c r="G163" s="18">
        <v>7</v>
      </c>
      <c r="H163" s="99"/>
      <c r="I163" s="99"/>
      <c r="J163" s="99"/>
    </row>
    <row r="164" spans="1:10">
      <c r="A164" s="18">
        <v>20820</v>
      </c>
      <c r="B164" s="18">
        <v>2082</v>
      </c>
      <c r="C164" s="18" t="b">
        <v>1</v>
      </c>
      <c r="D164" s="18">
        <v>1</v>
      </c>
      <c r="E164" s="18" t="s">
        <v>3264</v>
      </c>
      <c r="F164" s="18">
        <v>52</v>
      </c>
      <c r="G164" s="18">
        <v>7</v>
      </c>
      <c r="H164" s="99"/>
      <c r="I164" s="99"/>
      <c r="J164" s="99"/>
    </row>
    <row r="165" spans="1:10">
      <c r="A165" s="18">
        <v>20830</v>
      </c>
      <c r="B165" s="18">
        <v>2083</v>
      </c>
      <c r="C165" s="18" t="b">
        <v>1</v>
      </c>
      <c r="D165" s="18">
        <v>1</v>
      </c>
      <c r="E165" s="18" t="s">
        <v>3264</v>
      </c>
      <c r="F165" s="18">
        <v>52</v>
      </c>
      <c r="G165" s="18">
        <v>7</v>
      </c>
      <c r="H165" s="99"/>
      <c r="I165" s="99"/>
      <c r="J165" s="99"/>
    </row>
    <row r="166" spans="1:10">
      <c r="A166" s="18">
        <v>20840</v>
      </c>
      <c r="B166" s="18">
        <v>2084</v>
      </c>
      <c r="C166" s="18" t="b">
        <v>1</v>
      </c>
      <c r="D166" s="18">
        <v>1</v>
      </c>
      <c r="E166" s="18" t="s">
        <v>3264</v>
      </c>
      <c r="F166" s="18">
        <v>52</v>
      </c>
      <c r="G166" s="18">
        <v>7</v>
      </c>
      <c r="H166" s="99"/>
      <c r="I166" s="99"/>
      <c r="J166" s="99"/>
    </row>
    <row r="167" spans="1:10">
      <c r="A167" s="18">
        <v>20850</v>
      </c>
      <c r="B167" s="18">
        <v>2085</v>
      </c>
      <c r="C167" s="18" t="b">
        <v>1</v>
      </c>
      <c r="D167" s="18">
        <v>1</v>
      </c>
      <c r="E167" s="18" t="s">
        <v>3264</v>
      </c>
      <c r="F167" s="18">
        <v>52</v>
      </c>
      <c r="G167" s="18">
        <v>7</v>
      </c>
      <c r="H167" s="99"/>
      <c r="I167" s="99"/>
      <c r="J167" s="99"/>
    </row>
    <row r="168" spans="1:10">
      <c r="A168" s="18">
        <v>20860</v>
      </c>
      <c r="B168" s="18">
        <v>2086</v>
      </c>
      <c r="C168" s="18" t="b">
        <v>1</v>
      </c>
      <c r="D168" s="18">
        <v>1</v>
      </c>
      <c r="E168" s="18" t="s">
        <v>3264</v>
      </c>
      <c r="F168" s="18">
        <v>52</v>
      </c>
      <c r="G168" s="18">
        <v>7</v>
      </c>
      <c r="H168" s="99"/>
      <c r="I168" s="99"/>
      <c r="J168" s="99"/>
    </row>
    <row r="169" spans="1:10">
      <c r="A169" s="18">
        <v>20870</v>
      </c>
      <c r="B169" s="18">
        <v>2087</v>
      </c>
      <c r="C169" s="18" t="b">
        <v>1</v>
      </c>
      <c r="D169" s="18">
        <v>1</v>
      </c>
      <c r="E169" s="18" t="s">
        <v>3264</v>
      </c>
      <c r="F169" s="18">
        <v>52</v>
      </c>
      <c r="G169" s="18">
        <v>7</v>
      </c>
      <c r="H169" s="99"/>
      <c r="I169" s="99"/>
      <c r="J169" s="99"/>
    </row>
    <row r="170" spans="1:10">
      <c r="A170" s="18">
        <v>20880</v>
      </c>
      <c r="B170" s="18">
        <v>2088</v>
      </c>
      <c r="C170" s="18" t="b">
        <v>1</v>
      </c>
      <c r="D170" s="18">
        <v>1</v>
      </c>
      <c r="E170" s="18" t="s">
        <v>3264</v>
      </c>
      <c r="F170" s="18">
        <v>52</v>
      </c>
      <c r="G170" s="18">
        <v>7</v>
      </c>
      <c r="H170" s="99"/>
      <c r="I170" s="99"/>
      <c r="J170" s="99"/>
    </row>
    <row r="171" spans="1:10">
      <c r="A171" s="18">
        <v>20890</v>
      </c>
      <c r="B171" s="18">
        <v>2089</v>
      </c>
      <c r="C171" s="18" t="b">
        <v>1</v>
      </c>
      <c r="D171" s="18">
        <v>1</v>
      </c>
      <c r="E171" s="18" t="s">
        <v>3264</v>
      </c>
      <c r="F171" s="18">
        <v>52</v>
      </c>
      <c r="G171" s="18">
        <v>7</v>
      </c>
      <c r="H171" s="99"/>
      <c r="I171" s="99"/>
      <c r="J171" s="99"/>
    </row>
    <row r="172" spans="1:10">
      <c r="A172" s="18">
        <v>20900</v>
      </c>
      <c r="B172" s="18">
        <v>2090</v>
      </c>
      <c r="C172" s="18" t="b">
        <v>1</v>
      </c>
      <c r="D172" s="18">
        <v>1</v>
      </c>
      <c r="E172" s="18" t="s">
        <v>3264</v>
      </c>
      <c r="F172" s="18">
        <v>52</v>
      </c>
      <c r="G172" s="18">
        <v>7</v>
      </c>
      <c r="H172" s="99"/>
      <c r="I172" s="99"/>
      <c r="J172" s="99"/>
    </row>
    <row r="173" spans="1:10">
      <c r="A173" s="18">
        <v>20910</v>
      </c>
      <c r="B173" s="18">
        <v>2091</v>
      </c>
      <c r="C173" s="18" t="b">
        <v>1</v>
      </c>
      <c r="D173" s="18">
        <v>1</v>
      </c>
      <c r="E173" s="18" t="s">
        <v>3264</v>
      </c>
      <c r="F173" s="18">
        <v>52</v>
      </c>
      <c r="G173" s="18">
        <v>7</v>
      </c>
      <c r="H173" s="99"/>
      <c r="I173" s="99"/>
      <c r="J173" s="99"/>
    </row>
    <row r="174" spans="1:10">
      <c r="A174" s="18">
        <v>20920</v>
      </c>
      <c r="B174" s="18">
        <v>2092</v>
      </c>
      <c r="C174" s="18" t="b">
        <v>1</v>
      </c>
      <c r="D174" s="18">
        <v>1</v>
      </c>
      <c r="E174" s="18" t="s">
        <v>3264</v>
      </c>
      <c r="F174" s="18">
        <v>52</v>
      </c>
      <c r="G174" s="18">
        <v>7</v>
      </c>
      <c r="H174" s="99"/>
      <c r="I174" s="99"/>
      <c r="J174" s="99"/>
    </row>
    <row r="175" spans="1:10">
      <c r="A175" s="18">
        <v>20930</v>
      </c>
      <c r="B175" s="18">
        <v>2093</v>
      </c>
      <c r="C175" s="18" t="b">
        <v>1</v>
      </c>
      <c r="D175" s="18">
        <v>1</v>
      </c>
      <c r="E175" s="18" t="s">
        <v>3264</v>
      </c>
      <c r="F175" s="18">
        <v>52</v>
      </c>
      <c r="G175" s="18">
        <v>7</v>
      </c>
      <c r="H175" s="99"/>
      <c r="I175" s="99"/>
      <c r="J175" s="99"/>
    </row>
    <row r="176" spans="1:10">
      <c r="A176" s="18">
        <v>20940</v>
      </c>
      <c r="B176" s="18">
        <v>2094</v>
      </c>
      <c r="C176" s="18" t="b">
        <v>1</v>
      </c>
      <c r="D176" s="18">
        <v>1</v>
      </c>
      <c r="E176" s="18" t="s">
        <v>3264</v>
      </c>
      <c r="F176" s="18">
        <v>52</v>
      </c>
      <c r="G176" s="18">
        <v>7</v>
      </c>
      <c r="H176" s="99"/>
      <c r="I176" s="99"/>
      <c r="J176" s="99"/>
    </row>
    <row r="177" spans="1:10">
      <c r="A177" s="18">
        <v>20950</v>
      </c>
      <c r="B177" s="18">
        <v>2095</v>
      </c>
      <c r="C177" s="18" t="b">
        <v>1</v>
      </c>
      <c r="D177" s="18">
        <v>1</v>
      </c>
      <c r="E177" s="18" t="s">
        <v>3264</v>
      </c>
      <c r="F177" s="18">
        <v>52</v>
      </c>
      <c r="G177" s="18">
        <v>7</v>
      </c>
      <c r="H177" s="99"/>
      <c r="I177" s="99"/>
      <c r="J177" s="99"/>
    </row>
    <row r="178" spans="1:10">
      <c r="A178" s="18">
        <v>20960</v>
      </c>
      <c r="B178" s="18">
        <v>2096</v>
      </c>
      <c r="C178" s="18" t="b">
        <v>1</v>
      </c>
      <c r="D178" s="18">
        <v>1</v>
      </c>
      <c r="E178" s="18" t="s">
        <v>3264</v>
      </c>
      <c r="F178" s="18">
        <v>52</v>
      </c>
      <c r="G178" s="18">
        <v>7</v>
      </c>
      <c r="H178" s="99"/>
      <c r="I178" s="99"/>
      <c r="J178" s="99"/>
    </row>
    <row r="179" spans="1:10">
      <c r="A179" s="18">
        <v>20970</v>
      </c>
      <c r="B179" s="18">
        <v>2097</v>
      </c>
      <c r="C179" s="18" t="b">
        <v>1</v>
      </c>
      <c r="D179" s="18">
        <v>1</v>
      </c>
      <c r="E179" s="18" t="s">
        <v>3264</v>
      </c>
      <c r="F179" s="18">
        <v>52</v>
      </c>
      <c r="G179" s="18">
        <v>7</v>
      </c>
      <c r="H179" s="99"/>
      <c r="I179" s="99"/>
      <c r="J179" s="99"/>
    </row>
    <row r="180" spans="1:10">
      <c r="A180" s="18">
        <v>20980</v>
      </c>
      <c r="B180" s="18">
        <v>2098</v>
      </c>
      <c r="C180" s="18" t="b">
        <v>1</v>
      </c>
      <c r="D180" s="18">
        <v>1</v>
      </c>
      <c r="E180" s="18" t="s">
        <v>3264</v>
      </c>
      <c r="F180" s="18">
        <v>52</v>
      </c>
      <c r="G180" s="18">
        <v>7</v>
      </c>
      <c r="H180" s="99"/>
      <c r="I180" s="99"/>
      <c r="J180" s="99"/>
    </row>
    <row r="181" spans="1:10">
      <c r="A181" s="18">
        <v>20990</v>
      </c>
      <c r="B181" s="18">
        <v>2099</v>
      </c>
      <c r="C181" s="18" t="b">
        <v>1</v>
      </c>
      <c r="D181" s="18">
        <v>1</v>
      </c>
      <c r="E181" s="18" t="s">
        <v>3264</v>
      </c>
      <c r="F181" s="18">
        <v>52</v>
      </c>
      <c r="G181" s="18">
        <v>7</v>
      </c>
      <c r="H181" s="99"/>
      <c r="I181" s="99"/>
      <c r="J181" s="99"/>
    </row>
    <row r="182" spans="1:10">
      <c r="A182" s="18">
        <v>21000</v>
      </c>
      <c r="B182" s="18">
        <v>2100</v>
      </c>
      <c r="C182" s="18" t="b">
        <v>1</v>
      </c>
      <c r="D182" s="18">
        <v>1</v>
      </c>
      <c r="E182" s="18" t="s">
        <v>3264</v>
      </c>
      <c r="F182" s="18">
        <v>52</v>
      </c>
      <c r="G182" s="18">
        <v>7</v>
      </c>
      <c r="H182" s="99"/>
      <c r="I182" s="99"/>
      <c r="J182" s="99"/>
    </row>
    <row r="183" spans="1:10">
      <c r="A183" s="18">
        <v>21010</v>
      </c>
      <c r="B183" s="18">
        <v>2101</v>
      </c>
      <c r="C183" s="18" t="b">
        <v>1</v>
      </c>
      <c r="D183" s="18">
        <v>1</v>
      </c>
      <c r="E183" s="18" t="s">
        <v>3264</v>
      </c>
      <c r="F183" s="18">
        <v>52</v>
      </c>
      <c r="G183" s="18">
        <v>7</v>
      </c>
      <c r="H183" s="99"/>
      <c r="I183" s="99"/>
      <c r="J183" s="99"/>
    </row>
    <row r="184" spans="1:10">
      <c r="A184" s="18">
        <v>21020</v>
      </c>
      <c r="B184" s="18">
        <v>2102</v>
      </c>
      <c r="C184" s="18" t="b">
        <v>1</v>
      </c>
      <c r="D184" s="18">
        <v>1</v>
      </c>
      <c r="E184" s="18" t="s">
        <v>3264</v>
      </c>
      <c r="F184" s="18">
        <v>52</v>
      </c>
      <c r="G184" s="18">
        <v>7</v>
      </c>
      <c r="H184" s="99"/>
      <c r="I184" s="99"/>
      <c r="J184" s="99"/>
    </row>
    <row r="185" spans="1:10">
      <c r="A185" s="18">
        <v>21030</v>
      </c>
      <c r="B185" s="18">
        <v>2103</v>
      </c>
      <c r="C185" s="18" t="b">
        <v>1</v>
      </c>
      <c r="D185" s="18">
        <v>1</v>
      </c>
      <c r="E185" s="18" t="s">
        <v>3264</v>
      </c>
      <c r="F185" s="18">
        <v>52</v>
      </c>
      <c r="G185" s="18">
        <v>7</v>
      </c>
      <c r="H185" s="99"/>
      <c r="I185" s="99"/>
      <c r="J185" s="99"/>
    </row>
    <row r="186" spans="1:10">
      <c r="A186" s="18">
        <v>21040</v>
      </c>
      <c r="B186" s="18">
        <v>2104</v>
      </c>
      <c r="C186" s="18" t="b">
        <v>1</v>
      </c>
      <c r="D186" s="18">
        <v>1</v>
      </c>
      <c r="E186" s="18" t="s">
        <v>3264</v>
      </c>
      <c r="F186" s="18">
        <v>52</v>
      </c>
      <c r="G186" s="18">
        <v>7</v>
      </c>
      <c r="H186" s="99"/>
      <c r="I186" s="99"/>
      <c r="J186" s="99"/>
    </row>
    <row r="187" spans="1:10">
      <c r="A187" s="18">
        <v>21050</v>
      </c>
      <c r="B187" s="18">
        <v>2105</v>
      </c>
      <c r="C187" s="18" t="b">
        <v>1</v>
      </c>
      <c r="D187" s="18">
        <v>1</v>
      </c>
      <c r="E187" s="18" t="s">
        <v>3264</v>
      </c>
      <c r="F187" s="18">
        <v>52</v>
      </c>
      <c r="G187" s="18">
        <v>7</v>
      </c>
      <c r="H187" s="99"/>
      <c r="I187" s="99"/>
      <c r="J187" s="99"/>
    </row>
    <row r="188" spans="1:10">
      <c r="A188" s="18">
        <v>21060</v>
      </c>
      <c r="B188" s="18">
        <v>2106</v>
      </c>
      <c r="C188" s="18" t="b">
        <v>1</v>
      </c>
      <c r="D188" s="18">
        <v>1</v>
      </c>
      <c r="E188" s="18" t="s">
        <v>3264</v>
      </c>
      <c r="F188" s="18">
        <v>52</v>
      </c>
      <c r="G188" s="18">
        <v>7</v>
      </c>
      <c r="H188" s="99"/>
      <c r="I188" s="99"/>
      <c r="J188" s="99"/>
    </row>
    <row r="189" spans="1:10">
      <c r="A189" s="18">
        <v>21070</v>
      </c>
      <c r="B189" s="18">
        <v>2107</v>
      </c>
      <c r="C189" s="18" t="b">
        <v>1</v>
      </c>
      <c r="D189" s="18">
        <v>1</v>
      </c>
      <c r="E189" s="18" t="s">
        <v>3264</v>
      </c>
      <c r="F189" s="18">
        <v>52</v>
      </c>
      <c r="G189" s="18">
        <v>7</v>
      </c>
      <c r="H189" s="99"/>
      <c r="I189" s="99"/>
      <c r="J189" s="99"/>
    </row>
    <row r="190" spans="1:10">
      <c r="A190" s="18">
        <v>21080</v>
      </c>
      <c r="B190" s="18">
        <v>2108</v>
      </c>
      <c r="C190" s="18" t="b">
        <v>1</v>
      </c>
      <c r="D190" s="18">
        <v>1</v>
      </c>
      <c r="E190" s="18" t="s">
        <v>3264</v>
      </c>
      <c r="F190" s="18">
        <v>52</v>
      </c>
      <c r="G190" s="18">
        <v>7</v>
      </c>
      <c r="H190" s="99"/>
      <c r="I190" s="99"/>
      <c r="J190" s="99"/>
    </row>
    <row r="191" spans="1:10">
      <c r="A191" s="18">
        <v>21090</v>
      </c>
      <c r="B191" s="18">
        <v>2109</v>
      </c>
      <c r="C191" s="18" t="b">
        <v>1</v>
      </c>
      <c r="D191" s="18">
        <v>1</v>
      </c>
      <c r="E191" s="18" t="s">
        <v>3264</v>
      </c>
      <c r="F191" s="18">
        <v>52</v>
      </c>
      <c r="G191" s="18">
        <v>9</v>
      </c>
      <c r="H191" s="99"/>
      <c r="I191" s="99"/>
      <c r="J191" s="99"/>
    </row>
    <row r="192" spans="1:10">
      <c r="A192" s="18">
        <v>21100</v>
      </c>
      <c r="B192" s="18">
        <v>2110</v>
      </c>
      <c r="C192" s="18" t="b">
        <v>1</v>
      </c>
      <c r="D192" s="18">
        <v>1</v>
      </c>
      <c r="E192" s="18" t="s">
        <v>3264</v>
      </c>
      <c r="F192" s="18">
        <v>52</v>
      </c>
      <c r="G192" s="18">
        <v>9</v>
      </c>
      <c r="H192" s="99"/>
      <c r="I192" s="99"/>
      <c r="J192" s="99"/>
    </row>
    <row r="193" spans="1:10">
      <c r="A193" s="18">
        <v>21110</v>
      </c>
      <c r="B193" s="18">
        <v>2111</v>
      </c>
      <c r="C193" s="18" t="b">
        <v>1</v>
      </c>
      <c r="D193" s="18">
        <v>1</v>
      </c>
      <c r="E193" s="18" t="s">
        <v>3264</v>
      </c>
      <c r="F193" s="18">
        <v>52</v>
      </c>
      <c r="G193" s="18">
        <v>10</v>
      </c>
      <c r="H193" s="99"/>
      <c r="I193" s="99"/>
      <c r="J193" s="99"/>
    </row>
    <row r="194" spans="1:10">
      <c r="A194" s="18">
        <v>21120</v>
      </c>
      <c r="B194" s="18">
        <v>2112</v>
      </c>
      <c r="C194" s="18" t="b">
        <v>1</v>
      </c>
      <c r="D194" s="18">
        <v>1</v>
      </c>
      <c r="E194" s="18" t="s">
        <v>3264</v>
      </c>
      <c r="F194" s="18">
        <v>52</v>
      </c>
      <c r="G194" s="18">
        <v>10</v>
      </c>
      <c r="H194" s="99"/>
      <c r="I194" s="99"/>
      <c r="J194" s="99"/>
    </row>
    <row r="195" spans="1:10">
      <c r="A195" s="18">
        <v>21130</v>
      </c>
      <c r="B195" s="18">
        <v>2113</v>
      </c>
      <c r="C195" s="18" t="b">
        <v>1</v>
      </c>
      <c r="D195" s="18">
        <v>1</v>
      </c>
      <c r="E195" s="18" t="s">
        <v>3264</v>
      </c>
      <c r="F195" s="18">
        <v>52</v>
      </c>
      <c r="G195" s="18">
        <v>10</v>
      </c>
      <c r="H195" s="99"/>
      <c r="I195" s="99"/>
      <c r="J195" s="99"/>
    </row>
    <row r="196" spans="1:10">
      <c r="A196" s="18">
        <v>21140</v>
      </c>
      <c r="B196" s="18">
        <v>2114</v>
      </c>
      <c r="C196" s="18" t="b">
        <v>1</v>
      </c>
      <c r="D196" s="18">
        <v>1</v>
      </c>
      <c r="E196" s="18" t="s">
        <v>3264</v>
      </c>
      <c r="F196" s="18">
        <v>52</v>
      </c>
      <c r="G196" s="18">
        <v>10</v>
      </c>
      <c r="H196" s="99"/>
      <c r="I196" s="99"/>
      <c r="J196" s="99"/>
    </row>
    <row r="197" spans="1:10">
      <c r="A197" s="18">
        <v>21150</v>
      </c>
      <c r="B197" s="18">
        <v>2115</v>
      </c>
      <c r="C197" s="18" t="b">
        <v>1</v>
      </c>
      <c r="D197" s="18">
        <v>1</v>
      </c>
      <c r="E197" s="18" t="s">
        <v>3264</v>
      </c>
      <c r="F197" s="18">
        <v>52</v>
      </c>
      <c r="G197" s="18">
        <v>9</v>
      </c>
      <c r="H197" s="99"/>
      <c r="I197" s="99"/>
      <c r="J197" s="99"/>
    </row>
    <row r="198" spans="1:10">
      <c r="A198" s="18">
        <v>21160</v>
      </c>
      <c r="B198" s="18">
        <v>2116</v>
      </c>
      <c r="C198" s="18" t="b">
        <v>1</v>
      </c>
      <c r="D198" s="18">
        <v>1</v>
      </c>
      <c r="E198" s="18" t="s">
        <v>3264</v>
      </c>
      <c r="F198" s="18">
        <v>52</v>
      </c>
      <c r="G198" s="18">
        <v>9</v>
      </c>
      <c r="H198" s="99"/>
      <c r="I198" s="99"/>
      <c r="J198" s="99"/>
    </row>
    <row r="199" spans="1:10">
      <c r="A199" s="18">
        <v>21170</v>
      </c>
      <c r="B199" s="18">
        <v>2117</v>
      </c>
      <c r="C199" s="18" t="b">
        <v>1</v>
      </c>
      <c r="D199" s="18">
        <v>1</v>
      </c>
      <c r="E199" s="18" t="s">
        <v>3264</v>
      </c>
      <c r="F199" s="18">
        <v>52</v>
      </c>
      <c r="G199" s="18">
        <v>9</v>
      </c>
      <c r="H199" s="99"/>
      <c r="I199" s="99"/>
      <c r="J199" s="99"/>
    </row>
    <row r="200" spans="1:10">
      <c r="A200" s="18">
        <v>21180</v>
      </c>
      <c r="B200" s="18">
        <v>2118</v>
      </c>
      <c r="C200" s="18" t="b">
        <v>1</v>
      </c>
      <c r="D200" s="18">
        <v>1</v>
      </c>
      <c r="E200" s="18" t="s">
        <v>3264</v>
      </c>
      <c r="F200" s="18">
        <v>52</v>
      </c>
      <c r="G200" s="18">
        <v>9</v>
      </c>
      <c r="H200" s="99"/>
      <c r="I200" s="99"/>
      <c r="J200" s="99"/>
    </row>
    <row r="201" spans="1:10">
      <c r="A201" s="18">
        <v>21190</v>
      </c>
      <c r="B201" s="18">
        <v>2119</v>
      </c>
      <c r="C201" s="18" t="b">
        <v>1</v>
      </c>
      <c r="D201" s="18">
        <v>1</v>
      </c>
      <c r="E201" s="18" t="s">
        <v>3264</v>
      </c>
      <c r="F201" s="18">
        <v>52</v>
      </c>
      <c r="G201" s="18">
        <v>9</v>
      </c>
      <c r="H201" s="99"/>
      <c r="I201" s="99"/>
      <c r="J201" s="99"/>
    </row>
    <row r="202" spans="1:10">
      <c r="A202" s="18">
        <v>21200</v>
      </c>
      <c r="B202" s="18">
        <v>2120</v>
      </c>
      <c r="C202" s="18" t="b">
        <v>1</v>
      </c>
      <c r="D202" s="18">
        <v>1</v>
      </c>
      <c r="E202" s="18" t="s">
        <v>3264</v>
      </c>
      <c r="F202" s="18">
        <v>52</v>
      </c>
      <c r="G202" s="18">
        <v>9</v>
      </c>
      <c r="H202" s="99"/>
      <c r="I202" s="99"/>
      <c r="J202" s="99"/>
    </row>
    <row r="203" spans="1:10">
      <c r="A203" s="18">
        <v>21210</v>
      </c>
      <c r="B203" s="18">
        <v>2121</v>
      </c>
      <c r="C203" s="18" t="b">
        <v>1</v>
      </c>
      <c r="D203" s="18">
        <v>1</v>
      </c>
      <c r="E203" s="18" t="s">
        <v>3264</v>
      </c>
      <c r="F203" s="18">
        <v>52</v>
      </c>
      <c r="G203" s="18">
        <v>9</v>
      </c>
      <c r="H203" s="99"/>
      <c r="I203" s="99"/>
      <c r="J203" s="99"/>
    </row>
    <row r="204" spans="1:10">
      <c r="A204" s="18">
        <v>21220</v>
      </c>
      <c r="B204" s="18">
        <v>2122</v>
      </c>
      <c r="C204" s="18" t="b">
        <v>1</v>
      </c>
      <c r="D204" s="18">
        <v>1</v>
      </c>
      <c r="E204" s="18" t="s">
        <v>3264</v>
      </c>
      <c r="F204" s="18">
        <v>52</v>
      </c>
      <c r="G204" s="18">
        <v>9</v>
      </c>
      <c r="H204" s="99"/>
      <c r="I204" s="99"/>
      <c r="J204" s="99"/>
    </row>
    <row r="205" spans="1:10">
      <c r="A205" s="18">
        <v>21230</v>
      </c>
      <c r="B205" s="18">
        <v>2123</v>
      </c>
      <c r="C205" s="18" t="b">
        <v>1</v>
      </c>
      <c r="D205" s="18">
        <v>1</v>
      </c>
      <c r="E205" s="116" t="s">
        <v>3264</v>
      </c>
      <c r="F205" s="18">
        <v>52</v>
      </c>
      <c r="G205" s="116">
        <v>10</v>
      </c>
      <c r="H205" s="115"/>
      <c r="I205" s="115"/>
      <c r="J205" s="115"/>
    </row>
    <row r="206" spans="1:10">
      <c r="A206" s="18">
        <v>21240</v>
      </c>
      <c r="B206" s="18">
        <v>2124</v>
      </c>
      <c r="C206" s="18" t="b">
        <v>1</v>
      </c>
      <c r="D206" s="18">
        <v>1</v>
      </c>
      <c r="E206" s="18" t="s">
        <v>3264</v>
      </c>
      <c r="F206" s="18">
        <v>52</v>
      </c>
      <c r="G206" s="18">
        <v>10</v>
      </c>
      <c r="H206" s="99"/>
      <c r="I206" s="99"/>
      <c r="J206" s="99"/>
    </row>
    <row r="207" spans="1:10">
      <c r="A207" s="18">
        <v>21250</v>
      </c>
      <c r="B207" s="18">
        <v>2125</v>
      </c>
      <c r="C207" s="18" t="b">
        <v>1</v>
      </c>
      <c r="D207" s="18">
        <v>1</v>
      </c>
      <c r="E207" s="18" t="s">
        <v>3264</v>
      </c>
      <c r="F207" s="18">
        <v>52</v>
      </c>
      <c r="G207" s="18">
        <v>10</v>
      </c>
      <c r="H207" s="99"/>
      <c r="I207" s="99"/>
      <c r="J207" s="99"/>
    </row>
    <row r="208" spans="1:10">
      <c r="A208" s="18">
        <v>21260</v>
      </c>
      <c r="B208" s="18">
        <v>2126</v>
      </c>
      <c r="C208" s="18" t="b">
        <v>1</v>
      </c>
      <c r="D208" s="18">
        <v>1</v>
      </c>
      <c r="E208" s="18" t="s">
        <v>3264</v>
      </c>
      <c r="F208" s="18">
        <v>52</v>
      </c>
      <c r="G208" s="18">
        <v>10</v>
      </c>
      <c r="H208" s="99"/>
      <c r="I208" s="99"/>
      <c r="J208" s="99"/>
    </row>
    <row r="209" spans="1:10">
      <c r="A209" s="18">
        <v>21270</v>
      </c>
      <c r="B209" s="18">
        <v>2127</v>
      </c>
      <c r="C209" s="18" t="b">
        <v>1</v>
      </c>
      <c r="D209" s="18">
        <v>1</v>
      </c>
      <c r="E209" s="18" t="s">
        <v>3264</v>
      </c>
      <c r="F209" s="18">
        <v>52</v>
      </c>
      <c r="G209" s="18">
        <v>9</v>
      </c>
      <c r="H209" s="99"/>
      <c r="I209" s="99"/>
      <c r="J209" s="99"/>
    </row>
    <row r="210" spans="1:10">
      <c r="A210" s="18">
        <v>21280</v>
      </c>
      <c r="B210" s="18">
        <v>2128</v>
      </c>
      <c r="C210" s="18" t="b">
        <v>1</v>
      </c>
      <c r="D210" s="18">
        <v>1</v>
      </c>
      <c r="E210" s="18" t="s">
        <v>3264</v>
      </c>
      <c r="F210" s="18">
        <v>52</v>
      </c>
      <c r="G210" s="18">
        <v>10</v>
      </c>
      <c r="H210" s="99"/>
      <c r="I210" s="99"/>
      <c r="J210" s="99"/>
    </row>
    <row r="211" spans="1:10">
      <c r="A211" s="18">
        <v>21290</v>
      </c>
      <c r="B211" s="18">
        <v>2129</v>
      </c>
      <c r="C211" s="18" t="b">
        <v>1</v>
      </c>
      <c r="D211" s="18">
        <v>1</v>
      </c>
      <c r="E211" s="18" t="s">
        <v>3264</v>
      </c>
      <c r="F211" s="18">
        <v>52</v>
      </c>
      <c r="G211" s="18">
        <v>10</v>
      </c>
      <c r="H211" s="99"/>
      <c r="I211" s="99"/>
      <c r="J211" s="99"/>
    </row>
    <row r="212" spans="1:10">
      <c r="A212" s="18">
        <v>21300</v>
      </c>
      <c r="B212" s="18">
        <v>2130</v>
      </c>
      <c r="C212" s="18" t="b">
        <v>1</v>
      </c>
      <c r="D212" s="18">
        <v>1</v>
      </c>
      <c r="E212" s="18" t="s">
        <v>3264</v>
      </c>
      <c r="F212" s="18">
        <v>52</v>
      </c>
      <c r="G212" s="18">
        <v>10</v>
      </c>
      <c r="H212" s="99"/>
      <c r="I212" s="99"/>
      <c r="J212" s="99"/>
    </row>
    <row r="213" spans="1:10">
      <c r="A213" s="18">
        <v>21310</v>
      </c>
      <c r="B213" s="18">
        <v>2131</v>
      </c>
      <c r="C213" s="18" t="b">
        <v>1</v>
      </c>
      <c r="D213" s="18">
        <v>1</v>
      </c>
      <c r="E213" s="18" t="s">
        <v>3264</v>
      </c>
      <c r="F213" s="18">
        <v>52</v>
      </c>
      <c r="G213" s="18">
        <v>9</v>
      </c>
      <c r="H213" s="99"/>
      <c r="I213" s="99"/>
      <c r="J213" s="99"/>
    </row>
    <row r="214" spans="1:10">
      <c r="A214" s="18">
        <v>21320</v>
      </c>
      <c r="B214" s="18">
        <v>2132</v>
      </c>
      <c r="C214" s="18" t="b">
        <v>1</v>
      </c>
      <c r="D214" s="18">
        <v>1</v>
      </c>
      <c r="E214" s="18" t="s">
        <v>3264</v>
      </c>
      <c r="F214" s="18">
        <v>52</v>
      </c>
      <c r="G214" s="18">
        <v>10</v>
      </c>
      <c r="H214" s="99"/>
      <c r="I214" s="99"/>
      <c r="J214" s="99"/>
    </row>
    <row r="215" spans="1:10">
      <c r="A215" s="18">
        <v>21330</v>
      </c>
      <c r="B215" s="18">
        <v>2133</v>
      </c>
      <c r="C215" s="18" t="b">
        <v>1</v>
      </c>
      <c r="D215" s="18">
        <v>1</v>
      </c>
      <c r="E215" s="18" t="s">
        <v>3264</v>
      </c>
      <c r="F215" s="18">
        <v>52</v>
      </c>
      <c r="G215" s="18">
        <v>9</v>
      </c>
      <c r="H215" s="99"/>
      <c r="I215" s="99"/>
      <c r="J215" s="99"/>
    </row>
    <row r="216" spans="1:10">
      <c r="A216" s="18">
        <v>21340</v>
      </c>
      <c r="B216" s="18">
        <v>2134</v>
      </c>
      <c r="C216" s="18" t="b">
        <v>1</v>
      </c>
      <c r="D216" s="18">
        <v>1</v>
      </c>
      <c r="E216" s="18" t="s">
        <v>3264</v>
      </c>
      <c r="F216" s="18">
        <v>52</v>
      </c>
      <c r="G216" s="18">
        <v>10</v>
      </c>
      <c r="H216" s="99"/>
      <c r="I216" s="99"/>
      <c r="J216" s="99"/>
    </row>
    <row r="217" spans="1:10">
      <c r="A217" s="18">
        <v>21350</v>
      </c>
      <c r="B217" s="18">
        <v>2135</v>
      </c>
      <c r="C217" s="18" t="b">
        <v>1</v>
      </c>
      <c r="D217" s="18">
        <v>1</v>
      </c>
      <c r="E217" s="18" t="s">
        <v>3264</v>
      </c>
      <c r="F217" s="18">
        <v>52</v>
      </c>
      <c r="G217" s="18">
        <v>10</v>
      </c>
      <c r="H217" s="99"/>
      <c r="I217" s="99"/>
      <c r="J217" s="99"/>
    </row>
    <row r="218" spans="1:10">
      <c r="A218" s="18">
        <v>21360</v>
      </c>
      <c r="B218" s="18">
        <v>2136</v>
      </c>
      <c r="C218" s="18" t="b">
        <v>1</v>
      </c>
      <c r="D218" s="18">
        <v>1</v>
      </c>
      <c r="E218" s="18" t="s">
        <v>3264</v>
      </c>
      <c r="F218" s="18">
        <v>52</v>
      </c>
      <c r="G218" s="18">
        <v>10</v>
      </c>
      <c r="H218" s="99"/>
      <c r="I218" s="99"/>
      <c r="J218" s="99"/>
    </row>
    <row r="219" spans="1:10">
      <c r="A219" s="18">
        <v>21370</v>
      </c>
      <c r="B219" s="18">
        <v>2137</v>
      </c>
      <c r="C219" s="18" t="b">
        <v>1</v>
      </c>
      <c r="D219" s="18">
        <v>1</v>
      </c>
      <c r="E219" s="18" t="s">
        <v>3264</v>
      </c>
      <c r="F219" s="18">
        <v>52</v>
      </c>
      <c r="G219" s="18">
        <v>10</v>
      </c>
      <c r="H219" s="99"/>
      <c r="I219" s="99"/>
      <c r="J219" s="99"/>
    </row>
    <row r="220" spans="1:10">
      <c r="A220" s="18">
        <v>21380</v>
      </c>
      <c r="B220" s="18">
        <v>2138</v>
      </c>
      <c r="C220" s="18" t="b">
        <v>1</v>
      </c>
      <c r="D220" s="18">
        <v>1</v>
      </c>
      <c r="E220" s="18" t="s">
        <v>3264</v>
      </c>
      <c r="F220" s="18">
        <v>52</v>
      </c>
      <c r="G220" s="18">
        <v>9</v>
      </c>
      <c r="H220" s="99"/>
      <c r="I220" s="99"/>
      <c r="J220" s="99"/>
    </row>
    <row r="221" spans="1:10">
      <c r="A221" s="18">
        <v>21390</v>
      </c>
      <c r="B221" s="18">
        <v>2139</v>
      </c>
      <c r="C221" s="18" t="b">
        <v>1</v>
      </c>
      <c r="D221" s="18">
        <v>1</v>
      </c>
      <c r="E221" s="18" t="s">
        <v>3264</v>
      </c>
      <c r="F221" s="18">
        <v>52</v>
      </c>
      <c r="G221" s="18">
        <v>10</v>
      </c>
      <c r="H221" s="99"/>
      <c r="I221" s="99"/>
      <c r="J221" s="99"/>
    </row>
    <row r="222" spans="1:10">
      <c r="A222" s="18">
        <v>21400</v>
      </c>
      <c r="B222" s="18">
        <v>2140</v>
      </c>
      <c r="C222" s="18" t="b">
        <v>1</v>
      </c>
      <c r="D222" s="18">
        <v>1</v>
      </c>
      <c r="E222" s="18" t="s">
        <v>3264</v>
      </c>
      <c r="F222" s="18">
        <v>52</v>
      </c>
      <c r="G222" s="18">
        <v>9</v>
      </c>
      <c r="H222" s="99"/>
      <c r="I222" s="99"/>
      <c r="J222" s="99"/>
    </row>
    <row r="223" spans="1:10">
      <c r="A223" s="18">
        <v>21410</v>
      </c>
      <c r="B223" s="18">
        <v>2141</v>
      </c>
      <c r="C223" s="18" t="b">
        <v>1</v>
      </c>
      <c r="D223" s="18">
        <v>1</v>
      </c>
      <c r="E223" s="18" t="s">
        <v>3264</v>
      </c>
      <c r="F223" s="18">
        <v>52</v>
      </c>
      <c r="G223" s="18">
        <v>10</v>
      </c>
      <c r="H223" s="99"/>
      <c r="I223" s="99"/>
      <c r="J223" s="99"/>
    </row>
    <row r="224" spans="1:10">
      <c r="A224" s="18">
        <v>21420</v>
      </c>
      <c r="B224" s="18">
        <v>2142</v>
      </c>
      <c r="C224" s="18" t="b">
        <v>1</v>
      </c>
      <c r="D224" s="18">
        <v>1</v>
      </c>
      <c r="E224" s="18" t="s">
        <v>3264</v>
      </c>
      <c r="F224" s="18">
        <v>52</v>
      </c>
      <c r="G224" s="18">
        <v>9</v>
      </c>
      <c r="H224" s="99"/>
      <c r="I224" s="99"/>
      <c r="J224" s="99"/>
    </row>
    <row r="225" spans="1:10">
      <c r="A225" s="18">
        <v>21430</v>
      </c>
      <c r="B225" s="18">
        <v>2143</v>
      </c>
      <c r="C225" s="18" t="b">
        <v>1</v>
      </c>
      <c r="D225" s="18">
        <v>1</v>
      </c>
      <c r="E225" s="18" t="s">
        <v>3264</v>
      </c>
      <c r="F225" s="18">
        <v>52</v>
      </c>
      <c r="G225" s="18">
        <v>10</v>
      </c>
      <c r="H225" s="99"/>
      <c r="I225" s="99"/>
      <c r="J225" s="99"/>
    </row>
    <row r="226" spans="1:10">
      <c r="A226" s="18">
        <v>21440</v>
      </c>
      <c r="B226" s="18">
        <v>2144</v>
      </c>
      <c r="C226" s="18" t="b">
        <v>1</v>
      </c>
      <c r="D226" s="18">
        <v>1</v>
      </c>
      <c r="E226" s="18" t="s">
        <v>3264</v>
      </c>
      <c r="F226" s="18">
        <v>52</v>
      </c>
      <c r="G226" s="18">
        <v>9</v>
      </c>
      <c r="H226" s="99"/>
      <c r="I226" s="99"/>
      <c r="J226" s="99"/>
    </row>
    <row r="227" spans="1:10">
      <c r="A227" s="18">
        <v>21450</v>
      </c>
      <c r="B227" s="18">
        <v>2145</v>
      </c>
      <c r="C227" s="18" t="b">
        <v>1</v>
      </c>
      <c r="D227" s="18">
        <v>1</v>
      </c>
      <c r="E227" s="18" t="s">
        <v>3264</v>
      </c>
      <c r="F227" s="18">
        <v>52</v>
      </c>
      <c r="G227" s="18">
        <v>10</v>
      </c>
      <c r="H227" s="99"/>
      <c r="I227" s="99"/>
      <c r="J227" s="99"/>
    </row>
    <row r="228" spans="1:10">
      <c r="A228" s="18">
        <v>21460</v>
      </c>
      <c r="B228" s="18">
        <v>2146</v>
      </c>
      <c r="C228" s="18" t="b">
        <v>1</v>
      </c>
      <c r="D228" s="18">
        <v>1</v>
      </c>
      <c r="E228" s="18" t="s">
        <v>3264</v>
      </c>
      <c r="F228" s="18">
        <v>52</v>
      </c>
      <c r="G228" s="18">
        <v>10</v>
      </c>
      <c r="H228" s="99"/>
      <c r="I228" s="99"/>
      <c r="J228" s="99"/>
    </row>
    <row r="229" spans="1:10">
      <c r="A229" s="18">
        <v>21470</v>
      </c>
      <c r="B229" s="18">
        <v>2147</v>
      </c>
      <c r="C229" s="18" t="b">
        <v>1</v>
      </c>
      <c r="D229" s="18">
        <v>1</v>
      </c>
      <c r="E229" s="18" t="s">
        <v>3264</v>
      </c>
      <c r="F229" s="18">
        <v>52</v>
      </c>
      <c r="G229" s="18">
        <v>10</v>
      </c>
      <c r="H229" s="99"/>
      <c r="I229" s="99"/>
      <c r="J229" s="99"/>
    </row>
    <row r="230" spans="1:10">
      <c r="A230" s="18">
        <v>21480</v>
      </c>
      <c r="B230" s="18">
        <v>2148</v>
      </c>
      <c r="C230" s="18" t="b">
        <v>1</v>
      </c>
      <c r="D230" s="18">
        <v>1</v>
      </c>
      <c r="E230" s="18" t="s">
        <v>3264</v>
      </c>
      <c r="F230" s="18">
        <v>52</v>
      </c>
      <c r="G230" s="18">
        <v>9</v>
      </c>
      <c r="H230" s="99"/>
      <c r="I230" s="99"/>
      <c r="J230" s="99"/>
    </row>
    <row r="231" spans="1:10">
      <c r="A231" s="18">
        <v>21490</v>
      </c>
      <c r="B231" s="18">
        <v>2149</v>
      </c>
      <c r="C231" s="18" t="b">
        <v>1</v>
      </c>
      <c r="D231" s="18">
        <v>1</v>
      </c>
      <c r="E231" s="18" t="s">
        <v>3264</v>
      </c>
      <c r="F231" s="18">
        <v>52</v>
      </c>
      <c r="G231" s="18">
        <v>9</v>
      </c>
      <c r="H231" s="99"/>
      <c r="I231" s="99"/>
      <c r="J231" s="99"/>
    </row>
    <row r="232" spans="1:10">
      <c r="A232" s="18">
        <v>21500</v>
      </c>
      <c r="B232" s="18">
        <v>2150</v>
      </c>
      <c r="C232" s="18" t="b">
        <v>1</v>
      </c>
      <c r="D232" s="18">
        <v>1</v>
      </c>
      <c r="E232" s="18" t="s">
        <v>3264</v>
      </c>
      <c r="F232" s="18">
        <v>52</v>
      </c>
      <c r="G232" s="18">
        <v>9</v>
      </c>
      <c r="H232" s="99"/>
      <c r="I232" s="99"/>
      <c r="J232" s="99"/>
    </row>
    <row r="233" spans="1:10">
      <c r="A233" s="18">
        <v>21510</v>
      </c>
      <c r="B233" s="18">
        <v>2151</v>
      </c>
      <c r="C233" s="18" t="b">
        <v>1</v>
      </c>
      <c r="D233" s="18">
        <v>1</v>
      </c>
      <c r="E233" s="18" t="s">
        <v>3264</v>
      </c>
      <c r="F233" s="18">
        <v>52</v>
      </c>
      <c r="G233" s="18">
        <v>9</v>
      </c>
      <c r="H233" s="99"/>
      <c r="I233" s="99"/>
      <c r="J233" s="99"/>
    </row>
    <row r="234" spans="1:10">
      <c r="A234" s="18">
        <v>21520</v>
      </c>
      <c r="B234" s="18">
        <v>2152</v>
      </c>
      <c r="C234" s="18" t="b">
        <v>1</v>
      </c>
      <c r="D234" s="18">
        <v>1</v>
      </c>
      <c r="E234" s="18" t="s">
        <v>3264</v>
      </c>
      <c r="F234" s="18">
        <v>52</v>
      </c>
      <c r="G234" s="18">
        <v>9</v>
      </c>
      <c r="H234" s="99"/>
      <c r="I234" s="99"/>
      <c r="J234" s="99"/>
    </row>
    <row r="235" spans="1:10">
      <c r="A235" s="18">
        <v>21530</v>
      </c>
      <c r="B235" s="18">
        <v>2153</v>
      </c>
      <c r="C235" s="18" t="b">
        <v>1</v>
      </c>
      <c r="D235" s="18">
        <v>1</v>
      </c>
      <c r="E235" s="18" t="s">
        <v>3264</v>
      </c>
      <c r="F235" s="18">
        <v>52</v>
      </c>
      <c r="G235" s="18">
        <v>10</v>
      </c>
      <c r="H235" s="99"/>
      <c r="I235" s="99"/>
      <c r="J235" s="99"/>
    </row>
    <row r="236" spans="1:10">
      <c r="A236" s="18">
        <v>21540</v>
      </c>
      <c r="B236" s="18">
        <v>2154</v>
      </c>
      <c r="C236" s="18" t="b">
        <v>1</v>
      </c>
      <c r="D236" s="18">
        <v>1</v>
      </c>
      <c r="E236" s="18" t="s">
        <v>3264</v>
      </c>
      <c r="F236" s="18">
        <v>52</v>
      </c>
      <c r="G236" s="18">
        <v>9</v>
      </c>
      <c r="H236" s="99"/>
      <c r="I236" s="99"/>
      <c r="J236" s="99"/>
    </row>
    <row r="237" spans="1:10">
      <c r="A237" s="18">
        <v>21550</v>
      </c>
      <c r="B237" s="18">
        <v>2155</v>
      </c>
      <c r="C237" s="18" t="b">
        <v>1</v>
      </c>
      <c r="D237" s="18">
        <v>1</v>
      </c>
      <c r="E237" s="18" t="s">
        <v>3264</v>
      </c>
      <c r="F237" s="18">
        <v>52</v>
      </c>
      <c r="G237" s="18">
        <v>10</v>
      </c>
      <c r="H237" s="99"/>
      <c r="I237" s="99"/>
      <c r="J237" s="99"/>
    </row>
    <row r="238" spans="1:10">
      <c r="A238" s="18">
        <v>21560</v>
      </c>
      <c r="B238" s="18">
        <v>2156</v>
      </c>
      <c r="C238" s="18" t="b">
        <v>1</v>
      </c>
      <c r="D238" s="23">
        <v>1</v>
      </c>
      <c r="E238" s="23" t="s">
        <v>3264</v>
      </c>
      <c r="F238" s="23">
        <v>52</v>
      </c>
      <c r="G238" s="23">
        <v>9</v>
      </c>
      <c r="H238" s="115"/>
      <c r="I238" s="115"/>
      <c r="J238" s="115"/>
    </row>
    <row r="239" spans="1:10">
      <c r="A239" s="18">
        <v>21570</v>
      </c>
      <c r="B239" s="18">
        <v>2157</v>
      </c>
      <c r="C239" s="18" t="b">
        <v>1</v>
      </c>
      <c r="D239" s="18">
        <v>1</v>
      </c>
      <c r="E239" s="18" t="s">
        <v>3264</v>
      </c>
      <c r="F239" s="18">
        <v>52</v>
      </c>
      <c r="G239" s="18">
        <v>10</v>
      </c>
      <c r="H239" s="99"/>
      <c r="I239" s="99"/>
      <c r="J239" s="99"/>
    </row>
    <row r="240" spans="1:10">
      <c r="A240" s="18">
        <v>21580</v>
      </c>
      <c r="B240" s="18">
        <v>2158</v>
      </c>
      <c r="C240" s="18" t="b">
        <v>1</v>
      </c>
      <c r="D240" s="18">
        <v>1</v>
      </c>
      <c r="E240" s="18" t="s">
        <v>3264</v>
      </c>
      <c r="F240" s="18">
        <v>52</v>
      </c>
      <c r="G240" s="18">
        <v>10</v>
      </c>
      <c r="H240" s="99"/>
      <c r="I240" s="99"/>
      <c r="J240" s="99"/>
    </row>
    <row r="241" spans="1:10">
      <c r="A241" s="18">
        <v>21590</v>
      </c>
      <c r="B241" s="18">
        <v>2159</v>
      </c>
      <c r="C241" s="18" t="b">
        <v>1</v>
      </c>
      <c r="D241" s="18">
        <v>1</v>
      </c>
      <c r="E241" s="18" t="s">
        <v>3264</v>
      </c>
      <c r="F241" s="18">
        <v>52</v>
      </c>
      <c r="G241" s="18">
        <v>9</v>
      </c>
      <c r="H241" s="99"/>
      <c r="I241" s="99"/>
      <c r="J241" s="99"/>
    </row>
    <row r="242" spans="1:10">
      <c r="A242" s="18">
        <v>21600</v>
      </c>
      <c r="B242" s="18">
        <v>2160</v>
      </c>
      <c r="C242" s="18" t="b">
        <v>1</v>
      </c>
      <c r="D242" s="18">
        <v>1</v>
      </c>
      <c r="E242" s="18" t="s">
        <v>3264</v>
      </c>
      <c r="F242" s="18">
        <v>52</v>
      </c>
      <c r="G242" s="18">
        <v>9</v>
      </c>
      <c r="H242" s="99"/>
      <c r="I242" s="99"/>
      <c r="J242" s="99"/>
    </row>
    <row r="243" spans="1:10">
      <c r="A243" s="18">
        <v>21610</v>
      </c>
      <c r="B243" s="18">
        <v>2161</v>
      </c>
      <c r="C243" s="18" t="b">
        <v>1</v>
      </c>
      <c r="D243" s="18">
        <v>1</v>
      </c>
      <c r="E243" s="18" t="s">
        <v>3264</v>
      </c>
      <c r="F243" s="18">
        <v>52</v>
      </c>
      <c r="G243" s="18">
        <v>9</v>
      </c>
      <c r="H243" s="99"/>
      <c r="I243" s="99"/>
      <c r="J243" s="99"/>
    </row>
    <row r="244" spans="1:10">
      <c r="A244" s="18">
        <v>21620</v>
      </c>
      <c r="B244" s="18">
        <v>2162</v>
      </c>
      <c r="C244" s="18" t="b">
        <v>1</v>
      </c>
      <c r="D244" s="18">
        <v>1</v>
      </c>
      <c r="E244" s="18" t="s">
        <v>3264</v>
      </c>
      <c r="F244" s="18">
        <v>52</v>
      </c>
      <c r="G244" s="18">
        <v>9</v>
      </c>
      <c r="H244" s="99"/>
      <c r="I244" s="99"/>
      <c r="J244" s="99"/>
    </row>
    <row r="245" spans="1:10">
      <c r="A245" s="18">
        <v>21630</v>
      </c>
      <c r="B245" s="18">
        <v>2163</v>
      </c>
      <c r="C245" s="18" t="b">
        <v>1</v>
      </c>
      <c r="D245" s="18">
        <v>1</v>
      </c>
      <c r="E245" s="18" t="s">
        <v>3264</v>
      </c>
      <c r="F245" s="18">
        <v>52</v>
      </c>
      <c r="G245" s="18">
        <v>9</v>
      </c>
      <c r="H245" s="99"/>
      <c r="I245" s="99"/>
      <c r="J245" s="99"/>
    </row>
    <row r="246" spans="1:10">
      <c r="A246" s="18">
        <v>21640</v>
      </c>
      <c r="B246" s="18">
        <v>2164</v>
      </c>
      <c r="C246" s="18" t="b">
        <v>1</v>
      </c>
      <c r="D246" s="18">
        <v>1</v>
      </c>
      <c r="E246" s="18" t="s">
        <v>3264</v>
      </c>
      <c r="F246" s="18">
        <v>52</v>
      </c>
      <c r="G246" s="18">
        <v>9</v>
      </c>
      <c r="H246" s="99"/>
      <c r="I246" s="99"/>
      <c r="J246" s="99"/>
    </row>
    <row r="247" spans="1:10">
      <c r="A247" s="18">
        <v>21650</v>
      </c>
      <c r="B247" s="18">
        <v>2165</v>
      </c>
      <c r="C247" s="18" t="b">
        <v>1</v>
      </c>
      <c r="D247" s="18">
        <v>1</v>
      </c>
      <c r="E247" s="18" t="s">
        <v>3264</v>
      </c>
      <c r="F247" s="18">
        <v>52</v>
      </c>
      <c r="G247" s="18">
        <v>9</v>
      </c>
      <c r="H247" s="99"/>
      <c r="I247" s="99"/>
      <c r="J247" s="99"/>
    </row>
    <row r="248" spans="1:10">
      <c r="A248" s="18">
        <v>21660</v>
      </c>
      <c r="B248" s="18">
        <v>2166</v>
      </c>
      <c r="C248" s="18" t="b">
        <v>1</v>
      </c>
      <c r="D248" s="18">
        <v>1</v>
      </c>
      <c r="E248" s="18" t="s">
        <v>3264</v>
      </c>
      <c r="F248" s="18">
        <v>52</v>
      </c>
      <c r="G248" s="18">
        <v>9</v>
      </c>
      <c r="H248" s="99"/>
      <c r="I248" s="99"/>
      <c r="J248" s="99"/>
    </row>
    <row r="249" spans="1:10">
      <c r="A249" s="18">
        <v>21670</v>
      </c>
      <c r="B249" s="18">
        <v>2167</v>
      </c>
      <c r="C249" s="18" t="b">
        <v>1</v>
      </c>
      <c r="D249" s="18">
        <v>1</v>
      </c>
      <c r="E249" s="18" t="s">
        <v>3264</v>
      </c>
      <c r="F249" s="18">
        <v>52</v>
      </c>
      <c r="G249" s="18">
        <v>9</v>
      </c>
      <c r="H249" s="99"/>
      <c r="I249" s="99"/>
      <c r="J249" s="99"/>
    </row>
    <row r="250" spans="1:10">
      <c r="A250" s="18">
        <v>21680</v>
      </c>
      <c r="B250" s="18">
        <v>2168</v>
      </c>
      <c r="C250" s="18" t="b">
        <v>1</v>
      </c>
      <c r="D250" s="18">
        <v>1</v>
      </c>
      <c r="E250" s="18" t="s">
        <v>3264</v>
      </c>
      <c r="F250" s="18">
        <v>52</v>
      </c>
      <c r="G250" s="18">
        <v>9</v>
      </c>
      <c r="H250" s="99"/>
      <c r="I250" s="99"/>
      <c r="J250" s="99"/>
    </row>
    <row r="251" spans="1:10">
      <c r="A251" s="33">
        <v>30010</v>
      </c>
      <c r="B251" s="33">
        <v>3001</v>
      </c>
      <c r="C251" s="34" t="b">
        <v>1</v>
      </c>
      <c r="D251" s="34">
        <v>1</v>
      </c>
      <c r="E251" s="34" t="s">
        <v>3264</v>
      </c>
      <c r="F251" s="33">
        <v>52</v>
      </c>
      <c r="G251" s="33">
        <v>8</v>
      </c>
      <c r="H251" s="34"/>
      <c r="I251" s="34"/>
      <c r="J251" s="34"/>
    </row>
    <row r="252" spans="1:10">
      <c r="A252" s="33">
        <v>30020</v>
      </c>
      <c r="B252" s="33">
        <v>3002</v>
      </c>
      <c r="C252" s="34" t="b">
        <v>1</v>
      </c>
      <c r="D252" s="34">
        <v>1</v>
      </c>
      <c r="E252" s="34" t="s">
        <v>3264</v>
      </c>
      <c r="F252" s="33">
        <v>52</v>
      </c>
      <c r="G252" s="33">
        <v>8</v>
      </c>
      <c r="H252" s="34"/>
      <c r="I252" s="34"/>
      <c r="J252" s="34"/>
    </row>
    <row r="253" spans="1:10">
      <c r="A253" s="33">
        <v>30030</v>
      </c>
      <c r="B253" s="33">
        <v>3003</v>
      </c>
      <c r="C253" s="34" t="b">
        <v>1</v>
      </c>
      <c r="D253" s="34">
        <v>1</v>
      </c>
      <c r="E253" s="34" t="s">
        <v>3264</v>
      </c>
      <c r="F253" s="33">
        <v>52</v>
      </c>
      <c r="G253" s="33">
        <v>8</v>
      </c>
      <c r="H253" s="34"/>
      <c r="I253" s="34"/>
      <c r="J253" s="34"/>
    </row>
    <row r="254" spans="1:10">
      <c r="A254" s="33">
        <v>30040</v>
      </c>
      <c r="B254" s="33">
        <v>3004</v>
      </c>
      <c r="C254" s="34" t="b">
        <v>1</v>
      </c>
      <c r="D254" s="34">
        <v>1</v>
      </c>
      <c r="E254" s="34" t="s">
        <v>3264</v>
      </c>
      <c r="F254" s="33">
        <v>52</v>
      </c>
      <c r="G254" s="33">
        <v>8</v>
      </c>
      <c r="H254" s="34"/>
      <c r="I254" s="34"/>
      <c r="J254" s="34"/>
    </row>
    <row r="255" spans="1:10">
      <c r="A255" s="33">
        <v>30050</v>
      </c>
      <c r="B255" s="33">
        <v>3005</v>
      </c>
      <c r="C255" s="34" t="b">
        <v>1</v>
      </c>
      <c r="D255" s="34">
        <v>1</v>
      </c>
      <c r="E255" s="34" t="s">
        <v>3264</v>
      </c>
      <c r="F255" s="33">
        <v>52</v>
      </c>
      <c r="G255" s="33">
        <v>8</v>
      </c>
      <c r="H255" s="34"/>
      <c r="I255" s="34"/>
      <c r="J255" s="34"/>
    </row>
    <row r="256" spans="1:10">
      <c r="A256" s="33">
        <v>30060</v>
      </c>
      <c r="B256" s="33">
        <v>3006</v>
      </c>
      <c r="C256" s="34" t="b">
        <v>1</v>
      </c>
      <c r="D256" s="34">
        <v>1</v>
      </c>
      <c r="E256" s="34" t="s">
        <v>3264</v>
      </c>
      <c r="F256" s="33">
        <v>52</v>
      </c>
      <c r="G256" s="33">
        <v>8</v>
      </c>
      <c r="H256" s="34"/>
      <c r="I256" s="34"/>
      <c r="J256" s="34"/>
    </row>
    <row r="257" spans="1:10">
      <c r="A257" s="33">
        <v>30070</v>
      </c>
      <c r="B257" s="33">
        <v>3007</v>
      </c>
      <c r="C257" s="34" t="b">
        <v>1</v>
      </c>
      <c r="D257" s="34">
        <v>1</v>
      </c>
      <c r="E257" s="34" t="s">
        <v>3264</v>
      </c>
      <c r="F257" s="33">
        <v>52</v>
      </c>
      <c r="G257" s="33">
        <v>8</v>
      </c>
      <c r="H257" s="34"/>
      <c r="I257" s="34"/>
      <c r="J257" s="34"/>
    </row>
    <row r="258" spans="1:10">
      <c r="A258" s="33">
        <v>30080</v>
      </c>
      <c r="B258" s="33">
        <v>3008</v>
      </c>
      <c r="C258" s="34" t="b">
        <v>1</v>
      </c>
      <c r="D258" s="34">
        <v>1</v>
      </c>
      <c r="E258" s="34" t="s">
        <v>3264</v>
      </c>
      <c r="F258" s="33">
        <v>52</v>
      </c>
      <c r="G258" s="33">
        <v>8</v>
      </c>
      <c r="H258" s="34"/>
      <c r="I258" s="34"/>
      <c r="J258" s="34"/>
    </row>
    <row r="259" spans="1:10">
      <c r="A259" s="33">
        <v>30090</v>
      </c>
      <c r="B259" s="33">
        <v>3009</v>
      </c>
      <c r="C259" s="34" t="b">
        <v>1</v>
      </c>
      <c r="D259" s="34">
        <v>1</v>
      </c>
      <c r="E259" s="34" t="s">
        <v>3264</v>
      </c>
      <c r="F259" s="33">
        <v>52</v>
      </c>
      <c r="G259" s="33">
        <v>8</v>
      </c>
      <c r="H259" s="34"/>
      <c r="I259" s="34"/>
      <c r="J259" s="34"/>
    </row>
    <row r="260" spans="1:10">
      <c r="A260" s="33">
        <v>30100</v>
      </c>
      <c r="B260" s="33">
        <v>3010</v>
      </c>
      <c r="C260" s="34" t="b">
        <v>1</v>
      </c>
      <c r="D260" s="34">
        <v>1</v>
      </c>
      <c r="E260" s="34" t="s">
        <v>3264</v>
      </c>
      <c r="F260" s="33">
        <v>52</v>
      </c>
      <c r="G260" s="33">
        <v>8</v>
      </c>
      <c r="H260" s="34"/>
      <c r="I260" s="34"/>
      <c r="J260" s="34"/>
    </row>
    <row r="261" spans="1:10">
      <c r="A261" s="33">
        <v>30110</v>
      </c>
      <c r="B261" s="33">
        <v>3011</v>
      </c>
      <c r="C261" s="34" t="b">
        <v>1</v>
      </c>
      <c r="D261" s="34">
        <v>1</v>
      </c>
      <c r="E261" s="34" t="s">
        <v>3264</v>
      </c>
      <c r="F261" s="33">
        <v>52</v>
      </c>
      <c r="G261" s="33">
        <v>8</v>
      </c>
      <c r="H261" s="34"/>
      <c r="I261" s="34"/>
      <c r="J261" s="34"/>
    </row>
    <row r="262" spans="1:10">
      <c r="A262" s="33">
        <v>30120</v>
      </c>
      <c r="B262" s="33">
        <v>3012</v>
      </c>
      <c r="C262" s="34" t="b">
        <v>1</v>
      </c>
      <c r="D262" s="34">
        <v>1</v>
      </c>
      <c r="E262" s="34" t="s">
        <v>3264</v>
      </c>
      <c r="F262" s="33">
        <v>52</v>
      </c>
      <c r="G262" s="33">
        <v>8</v>
      </c>
      <c r="H262" s="34"/>
      <c r="I262" s="34"/>
      <c r="J262" s="34"/>
    </row>
    <row r="263" spans="1:10">
      <c r="A263" s="33">
        <v>30130</v>
      </c>
      <c r="B263" s="33">
        <v>3013</v>
      </c>
      <c r="C263" s="34" t="b">
        <v>1</v>
      </c>
      <c r="D263" s="34">
        <v>1</v>
      </c>
      <c r="E263" s="34" t="s">
        <v>3264</v>
      </c>
      <c r="F263" s="33">
        <v>52</v>
      </c>
      <c r="G263" s="33">
        <v>8</v>
      </c>
      <c r="H263" s="34"/>
      <c r="I263" s="34"/>
      <c r="J263" s="34"/>
    </row>
    <row r="264" spans="1:10">
      <c r="A264" s="33">
        <v>30140</v>
      </c>
      <c r="B264" s="33">
        <v>3014</v>
      </c>
      <c r="C264" s="34" t="b">
        <v>1</v>
      </c>
      <c r="D264" s="34">
        <v>1</v>
      </c>
      <c r="E264" s="34" t="s">
        <v>3264</v>
      </c>
      <c r="F264" s="33">
        <v>52</v>
      </c>
      <c r="G264" s="33">
        <v>8</v>
      </c>
      <c r="H264" s="34"/>
      <c r="I264" s="34"/>
      <c r="J264" s="34"/>
    </row>
    <row r="265" spans="1:10">
      <c r="A265" s="33">
        <v>30150</v>
      </c>
      <c r="B265" s="33">
        <v>3015</v>
      </c>
      <c r="C265" s="34" t="b">
        <v>1</v>
      </c>
      <c r="D265" s="34">
        <v>1</v>
      </c>
      <c r="E265" s="34" t="s">
        <v>3264</v>
      </c>
      <c r="F265" s="33">
        <v>52</v>
      </c>
      <c r="G265" s="33">
        <v>8</v>
      </c>
      <c r="H265" s="34"/>
      <c r="I265" s="34"/>
      <c r="J265" s="34"/>
    </row>
    <row r="266" spans="1:10">
      <c r="A266" s="33">
        <v>30160</v>
      </c>
      <c r="B266" s="33">
        <v>3016</v>
      </c>
      <c r="C266" s="34" t="b">
        <v>1</v>
      </c>
      <c r="D266" s="34">
        <v>1</v>
      </c>
      <c r="E266" s="34" t="s">
        <v>3264</v>
      </c>
      <c r="F266" s="33">
        <v>52</v>
      </c>
      <c r="G266" s="33">
        <v>8</v>
      </c>
      <c r="H266" s="34"/>
      <c r="I266" s="34"/>
      <c r="J266" s="34"/>
    </row>
    <row r="267" spans="1:10">
      <c r="A267" s="33">
        <v>30170</v>
      </c>
      <c r="B267" s="33">
        <v>3017</v>
      </c>
      <c r="C267" s="34" t="b">
        <v>1</v>
      </c>
      <c r="D267" s="34">
        <v>1</v>
      </c>
      <c r="E267" s="34" t="s">
        <v>3264</v>
      </c>
      <c r="F267" s="33">
        <v>52</v>
      </c>
      <c r="G267" s="33">
        <v>8</v>
      </c>
      <c r="H267" s="34"/>
      <c r="I267" s="34"/>
      <c r="J267" s="34"/>
    </row>
    <row r="268" spans="1:10">
      <c r="A268" s="33">
        <v>30180</v>
      </c>
      <c r="B268" s="33">
        <v>3018</v>
      </c>
      <c r="C268" s="34" t="b">
        <v>1</v>
      </c>
      <c r="D268" s="34">
        <v>1</v>
      </c>
      <c r="E268" s="34" t="s">
        <v>3264</v>
      </c>
      <c r="F268" s="33">
        <v>52</v>
      </c>
      <c r="G268" s="33">
        <v>8</v>
      </c>
      <c r="H268" s="34"/>
      <c r="I268" s="34"/>
      <c r="J268" s="34"/>
    </row>
    <row r="269" spans="1:10">
      <c r="A269" s="33">
        <v>30190</v>
      </c>
      <c r="B269" s="33">
        <v>3019</v>
      </c>
      <c r="C269" s="34" t="b">
        <v>1</v>
      </c>
      <c r="D269" s="34">
        <v>1</v>
      </c>
      <c r="E269" s="34" t="s">
        <v>3264</v>
      </c>
      <c r="F269" s="33">
        <v>52</v>
      </c>
      <c r="G269" s="33">
        <v>8</v>
      </c>
      <c r="H269" s="34"/>
      <c r="I269" s="34"/>
      <c r="J269" s="34"/>
    </row>
    <row r="270" spans="1:10">
      <c r="A270" s="33">
        <v>30200</v>
      </c>
      <c r="B270" s="33">
        <v>3020</v>
      </c>
      <c r="C270" s="34" t="b">
        <v>1</v>
      </c>
      <c r="D270" s="34">
        <v>1</v>
      </c>
      <c r="E270" s="34" t="s">
        <v>3264</v>
      </c>
      <c r="F270" s="33">
        <v>52</v>
      </c>
      <c r="G270" s="33">
        <v>8</v>
      </c>
      <c r="H270" s="34"/>
      <c r="I270" s="34"/>
      <c r="J270" s="34"/>
    </row>
    <row r="271" spans="1:10">
      <c r="A271" s="33">
        <v>30210</v>
      </c>
      <c r="B271" s="33">
        <v>3021</v>
      </c>
      <c r="C271" s="34" t="b">
        <v>1</v>
      </c>
      <c r="D271" s="34">
        <v>1</v>
      </c>
      <c r="E271" s="34" t="s">
        <v>3264</v>
      </c>
      <c r="F271" s="33">
        <v>52</v>
      </c>
      <c r="G271" s="33">
        <v>8</v>
      </c>
      <c r="H271" s="34"/>
      <c r="I271" s="34"/>
      <c r="J271" s="34"/>
    </row>
    <row r="272" spans="1:10">
      <c r="A272" s="33">
        <v>30220</v>
      </c>
      <c r="B272" s="33">
        <v>3022</v>
      </c>
      <c r="C272" s="34" t="b">
        <v>1</v>
      </c>
      <c r="D272" s="34">
        <v>1</v>
      </c>
      <c r="E272" s="34" t="s">
        <v>3264</v>
      </c>
      <c r="F272" s="33">
        <v>52</v>
      </c>
      <c r="G272" s="33">
        <v>8</v>
      </c>
      <c r="H272" s="34"/>
      <c r="I272" s="34"/>
      <c r="J272" s="34"/>
    </row>
    <row r="273" spans="1:10">
      <c r="A273" s="33">
        <v>30230</v>
      </c>
      <c r="B273" s="33">
        <v>3023</v>
      </c>
      <c r="C273" s="34" t="b">
        <v>1</v>
      </c>
      <c r="D273" s="34">
        <v>1</v>
      </c>
      <c r="E273" s="34" t="s">
        <v>3264</v>
      </c>
      <c r="F273" s="33">
        <v>52</v>
      </c>
      <c r="G273" s="33">
        <v>8</v>
      </c>
      <c r="H273" s="34"/>
      <c r="I273" s="34"/>
      <c r="J273" s="34"/>
    </row>
    <row r="274" spans="1:10">
      <c r="A274" s="33">
        <v>30240</v>
      </c>
      <c r="B274" s="33">
        <v>3024</v>
      </c>
      <c r="C274" s="34" t="b">
        <v>1</v>
      </c>
      <c r="D274" s="34">
        <v>1</v>
      </c>
      <c r="E274" s="34" t="s">
        <v>3264</v>
      </c>
      <c r="F274" s="33">
        <v>52</v>
      </c>
      <c r="G274" s="33">
        <v>8</v>
      </c>
      <c r="H274" s="34"/>
      <c r="I274" s="34"/>
      <c r="J274" s="34"/>
    </row>
    <row r="275" spans="1:10">
      <c r="A275" s="33">
        <v>30250</v>
      </c>
      <c r="B275" s="33">
        <v>3025</v>
      </c>
      <c r="C275" s="34" t="b">
        <v>1</v>
      </c>
      <c r="D275" s="34">
        <v>1</v>
      </c>
      <c r="E275" s="34" t="s">
        <v>3264</v>
      </c>
      <c r="F275" s="33">
        <v>52</v>
      </c>
      <c r="G275" s="33">
        <v>8</v>
      </c>
      <c r="H275" s="34"/>
      <c r="I275" s="34"/>
      <c r="J275" s="34"/>
    </row>
    <row r="276" spans="1:10">
      <c r="A276" s="33">
        <v>30260</v>
      </c>
      <c r="B276" s="33">
        <v>3026</v>
      </c>
      <c r="C276" s="34" t="b">
        <v>1</v>
      </c>
      <c r="D276" s="34">
        <v>1</v>
      </c>
      <c r="E276" s="34" t="s">
        <v>3264</v>
      </c>
      <c r="F276" s="33">
        <v>52</v>
      </c>
      <c r="G276" s="33">
        <v>8</v>
      </c>
      <c r="H276" s="34"/>
      <c r="I276" s="34"/>
      <c r="J276" s="34"/>
    </row>
    <row r="277" spans="1:10">
      <c r="A277" s="33">
        <v>30270</v>
      </c>
      <c r="B277" s="33">
        <v>3027</v>
      </c>
      <c r="C277" s="34" t="b">
        <v>1</v>
      </c>
      <c r="D277" s="34">
        <v>1</v>
      </c>
      <c r="E277" s="34" t="s">
        <v>3264</v>
      </c>
      <c r="F277" s="33">
        <v>52</v>
      </c>
      <c r="G277" s="33">
        <v>8</v>
      </c>
      <c r="H277" s="34"/>
      <c r="I277" s="34"/>
      <c r="J277" s="34"/>
    </row>
    <row r="278" spans="1:10">
      <c r="A278" s="33">
        <v>30280</v>
      </c>
      <c r="B278" s="33">
        <v>3028</v>
      </c>
      <c r="C278" s="34" t="b">
        <v>1</v>
      </c>
      <c r="D278" s="34">
        <v>1</v>
      </c>
      <c r="E278" s="34" t="s">
        <v>3264</v>
      </c>
      <c r="F278" s="33">
        <v>52</v>
      </c>
      <c r="G278" s="33">
        <v>8</v>
      </c>
      <c r="H278" s="34"/>
      <c r="I278" s="34"/>
      <c r="J278" s="34"/>
    </row>
    <row r="279" spans="1:10">
      <c r="A279" s="33">
        <v>30290</v>
      </c>
      <c r="B279" s="33">
        <v>3029</v>
      </c>
      <c r="C279" s="34" t="b">
        <v>1</v>
      </c>
      <c r="D279" s="34">
        <v>1</v>
      </c>
      <c r="E279" s="34" t="s">
        <v>3264</v>
      </c>
      <c r="F279" s="33">
        <v>52</v>
      </c>
      <c r="G279" s="33">
        <v>8</v>
      </c>
      <c r="H279" s="34"/>
      <c r="I279" s="34"/>
      <c r="J279" s="34"/>
    </row>
    <row r="280" spans="1:10">
      <c r="A280" s="33">
        <v>30300</v>
      </c>
      <c r="B280" s="33">
        <v>3030</v>
      </c>
      <c r="C280" s="34" t="b">
        <v>1</v>
      </c>
      <c r="D280" s="34">
        <v>1</v>
      </c>
      <c r="E280" s="34" t="s">
        <v>3264</v>
      </c>
      <c r="F280" s="33">
        <v>52</v>
      </c>
      <c r="G280" s="33">
        <v>8</v>
      </c>
      <c r="H280" s="34"/>
      <c r="I280" s="34"/>
      <c r="J280" s="34"/>
    </row>
    <row r="281" spans="1:10">
      <c r="A281" s="33">
        <v>30310</v>
      </c>
      <c r="B281" s="33">
        <v>3031</v>
      </c>
      <c r="C281" s="34" t="b">
        <v>1</v>
      </c>
      <c r="D281" s="34">
        <v>1</v>
      </c>
      <c r="E281" s="34" t="s">
        <v>3264</v>
      </c>
      <c r="F281" s="33">
        <v>52</v>
      </c>
      <c r="G281" s="33">
        <v>8</v>
      </c>
      <c r="H281" s="34"/>
      <c r="I281" s="34"/>
      <c r="J281" s="34"/>
    </row>
    <row r="282" spans="1:10">
      <c r="A282" s="33">
        <v>30320</v>
      </c>
      <c r="B282" s="33">
        <v>3032</v>
      </c>
      <c r="C282" s="34" t="b">
        <v>1</v>
      </c>
      <c r="D282" s="34">
        <v>1</v>
      </c>
      <c r="E282" s="34" t="s">
        <v>3264</v>
      </c>
      <c r="F282" s="33">
        <v>52</v>
      </c>
      <c r="G282" s="33">
        <v>8</v>
      </c>
      <c r="H282" s="34"/>
      <c r="I282" s="34"/>
      <c r="J282" s="34"/>
    </row>
    <row r="283" spans="1:10">
      <c r="A283" s="33">
        <v>30330</v>
      </c>
      <c r="B283" s="33">
        <v>3033</v>
      </c>
      <c r="C283" s="34" t="b">
        <v>1</v>
      </c>
      <c r="D283" s="34">
        <v>1</v>
      </c>
      <c r="E283" s="34" t="s">
        <v>3264</v>
      </c>
      <c r="F283" s="33">
        <v>52</v>
      </c>
      <c r="G283" s="33">
        <v>8</v>
      </c>
      <c r="H283" s="34"/>
      <c r="I283" s="34"/>
      <c r="J283" s="34"/>
    </row>
    <row r="284" spans="1:10">
      <c r="A284" s="33">
        <v>30340</v>
      </c>
      <c r="B284" s="33">
        <v>3034</v>
      </c>
      <c r="C284" s="34" t="b">
        <v>1</v>
      </c>
      <c r="D284" s="34">
        <v>1</v>
      </c>
      <c r="E284" s="34" t="s">
        <v>3264</v>
      </c>
      <c r="F284" s="33">
        <v>52</v>
      </c>
      <c r="G284" s="33">
        <v>8</v>
      </c>
      <c r="H284" s="34"/>
      <c r="I284" s="34"/>
      <c r="J284" s="34"/>
    </row>
    <row r="285" spans="1:10">
      <c r="A285" s="33">
        <v>30350</v>
      </c>
      <c r="B285" s="33">
        <v>3035</v>
      </c>
      <c r="C285" s="34" t="b">
        <v>1</v>
      </c>
      <c r="D285" s="34">
        <v>1</v>
      </c>
      <c r="E285" s="34" t="s">
        <v>3264</v>
      </c>
      <c r="F285" s="33">
        <v>52</v>
      </c>
      <c r="G285" s="33">
        <v>8</v>
      </c>
      <c r="H285" s="34"/>
      <c r="I285" s="34"/>
      <c r="J285" s="34"/>
    </row>
    <row r="286" spans="1:10">
      <c r="A286" s="33">
        <v>30360</v>
      </c>
      <c r="B286" s="33">
        <v>3036</v>
      </c>
      <c r="C286" s="34" t="b">
        <v>1</v>
      </c>
      <c r="D286" s="34">
        <v>1</v>
      </c>
      <c r="E286" s="34" t="s">
        <v>3264</v>
      </c>
      <c r="F286" s="33">
        <v>52</v>
      </c>
      <c r="G286" s="33">
        <v>8</v>
      </c>
      <c r="H286" s="34"/>
      <c r="I286" s="34"/>
      <c r="J286" s="34"/>
    </row>
    <row r="287" spans="1:10">
      <c r="A287" s="33">
        <v>30370</v>
      </c>
      <c r="B287" s="33">
        <v>3037</v>
      </c>
      <c r="C287" s="34" t="b">
        <v>1</v>
      </c>
      <c r="D287" s="34">
        <v>1</v>
      </c>
      <c r="E287" s="34" t="s">
        <v>3264</v>
      </c>
      <c r="F287" s="33">
        <v>52</v>
      </c>
      <c r="G287" s="33">
        <v>8</v>
      </c>
      <c r="H287" s="34"/>
      <c r="I287" s="34"/>
      <c r="J287" s="34"/>
    </row>
    <row r="288" spans="1:10">
      <c r="A288" s="33">
        <v>30380</v>
      </c>
      <c r="B288" s="33">
        <v>3038</v>
      </c>
      <c r="C288" s="34" t="b">
        <v>1</v>
      </c>
      <c r="D288" s="34">
        <v>1</v>
      </c>
      <c r="E288" s="34" t="s">
        <v>3264</v>
      </c>
      <c r="F288" s="33">
        <v>52</v>
      </c>
      <c r="G288" s="33">
        <v>8</v>
      </c>
      <c r="H288" s="34"/>
      <c r="I288" s="34"/>
      <c r="J288" s="34"/>
    </row>
    <row r="289" spans="1:10">
      <c r="A289" s="33">
        <v>30390</v>
      </c>
      <c r="B289" s="33">
        <v>3039</v>
      </c>
      <c r="C289" s="34" t="b">
        <v>1</v>
      </c>
      <c r="D289" s="34">
        <v>1</v>
      </c>
      <c r="E289" s="34" t="s">
        <v>3264</v>
      </c>
      <c r="F289" s="33">
        <v>52</v>
      </c>
      <c r="G289" s="33">
        <v>8</v>
      </c>
      <c r="H289" s="34"/>
      <c r="I289" s="34"/>
      <c r="J289" s="34"/>
    </row>
    <row r="290" spans="1:10">
      <c r="A290" s="33">
        <v>30400</v>
      </c>
      <c r="B290" s="33">
        <v>3040</v>
      </c>
      <c r="C290" s="34" t="b">
        <v>1</v>
      </c>
      <c r="D290" s="34">
        <v>1</v>
      </c>
      <c r="E290" s="34" t="s">
        <v>3264</v>
      </c>
      <c r="F290" s="33">
        <v>52</v>
      </c>
      <c r="G290" s="33">
        <v>8</v>
      </c>
      <c r="H290" s="34"/>
      <c r="I290" s="34"/>
      <c r="J290" s="34"/>
    </row>
    <row r="291" spans="1:10">
      <c r="A291" s="33">
        <v>30410</v>
      </c>
      <c r="B291" s="33">
        <v>3041</v>
      </c>
      <c r="C291" s="34" t="b">
        <v>1</v>
      </c>
      <c r="D291" s="34">
        <v>1</v>
      </c>
      <c r="E291" s="34" t="s">
        <v>3264</v>
      </c>
      <c r="F291" s="33">
        <v>52</v>
      </c>
      <c r="G291" s="33">
        <v>8</v>
      </c>
      <c r="H291" s="34"/>
      <c r="I291" s="34"/>
      <c r="J291" s="34"/>
    </row>
    <row r="292" spans="1:10">
      <c r="A292" s="33">
        <v>30420</v>
      </c>
      <c r="B292" s="33">
        <v>3042</v>
      </c>
      <c r="C292" s="34" t="b">
        <v>1</v>
      </c>
      <c r="D292" s="34">
        <v>1</v>
      </c>
      <c r="E292" s="34" t="s">
        <v>3264</v>
      </c>
      <c r="F292" s="33">
        <v>52</v>
      </c>
      <c r="G292" s="33">
        <v>8</v>
      </c>
      <c r="H292" s="34"/>
      <c r="I292" s="34"/>
      <c r="J292" s="34"/>
    </row>
    <row r="293" spans="1:10">
      <c r="A293" s="33">
        <v>30430</v>
      </c>
      <c r="B293" s="33">
        <v>3043</v>
      </c>
      <c r="C293" s="34" t="b">
        <v>1</v>
      </c>
      <c r="D293" s="34">
        <v>1</v>
      </c>
      <c r="E293" s="34" t="s">
        <v>3264</v>
      </c>
      <c r="F293" s="33">
        <v>52</v>
      </c>
      <c r="G293" s="33">
        <v>8</v>
      </c>
      <c r="H293" s="34"/>
      <c r="I293" s="34"/>
      <c r="J293" s="34"/>
    </row>
    <row r="294" spans="1:10">
      <c r="A294" s="33">
        <v>30440</v>
      </c>
      <c r="B294" s="33">
        <v>3044</v>
      </c>
      <c r="C294" s="34" t="b">
        <v>1</v>
      </c>
      <c r="D294" s="34">
        <v>1</v>
      </c>
      <c r="E294" s="34" t="s">
        <v>3264</v>
      </c>
      <c r="F294" s="33">
        <v>52</v>
      </c>
      <c r="G294" s="33">
        <v>8</v>
      </c>
      <c r="H294" s="34"/>
      <c r="I294" s="34"/>
      <c r="J294" s="34"/>
    </row>
    <row r="295" spans="1:10">
      <c r="A295" s="33">
        <v>30450</v>
      </c>
      <c r="B295" s="33">
        <v>3045</v>
      </c>
      <c r="C295" s="34" t="b">
        <v>1</v>
      </c>
      <c r="D295" s="34">
        <v>1</v>
      </c>
      <c r="E295" s="34" t="s">
        <v>3264</v>
      </c>
      <c r="F295" s="33">
        <v>52</v>
      </c>
      <c r="G295" s="33">
        <v>8</v>
      </c>
      <c r="H295" s="34"/>
      <c r="I295" s="34"/>
      <c r="J295" s="34"/>
    </row>
    <row r="296" spans="1:10">
      <c r="A296" s="33">
        <v>30460</v>
      </c>
      <c r="B296" s="33">
        <v>3046</v>
      </c>
      <c r="C296" s="34" t="b">
        <v>1</v>
      </c>
      <c r="D296" s="34">
        <v>1</v>
      </c>
      <c r="E296" s="34" t="s">
        <v>3264</v>
      </c>
      <c r="F296" s="33">
        <v>52</v>
      </c>
      <c r="G296" s="33">
        <v>8</v>
      </c>
      <c r="H296" s="34"/>
      <c r="I296" s="34"/>
      <c r="J296" s="34"/>
    </row>
    <row r="297" spans="1:10">
      <c r="A297" s="33">
        <v>30470</v>
      </c>
      <c r="B297" s="33">
        <v>3047</v>
      </c>
      <c r="C297" s="34" t="b">
        <v>1</v>
      </c>
      <c r="D297" s="34">
        <v>1</v>
      </c>
      <c r="E297" s="34" t="s">
        <v>3264</v>
      </c>
      <c r="F297" s="33">
        <v>52</v>
      </c>
      <c r="G297" s="33">
        <v>8</v>
      </c>
      <c r="H297" s="34"/>
      <c r="I297" s="34"/>
      <c r="J297" s="34"/>
    </row>
    <row r="298" spans="1:10">
      <c r="A298" s="33">
        <v>30480</v>
      </c>
      <c r="B298" s="33">
        <v>3048</v>
      </c>
      <c r="C298" s="34" t="b">
        <v>1</v>
      </c>
      <c r="D298" s="34">
        <v>1</v>
      </c>
      <c r="E298" s="34" t="s">
        <v>3264</v>
      </c>
      <c r="F298" s="33">
        <v>52</v>
      </c>
      <c r="G298" s="33">
        <v>8</v>
      </c>
      <c r="H298" s="34"/>
      <c r="I298" s="34"/>
      <c r="J298" s="34"/>
    </row>
    <row r="299" spans="1:10">
      <c r="A299" s="33">
        <v>30490</v>
      </c>
      <c r="B299" s="33">
        <v>3049</v>
      </c>
      <c r="C299" s="34" t="b">
        <v>1</v>
      </c>
      <c r="D299" s="34">
        <v>1</v>
      </c>
      <c r="E299" s="34" t="s">
        <v>3264</v>
      </c>
      <c r="F299" s="33">
        <v>52</v>
      </c>
      <c r="G299" s="33">
        <v>8</v>
      </c>
      <c r="H299" s="34"/>
      <c r="I299" s="34"/>
      <c r="J299" s="34"/>
    </row>
    <row r="300" spans="1:10">
      <c r="A300" s="33">
        <v>30500</v>
      </c>
      <c r="B300" s="33">
        <v>3050</v>
      </c>
      <c r="C300" s="34" t="b">
        <v>1</v>
      </c>
      <c r="D300" s="34">
        <v>1</v>
      </c>
      <c r="E300" s="34" t="s">
        <v>3264</v>
      </c>
      <c r="F300" s="33">
        <v>52</v>
      </c>
      <c r="G300" s="33">
        <v>8</v>
      </c>
      <c r="H300" s="34"/>
      <c r="I300" s="34"/>
      <c r="J300" s="34"/>
    </row>
    <row r="301" spans="1:10">
      <c r="A301" s="33">
        <v>30510</v>
      </c>
      <c r="B301" s="33">
        <v>3051</v>
      </c>
      <c r="C301" s="34" t="b">
        <v>1</v>
      </c>
      <c r="D301" s="34">
        <v>1</v>
      </c>
      <c r="E301" s="34" t="s">
        <v>3264</v>
      </c>
      <c r="F301" s="33">
        <v>52</v>
      </c>
      <c r="G301" s="33">
        <v>8</v>
      </c>
      <c r="H301" s="34"/>
      <c r="I301" s="34"/>
      <c r="J301" s="34"/>
    </row>
    <row r="302" spans="1:10">
      <c r="A302" s="33">
        <v>30520</v>
      </c>
      <c r="B302" s="33">
        <v>3052</v>
      </c>
      <c r="C302" s="34" t="b">
        <v>1</v>
      </c>
      <c r="D302" s="34">
        <v>1</v>
      </c>
      <c r="E302" s="34" t="s">
        <v>3264</v>
      </c>
      <c r="F302" s="33">
        <v>52</v>
      </c>
      <c r="G302" s="33">
        <v>8</v>
      </c>
      <c r="H302" s="34"/>
      <c r="I302" s="34"/>
      <c r="J302" s="34"/>
    </row>
    <row r="303" spans="1:10">
      <c r="A303" s="33">
        <v>30530</v>
      </c>
      <c r="B303" s="33">
        <v>3053</v>
      </c>
      <c r="C303" s="34" t="b">
        <v>1</v>
      </c>
      <c r="D303" s="34">
        <v>1</v>
      </c>
      <c r="E303" s="34" t="s">
        <v>3264</v>
      </c>
      <c r="F303" s="33">
        <v>52</v>
      </c>
      <c r="G303" s="33">
        <v>8</v>
      </c>
      <c r="H303" s="34"/>
      <c r="I303" s="34"/>
      <c r="J303" s="34"/>
    </row>
    <row r="304" spans="1:10">
      <c r="A304" s="33">
        <v>30540</v>
      </c>
      <c r="B304" s="33">
        <v>3054</v>
      </c>
      <c r="C304" s="34" t="b">
        <v>1</v>
      </c>
      <c r="D304" s="34">
        <v>1</v>
      </c>
      <c r="E304" s="34" t="s">
        <v>3264</v>
      </c>
      <c r="F304" s="33">
        <v>52</v>
      </c>
      <c r="G304" s="33">
        <v>8</v>
      </c>
      <c r="H304" s="34"/>
      <c r="I304" s="34"/>
      <c r="J304" s="34"/>
    </row>
    <row r="305" spans="1:10">
      <c r="A305" s="33">
        <v>30550</v>
      </c>
      <c r="B305" s="33">
        <v>3055</v>
      </c>
      <c r="C305" s="34" t="b">
        <v>1</v>
      </c>
      <c r="D305" s="34">
        <v>1</v>
      </c>
      <c r="E305" s="34" t="s">
        <v>3264</v>
      </c>
      <c r="F305" s="33">
        <v>52</v>
      </c>
      <c r="G305" s="33">
        <v>8</v>
      </c>
      <c r="H305" s="34"/>
      <c r="I305" s="34"/>
      <c r="J305" s="34"/>
    </row>
    <row r="306" spans="1:10">
      <c r="A306" s="33">
        <v>30560</v>
      </c>
      <c r="B306" s="33">
        <v>3056</v>
      </c>
      <c r="C306" s="34" t="b">
        <v>1</v>
      </c>
      <c r="D306" s="34">
        <v>1</v>
      </c>
      <c r="E306" s="34" t="s">
        <v>3264</v>
      </c>
      <c r="F306" s="33">
        <v>52</v>
      </c>
      <c r="G306" s="33">
        <v>8</v>
      </c>
      <c r="H306" s="34"/>
      <c r="I306" s="34"/>
      <c r="J306" s="34"/>
    </row>
    <row r="307" spans="1:10">
      <c r="A307" s="33">
        <v>30570</v>
      </c>
      <c r="B307" s="33">
        <v>3057</v>
      </c>
      <c r="C307" s="34" t="b">
        <v>1</v>
      </c>
      <c r="D307" s="34">
        <v>1</v>
      </c>
      <c r="E307" s="34" t="s">
        <v>3264</v>
      </c>
      <c r="F307" s="33">
        <v>52</v>
      </c>
      <c r="G307" s="33">
        <v>8</v>
      </c>
      <c r="H307" s="34"/>
      <c r="I307" s="34"/>
      <c r="J307" s="34"/>
    </row>
    <row r="308" spans="1:10">
      <c r="A308" s="33">
        <v>30580</v>
      </c>
      <c r="B308" s="33">
        <v>3058</v>
      </c>
      <c r="C308" s="34" t="b">
        <v>1</v>
      </c>
      <c r="D308" s="34">
        <v>1</v>
      </c>
      <c r="E308" s="34" t="s">
        <v>3264</v>
      </c>
      <c r="F308" s="33">
        <v>52</v>
      </c>
      <c r="G308" s="33">
        <v>8</v>
      </c>
      <c r="H308" s="34"/>
      <c r="I308" s="34"/>
      <c r="J308" s="34"/>
    </row>
    <row r="309" spans="1:10">
      <c r="A309" s="33">
        <v>30590</v>
      </c>
      <c r="B309" s="33">
        <v>3059</v>
      </c>
      <c r="C309" s="34" t="b">
        <v>1</v>
      </c>
      <c r="D309" s="34">
        <v>1</v>
      </c>
      <c r="E309" s="34" t="s">
        <v>3264</v>
      </c>
      <c r="F309" s="33">
        <v>52</v>
      </c>
      <c r="G309" s="33">
        <v>8</v>
      </c>
      <c r="H309" s="34"/>
      <c r="I309" s="34"/>
      <c r="J309" s="34"/>
    </row>
    <row r="310" spans="1:10">
      <c r="A310" s="33">
        <v>30600</v>
      </c>
      <c r="B310" s="33">
        <v>3060</v>
      </c>
      <c r="C310" s="34" t="b">
        <v>1</v>
      </c>
      <c r="D310" s="34">
        <v>1</v>
      </c>
      <c r="E310" s="34" t="s">
        <v>3264</v>
      </c>
      <c r="F310" s="33">
        <v>52</v>
      </c>
      <c r="G310" s="33">
        <v>8</v>
      </c>
      <c r="H310" s="34"/>
      <c r="I310" s="34"/>
      <c r="J310" s="34"/>
    </row>
    <row r="311" spans="1:10">
      <c r="A311" s="33">
        <v>30610</v>
      </c>
      <c r="B311" s="33">
        <v>3061</v>
      </c>
      <c r="C311" s="34" t="b">
        <v>1</v>
      </c>
      <c r="D311" s="34">
        <v>1</v>
      </c>
      <c r="E311" s="34" t="s">
        <v>3264</v>
      </c>
      <c r="F311" s="33">
        <v>52</v>
      </c>
      <c r="G311" s="33">
        <v>8</v>
      </c>
      <c r="H311" s="34"/>
      <c r="I311" s="34"/>
      <c r="J311" s="34"/>
    </row>
    <row r="312" spans="1:10">
      <c r="A312" s="33">
        <v>30620</v>
      </c>
      <c r="B312" s="33">
        <v>3062</v>
      </c>
      <c r="C312" s="34" t="b">
        <v>1</v>
      </c>
      <c r="D312" s="34">
        <v>1</v>
      </c>
      <c r="E312" s="34" t="s">
        <v>3264</v>
      </c>
      <c r="F312" s="33">
        <v>52</v>
      </c>
      <c r="G312" s="33">
        <v>8</v>
      </c>
      <c r="H312" s="34"/>
      <c r="I312" s="34"/>
      <c r="J312" s="34"/>
    </row>
    <row r="313" spans="1:10">
      <c r="A313" s="33">
        <v>30630</v>
      </c>
      <c r="B313" s="33">
        <v>3063</v>
      </c>
      <c r="C313" s="34" t="b">
        <v>1</v>
      </c>
      <c r="D313" s="34">
        <v>1</v>
      </c>
      <c r="E313" s="34" t="s">
        <v>3264</v>
      </c>
      <c r="F313" s="33">
        <v>52</v>
      </c>
      <c r="G313" s="33">
        <v>8</v>
      </c>
      <c r="H313" s="34"/>
      <c r="I313" s="34"/>
      <c r="J313" s="34"/>
    </row>
    <row r="314" spans="1:10">
      <c r="A314" s="33">
        <v>30640</v>
      </c>
      <c r="B314" s="33">
        <v>3064</v>
      </c>
      <c r="C314" s="34" t="b">
        <v>1</v>
      </c>
      <c r="D314" s="34">
        <v>1</v>
      </c>
      <c r="E314" s="34" t="s">
        <v>3264</v>
      </c>
      <c r="F314" s="33">
        <v>52</v>
      </c>
      <c r="G314" s="33">
        <v>8</v>
      </c>
      <c r="H314" s="34"/>
      <c r="I314" s="34"/>
      <c r="J314" s="34"/>
    </row>
    <row r="315" spans="1:10">
      <c r="A315" s="33">
        <v>30650</v>
      </c>
      <c r="B315" s="33">
        <v>3065</v>
      </c>
      <c r="C315" s="34" t="b">
        <v>1</v>
      </c>
      <c r="D315" s="34">
        <v>1</v>
      </c>
      <c r="E315" s="34" t="s">
        <v>3264</v>
      </c>
      <c r="F315" s="33">
        <v>52</v>
      </c>
      <c r="G315" s="33">
        <v>8</v>
      </c>
      <c r="H315" s="34"/>
      <c r="I315" s="34"/>
      <c r="J315" s="34"/>
    </row>
    <row r="316" spans="1:10">
      <c r="A316" s="33">
        <v>30660</v>
      </c>
      <c r="B316" s="33">
        <v>3066</v>
      </c>
      <c r="C316" s="34" t="b">
        <v>1</v>
      </c>
      <c r="D316" s="34">
        <v>1</v>
      </c>
      <c r="E316" s="34" t="s">
        <v>3264</v>
      </c>
      <c r="F316" s="33">
        <v>52</v>
      </c>
      <c r="G316" s="33">
        <v>8</v>
      </c>
      <c r="H316" s="34"/>
      <c r="I316" s="34"/>
      <c r="J316" s="34"/>
    </row>
    <row r="317" spans="1:10">
      <c r="A317" s="33">
        <v>30670</v>
      </c>
      <c r="B317" s="33">
        <v>3067</v>
      </c>
      <c r="C317" s="34" t="b">
        <v>1</v>
      </c>
      <c r="D317" s="34">
        <v>1</v>
      </c>
      <c r="E317" s="34" t="s">
        <v>3264</v>
      </c>
      <c r="F317" s="33">
        <v>52</v>
      </c>
      <c r="G317" s="33">
        <v>8</v>
      </c>
      <c r="H317" s="34"/>
      <c r="I317" s="34"/>
      <c r="J317" s="34"/>
    </row>
    <row r="318" spans="1:10">
      <c r="A318" s="33">
        <v>30680</v>
      </c>
      <c r="B318" s="33">
        <v>3068</v>
      </c>
      <c r="C318" s="34" t="b">
        <v>1</v>
      </c>
      <c r="D318" s="34">
        <v>1</v>
      </c>
      <c r="E318" s="34" t="s">
        <v>3264</v>
      </c>
      <c r="F318" s="33">
        <v>52</v>
      </c>
      <c r="G318" s="33">
        <v>8</v>
      </c>
      <c r="H318" s="34"/>
      <c r="I318" s="34"/>
      <c r="J318" s="34"/>
    </row>
    <row r="319" spans="1:10">
      <c r="A319" s="33">
        <v>30690</v>
      </c>
      <c r="B319" s="33">
        <v>3069</v>
      </c>
      <c r="C319" s="34" t="b">
        <v>1</v>
      </c>
      <c r="D319" s="34">
        <v>1</v>
      </c>
      <c r="E319" s="34" t="s">
        <v>3264</v>
      </c>
      <c r="F319" s="33">
        <v>52</v>
      </c>
      <c r="G319" s="33">
        <v>8</v>
      </c>
      <c r="H319" s="34"/>
      <c r="I319" s="34"/>
      <c r="J319" s="34"/>
    </row>
    <row r="320" spans="1:10">
      <c r="A320" s="33">
        <v>30700</v>
      </c>
      <c r="B320" s="33">
        <v>3070</v>
      </c>
      <c r="C320" s="34" t="b">
        <v>1</v>
      </c>
      <c r="D320" s="34">
        <v>1</v>
      </c>
      <c r="E320" s="34" t="s">
        <v>3264</v>
      </c>
      <c r="F320" s="33">
        <v>52</v>
      </c>
      <c r="G320" s="33">
        <v>8</v>
      </c>
      <c r="H320" s="34"/>
      <c r="I320" s="34"/>
      <c r="J320" s="34"/>
    </row>
    <row r="321" spans="1:10">
      <c r="A321" s="33">
        <v>30710</v>
      </c>
      <c r="B321" s="33">
        <v>3071</v>
      </c>
      <c r="C321" s="34" t="b">
        <v>1</v>
      </c>
      <c r="D321" s="34">
        <v>1</v>
      </c>
      <c r="E321" s="34" t="s">
        <v>3264</v>
      </c>
      <c r="F321" s="33">
        <v>52</v>
      </c>
      <c r="G321" s="33">
        <v>8</v>
      </c>
      <c r="H321" s="34"/>
      <c r="I321" s="34"/>
      <c r="J321" s="34"/>
    </row>
    <row r="322" spans="1:10">
      <c r="A322" s="33">
        <v>30720</v>
      </c>
      <c r="B322" s="33">
        <v>3072</v>
      </c>
      <c r="C322" s="34" t="b">
        <v>1</v>
      </c>
      <c r="D322" s="34">
        <v>1</v>
      </c>
      <c r="E322" s="34" t="s">
        <v>3264</v>
      </c>
      <c r="F322" s="33">
        <v>52</v>
      </c>
      <c r="G322" s="33">
        <v>8</v>
      </c>
      <c r="H322" s="34"/>
      <c r="I322" s="34"/>
      <c r="J322" s="34"/>
    </row>
    <row r="323" spans="1:10">
      <c r="A323" s="33">
        <v>30730</v>
      </c>
      <c r="B323" s="33">
        <v>3073</v>
      </c>
      <c r="C323" s="34" t="b">
        <v>1</v>
      </c>
      <c r="D323" s="34">
        <v>1</v>
      </c>
      <c r="E323" s="34" t="s">
        <v>3264</v>
      </c>
      <c r="F323" s="33">
        <v>52</v>
      </c>
      <c r="G323" s="33">
        <v>8</v>
      </c>
      <c r="H323" s="34"/>
      <c r="I323" s="34"/>
      <c r="J323" s="34"/>
    </row>
    <row r="324" spans="1:10">
      <c r="A324" s="33">
        <v>30740</v>
      </c>
      <c r="B324" s="33">
        <v>3074</v>
      </c>
      <c r="C324" s="34" t="b">
        <v>1</v>
      </c>
      <c r="D324" s="34">
        <v>1</v>
      </c>
      <c r="E324" s="34" t="s">
        <v>3264</v>
      </c>
      <c r="F324" s="33">
        <v>52</v>
      </c>
      <c r="G324" s="33">
        <v>8</v>
      </c>
      <c r="H324" s="34"/>
      <c r="I324" s="34"/>
      <c r="J324" s="34"/>
    </row>
    <row r="325" spans="1:10">
      <c r="A325" s="33">
        <v>30750</v>
      </c>
      <c r="B325" s="33">
        <v>3075</v>
      </c>
      <c r="C325" s="34" t="b">
        <v>1</v>
      </c>
      <c r="D325" s="34">
        <v>1</v>
      </c>
      <c r="E325" s="34" t="s">
        <v>3264</v>
      </c>
      <c r="F325" s="33">
        <v>52</v>
      </c>
      <c r="G325" s="33">
        <v>8</v>
      </c>
      <c r="H325" s="34"/>
      <c r="I325" s="34"/>
      <c r="J325" s="34"/>
    </row>
    <row r="326" spans="1:10">
      <c r="A326" s="33">
        <v>30760</v>
      </c>
      <c r="B326" s="33">
        <v>3076</v>
      </c>
      <c r="C326" s="34" t="b">
        <v>1</v>
      </c>
      <c r="D326" s="34">
        <v>1</v>
      </c>
      <c r="E326" s="34" t="s">
        <v>3264</v>
      </c>
      <c r="F326" s="33">
        <v>52</v>
      </c>
      <c r="G326" s="33">
        <v>8</v>
      </c>
      <c r="H326" s="34"/>
      <c r="I326" s="34"/>
      <c r="J326" s="34"/>
    </row>
    <row r="327" spans="1:10">
      <c r="A327" s="33">
        <v>30770</v>
      </c>
      <c r="B327" s="33">
        <v>3077</v>
      </c>
      <c r="C327" s="34" t="b">
        <v>1</v>
      </c>
      <c r="D327" s="34">
        <v>1</v>
      </c>
      <c r="E327" s="34" t="s">
        <v>3264</v>
      </c>
      <c r="F327" s="33">
        <v>52</v>
      </c>
      <c r="G327" s="33">
        <v>8</v>
      </c>
      <c r="H327" s="34"/>
      <c r="I327" s="34"/>
      <c r="J327" s="34"/>
    </row>
    <row r="328" spans="1:10">
      <c r="A328" s="33">
        <v>30780</v>
      </c>
      <c r="B328" s="33">
        <v>3078</v>
      </c>
      <c r="C328" s="34" t="b">
        <v>1</v>
      </c>
      <c r="D328" s="34">
        <v>1</v>
      </c>
      <c r="E328" s="34" t="s">
        <v>3264</v>
      </c>
      <c r="F328" s="33">
        <v>52</v>
      </c>
      <c r="G328" s="33">
        <v>8</v>
      </c>
      <c r="H328" s="34"/>
      <c r="I328" s="34"/>
      <c r="J328" s="34"/>
    </row>
    <row r="329" spans="1:10">
      <c r="A329" s="33">
        <v>30790</v>
      </c>
      <c r="B329" s="33">
        <v>3079</v>
      </c>
      <c r="C329" s="34" t="b">
        <v>1</v>
      </c>
      <c r="D329" s="34">
        <v>1</v>
      </c>
      <c r="E329" s="34" t="s">
        <v>3264</v>
      </c>
      <c r="F329" s="33">
        <v>52</v>
      </c>
      <c r="G329" s="33">
        <v>8</v>
      </c>
      <c r="H329" s="34"/>
      <c r="I329" s="34"/>
      <c r="J329" s="34"/>
    </row>
    <row r="330" spans="1:10">
      <c r="A330" s="33">
        <v>30800</v>
      </c>
      <c r="B330" s="33">
        <v>3080</v>
      </c>
      <c r="C330" s="34" t="b">
        <v>1</v>
      </c>
      <c r="D330" s="34">
        <v>1</v>
      </c>
      <c r="E330" s="34" t="s">
        <v>3264</v>
      </c>
      <c r="F330" s="33">
        <v>52</v>
      </c>
      <c r="G330" s="33">
        <v>8</v>
      </c>
      <c r="H330" s="34"/>
      <c r="I330" s="34"/>
      <c r="J330" s="34"/>
    </row>
    <row r="331" spans="1:10">
      <c r="A331" s="33">
        <v>30810</v>
      </c>
      <c r="B331" s="33">
        <v>3081</v>
      </c>
      <c r="C331" s="34" t="b">
        <v>1</v>
      </c>
      <c r="D331" s="34">
        <v>1</v>
      </c>
      <c r="E331" s="34" t="s">
        <v>3264</v>
      </c>
      <c r="F331" s="33">
        <v>52</v>
      </c>
      <c r="G331" s="33">
        <v>8</v>
      </c>
      <c r="H331" s="34"/>
      <c r="I331" s="34"/>
      <c r="J331" s="34"/>
    </row>
    <row r="332" spans="1:10">
      <c r="A332" s="33">
        <v>30820</v>
      </c>
      <c r="B332" s="33">
        <v>3082</v>
      </c>
      <c r="C332" s="34" t="b">
        <v>1</v>
      </c>
      <c r="D332" s="34">
        <v>1</v>
      </c>
      <c r="E332" s="34" t="s">
        <v>3264</v>
      </c>
      <c r="F332" s="33">
        <v>52</v>
      </c>
      <c r="G332" s="33">
        <v>8</v>
      </c>
      <c r="H332" s="34"/>
      <c r="I332" s="34"/>
      <c r="J332" s="34"/>
    </row>
    <row r="333" spans="1:10">
      <c r="A333" s="33">
        <v>30830</v>
      </c>
      <c r="B333" s="33">
        <v>3083</v>
      </c>
      <c r="C333" s="34" t="b">
        <v>1</v>
      </c>
      <c r="D333" s="34">
        <v>1</v>
      </c>
      <c r="E333" s="34" t="s">
        <v>3264</v>
      </c>
      <c r="F333" s="33">
        <v>52</v>
      </c>
      <c r="G333" s="33">
        <v>8</v>
      </c>
      <c r="H333" s="34"/>
      <c r="I333" s="34"/>
      <c r="J333" s="34"/>
    </row>
    <row r="334" spans="1:10">
      <c r="A334" s="33">
        <v>30840</v>
      </c>
      <c r="B334" s="33">
        <v>3084</v>
      </c>
      <c r="C334" s="34" t="b">
        <v>1</v>
      </c>
      <c r="D334" s="34">
        <v>1</v>
      </c>
      <c r="E334" s="34" t="s">
        <v>3264</v>
      </c>
      <c r="F334" s="33">
        <v>52</v>
      </c>
      <c r="G334" s="33">
        <v>8</v>
      </c>
      <c r="H334" s="34"/>
      <c r="I334" s="34"/>
      <c r="J334" s="34"/>
    </row>
    <row r="335" spans="1:10">
      <c r="A335" s="33">
        <v>30850</v>
      </c>
      <c r="B335" s="33">
        <v>3085</v>
      </c>
      <c r="C335" s="34" t="b">
        <v>1</v>
      </c>
      <c r="D335" s="34">
        <v>1</v>
      </c>
      <c r="E335" s="34" t="s">
        <v>3264</v>
      </c>
      <c r="F335" s="33">
        <v>52</v>
      </c>
      <c r="G335" s="33">
        <v>8</v>
      </c>
      <c r="H335" s="34"/>
      <c r="I335" s="34"/>
      <c r="J335" s="34"/>
    </row>
    <row r="336" spans="1:10">
      <c r="A336" s="33">
        <v>30860</v>
      </c>
      <c r="B336" s="33">
        <v>3086</v>
      </c>
      <c r="C336" s="34" t="b">
        <v>1</v>
      </c>
      <c r="D336" s="34">
        <v>1</v>
      </c>
      <c r="E336" s="34" t="s">
        <v>3264</v>
      </c>
      <c r="F336" s="33">
        <v>52</v>
      </c>
      <c r="G336" s="33">
        <v>8</v>
      </c>
      <c r="H336" s="34"/>
      <c r="I336" s="34"/>
      <c r="J336" s="34"/>
    </row>
    <row r="337" spans="1:10">
      <c r="A337" s="33">
        <v>30870</v>
      </c>
      <c r="B337" s="33">
        <v>3087</v>
      </c>
      <c r="C337" s="34" t="b">
        <v>1</v>
      </c>
      <c r="D337" s="34">
        <v>1</v>
      </c>
      <c r="E337" s="34" t="s">
        <v>3264</v>
      </c>
      <c r="F337" s="33">
        <v>52</v>
      </c>
      <c r="G337" s="33">
        <v>8</v>
      </c>
      <c r="H337" s="34"/>
      <c r="I337" s="34"/>
      <c r="J337" s="34"/>
    </row>
    <row r="338" spans="1:10">
      <c r="A338" s="33">
        <v>30880</v>
      </c>
      <c r="B338" s="33">
        <v>3088</v>
      </c>
      <c r="C338" s="34" t="b">
        <v>1</v>
      </c>
      <c r="D338" s="34">
        <v>1</v>
      </c>
      <c r="E338" s="34" t="s">
        <v>3264</v>
      </c>
      <c r="F338" s="33">
        <v>52</v>
      </c>
      <c r="G338" s="33">
        <v>8</v>
      </c>
      <c r="H338" s="34"/>
      <c r="I338" s="34"/>
      <c r="J338" s="34"/>
    </row>
    <row r="339" spans="1:10">
      <c r="A339" s="33">
        <v>30890</v>
      </c>
      <c r="B339" s="33">
        <v>3089</v>
      </c>
      <c r="C339" s="34" t="b">
        <v>1</v>
      </c>
      <c r="D339" s="34">
        <v>1</v>
      </c>
      <c r="E339" s="34" t="s">
        <v>3264</v>
      </c>
      <c r="F339" s="33">
        <v>52</v>
      </c>
      <c r="G339" s="33">
        <v>8</v>
      </c>
      <c r="H339" s="34"/>
      <c r="I339" s="34"/>
      <c r="J339" s="34"/>
    </row>
    <row r="340" spans="1:10">
      <c r="A340" s="33">
        <v>30900</v>
      </c>
      <c r="B340" s="33">
        <v>3090</v>
      </c>
      <c r="C340" s="34" t="b">
        <v>1</v>
      </c>
      <c r="D340" s="34">
        <v>1</v>
      </c>
      <c r="E340" s="34" t="s">
        <v>3264</v>
      </c>
      <c r="F340" s="33">
        <v>52</v>
      </c>
      <c r="G340" s="33">
        <v>8</v>
      </c>
      <c r="H340" s="34"/>
      <c r="I340" s="34"/>
      <c r="J340" s="34"/>
    </row>
    <row r="341" spans="1:10">
      <c r="A341" s="33">
        <v>30910</v>
      </c>
      <c r="B341" s="33">
        <v>3091</v>
      </c>
      <c r="C341" s="34" t="b">
        <v>1</v>
      </c>
      <c r="D341" s="34">
        <v>1</v>
      </c>
      <c r="E341" s="34" t="s">
        <v>3264</v>
      </c>
      <c r="F341" s="33">
        <v>52</v>
      </c>
      <c r="G341" s="33">
        <v>8</v>
      </c>
      <c r="H341" s="34"/>
      <c r="I341" s="34"/>
      <c r="J341" s="34"/>
    </row>
    <row r="342" spans="1:10">
      <c r="A342" s="33">
        <v>30920</v>
      </c>
      <c r="B342" s="33">
        <v>3092</v>
      </c>
      <c r="C342" s="34" t="b">
        <v>1</v>
      </c>
      <c r="D342" s="34">
        <v>1</v>
      </c>
      <c r="E342" s="34" t="s">
        <v>3264</v>
      </c>
      <c r="F342" s="33">
        <v>52</v>
      </c>
      <c r="G342" s="33">
        <v>8</v>
      </c>
      <c r="H342" s="34"/>
      <c r="I342" s="34"/>
      <c r="J342" s="34"/>
    </row>
    <row r="343" spans="1:10">
      <c r="A343" s="33">
        <v>30930</v>
      </c>
      <c r="B343" s="33">
        <v>3093</v>
      </c>
      <c r="C343" s="34" t="b">
        <v>1</v>
      </c>
      <c r="D343" s="34">
        <v>1</v>
      </c>
      <c r="E343" s="34" t="s">
        <v>3264</v>
      </c>
      <c r="F343" s="33">
        <v>52</v>
      </c>
      <c r="G343" s="33">
        <v>8</v>
      </c>
      <c r="H343" s="34"/>
      <c r="I343" s="34"/>
      <c r="J343" s="34"/>
    </row>
    <row r="344" spans="1:10">
      <c r="A344" s="33">
        <v>30940</v>
      </c>
      <c r="B344" s="33">
        <v>3094</v>
      </c>
      <c r="C344" s="34" t="b">
        <v>1</v>
      </c>
      <c r="D344" s="34">
        <v>1</v>
      </c>
      <c r="E344" s="34" t="s">
        <v>3264</v>
      </c>
      <c r="F344" s="33">
        <v>52</v>
      </c>
      <c r="G344" s="33">
        <v>8</v>
      </c>
      <c r="H344" s="34"/>
      <c r="I344" s="34"/>
      <c r="J344" s="34"/>
    </row>
    <row r="345" spans="1:10">
      <c r="A345" s="33">
        <v>30950</v>
      </c>
      <c r="B345" s="33">
        <v>3095</v>
      </c>
      <c r="C345" s="34" t="b">
        <v>1</v>
      </c>
      <c r="D345" s="34">
        <v>1</v>
      </c>
      <c r="E345" s="34" t="s">
        <v>3264</v>
      </c>
      <c r="F345" s="33">
        <v>52</v>
      </c>
      <c r="G345" s="33">
        <v>8</v>
      </c>
      <c r="H345" s="34"/>
      <c r="I345" s="34"/>
      <c r="J345" s="34"/>
    </row>
    <row r="346" spans="1:10">
      <c r="A346" s="33">
        <v>30960</v>
      </c>
      <c r="B346" s="33">
        <v>3096</v>
      </c>
      <c r="C346" s="34" t="b">
        <v>1</v>
      </c>
      <c r="D346" s="34">
        <v>1</v>
      </c>
      <c r="E346" s="34" t="s">
        <v>3264</v>
      </c>
      <c r="F346" s="33">
        <v>52</v>
      </c>
      <c r="G346" s="33">
        <v>8</v>
      </c>
      <c r="H346" s="34"/>
      <c r="I346" s="34"/>
      <c r="J346" s="34"/>
    </row>
    <row r="347" spans="1:10">
      <c r="A347" s="33">
        <v>30970</v>
      </c>
      <c r="B347" s="33">
        <v>3097</v>
      </c>
      <c r="C347" s="34" t="b">
        <v>1</v>
      </c>
      <c r="D347" s="34">
        <v>1</v>
      </c>
      <c r="E347" s="34" t="s">
        <v>3264</v>
      </c>
      <c r="F347" s="33">
        <v>52</v>
      </c>
      <c r="G347" s="33">
        <v>8</v>
      </c>
      <c r="H347" s="34"/>
      <c r="I347" s="34"/>
      <c r="J347" s="34"/>
    </row>
    <row r="348" spans="1:10">
      <c r="A348" s="33">
        <v>30980</v>
      </c>
      <c r="B348" s="33">
        <v>3098</v>
      </c>
      <c r="C348" s="34" t="b">
        <v>1</v>
      </c>
      <c r="D348" s="34">
        <v>1</v>
      </c>
      <c r="E348" s="34" t="s">
        <v>3264</v>
      </c>
      <c r="F348" s="33">
        <v>52</v>
      </c>
      <c r="G348" s="33">
        <v>8</v>
      </c>
      <c r="H348" s="34"/>
      <c r="I348" s="34"/>
      <c r="J348" s="34"/>
    </row>
    <row r="349" spans="1:10">
      <c r="A349" s="33">
        <v>30990</v>
      </c>
      <c r="B349" s="33">
        <v>3099</v>
      </c>
      <c r="C349" s="34" t="b">
        <v>1</v>
      </c>
      <c r="D349" s="34">
        <v>1</v>
      </c>
      <c r="E349" s="34" t="s">
        <v>3264</v>
      </c>
      <c r="F349" s="33">
        <v>52</v>
      </c>
      <c r="G349" s="33">
        <v>8</v>
      </c>
      <c r="H349" s="34"/>
      <c r="I349" s="34"/>
      <c r="J349" s="34"/>
    </row>
    <row r="350" spans="1:10">
      <c r="A350" s="33">
        <v>31000</v>
      </c>
      <c r="B350" s="33">
        <v>3100</v>
      </c>
      <c r="C350" s="34" t="b">
        <v>1</v>
      </c>
      <c r="D350" s="34">
        <v>1</v>
      </c>
      <c r="E350" s="34" t="s">
        <v>3264</v>
      </c>
      <c r="F350" s="33">
        <v>52</v>
      </c>
      <c r="G350" s="33">
        <v>8</v>
      </c>
      <c r="H350" s="34"/>
      <c r="I350" s="34"/>
      <c r="J350" s="34"/>
    </row>
    <row r="351" spans="1:10">
      <c r="A351" s="33">
        <v>31010</v>
      </c>
      <c r="B351" s="33">
        <v>3101</v>
      </c>
      <c r="C351" s="34" t="b">
        <v>1</v>
      </c>
      <c r="D351" s="34">
        <v>1</v>
      </c>
      <c r="E351" s="34" t="s">
        <v>3264</v>
      </c>
      <c r="F351" s="33">
        <v>52</v>
      </c>
      <c r="G351" s="33">
        <v>8</v>
      </c>
      <c r="H351" s="34"/>
      <c r="I351" s="34"/>
      <c r="J351" s="34"/>
    </row>
    <row r="352" spans="1:10">
      <c r="A352" s="33">
        <v>31020</v>
      </c>
      <c r="B352" s="33">
        <v>3102</v>
      </c>
      <c r="C352" s="34" t="b">
        <v>1</v>
      </c>
      <c r="D352" s="34">
        <v>1</v>
      </c>
      <c r="E352" s="34" t="s">
        <v>3264</v>
      </c>
      <c r="F352" s="33">
        <v>52</v>
      </c>
      <c r="G352" s="33">
        <v>8</v>
      </c>
      <c r="H352" s="34"/>
      <c r="I352" s="34"/>
      <c r="J352" s="34"/>
    </row>
    <row r="353" spans="1:10">
      <c r="A353" s="33">
        <v>31030</v>
      </c>
      <c r="B353" s="33">
        <v>3103</v>
      </c>
      <c r="C353" s="34" t="b">
        <v>1</v>
      </c>
      <c r="D353" s="34">
        <v>1</v>
      </c>
      <c r="E353" s="34" t="s">
        <v>3264</v>
      </c>
      <c r="F353" s="33">
        <v>52</v>
      </c>
      <c r="G353" s="33">
        <v>8</v>
      </c>
      <c r="H353" s="34"/>
      <c r="I353" s="34"/>
      <c r="J353" s="34"/>
    </row>
    <row r="354" spans="1:10">
      <c r="A354" s="33">
        <v>31040</v>
      </c>
      <c r="B354" s="33">
        <v>3104</v>
      </c>
      <c r="C354" s="34" t="b">
        <v>1</v>
      </c>
      <c r="D354" s="34">
        <v>1</v>
      </c>
      <c r="E354" s="34" t="s">
        <v>3264</v>
      </c>
      <c r="F354" s="33">
        <v>52</v>
      </c>
      <c r="G354" s="33">
        <v>8</v>
      </c>
      <c r="H354" s="34"/>
      <c r="I354" s="34"/>
      <c r="J354" s="34"/>
    </row>
    <row r="355" spans="1:10">
      <c r="A355" s="33">
        <v>31050</v>
      </c>
      <c r="B355" s="33">
        <v>3105</v>
      </c>
      <c r="C355" s="34" t="b">
        <v>1</v>
      </c>
      <c r="D355" s="34">
        <v>1</v>
      </c>
      <c r="E355" s="34" t="s">
        <v>3264</v>
      </c>
      <c r="F355" s="33">
        <v>52</v>
      </c>
      <c r="G355" s="33">
        <v>8</v>
      </c>
      <c r="H355" s="34"/>
      <c r="I355" s="34"/>
      <c r="J355" s="34"/>
    </row>
    <row r="356" spans="1:10">
      <c r="A356" s="33">
        <v>31060</v>
      </c>
      <c r="B356" s="33">
        <v>3106</v>
      </c>
      <c r="C356" s="34" t="b">
        <v>1</v>
      </c>
      <c r="D356" s="34">
        <v>1</v>
      </c>
      <c r="E356" s="34" t="s">
        <v>3264</v>
      </c>
      <c r="F356" s="33">
        <v>52</v>
      </c>
      <c r="G356" s="33">
        <v>8</v>
      </c>
      <c r="H356" s="34"/>
      <c r="I356" s="34"/>
      <c r="J356" s="34"/>
    </row>
    <row r="357" spans="1:10">
      <c r="A357" s="33">
        <v>31070</v>
      </c>
      <c r="B357" s="33">
        <v>3107</v>
      </c>
      <c r="C357" s="34" t="b">
        <v>1</v>
      </c>
      <c r="D357" s="34">
        <v>1</v>
      </c>
      <c r="E357" s="34" t="s">
        <v>3264</v>
      </c>
      <c r="F357" s="33">
        <v>52</v>
      </c>
      <c r="G357" s="33">
        <v>8</v>
      </c>
      <c r="H357" s="34"/>
      <c r="I357" s="34"/>
      <c r="J357" s="34"/>
    </row>
    <row r="358" spans="1:10">
      <c r="A358" s="33">
        <v>31080</v>
      </c>
      <c r="B358" s="33">
        <v>3108</v>
      </c>
      <c r="C358" s="34" t="b">
        <v>1</v>
      </c>
      <c r="D358" s="34">
        <v>1</v>
      </c>
      <c r="E358" s="34" t="s">
        <v>3264</v>
      </c>
      <c r="F358" s="33">
        <v>52</v>
      </c>
      <c r="G358" s="33">
        <v>8</v>
      </c>
      <c r="H358" s="34"/>
      <c r="I358" s="34"/>
      <c r="J358" s="34"/>
    </row>
    <row r="359" spans="1:10">
      <c r="A359" s="33">
        <v>31090</v>
      </c>
      <c r="B359" s="33">
        <v>3109</v>
      </c>
      <c r="C359" s="34" t="b">
        <v>1</v>
      </c>
      <c r="D359" s="34">
        <v>1</v>
      </c>
      <c r="E359" s="34" t="s">
        <v>3264</v>
      </c>
      <c r="F359" s="33">
        <v>52</v>
      </c>
      <c r="G359" s="33">
        <v>8</v>
      </c>
      <c r="H359" s="34"/>
      <c r="I359" s="34"/>
      <c r="J359" s="34"/>
    </row>
    <row r="360" spans="1:10">
      <c r="A360" s="33">
        <v>31100</v>
      </c>
      <c r="B360" s="33">
        <v>3110</v>
      </c>
      <c r="C360" s="34" t="b">
        <v>1</v>
      </c>
      <c r="D360" s="34">
        <v>1</v>
      </c>
      <c r="E360" s="34" t="s">
        <v>3264</v>
      </c>
      <c r="F360" s="33">
        <v>52</v>
      </c>
      <c r="G360" s="33">
        <v>8</v>
      </c>
      <c r="H360" s="34"/>
      <c r="I360" s="34"/>
      <c r="J360" s="34"/>
    </row>
    <row r="361" spans="1:10">
      <c r="A361" s="33">
        <v>31110</v>
      </c>
      <c r="B361" s="33">
        <v>3111</v>
      </c>
      <c r="C361" s="34" t="b">
        <v>1</v>
      </c>
      <c r="D361" s="34">
        <v>1</v>
      </c>
      <c r="E361" s="34" t="s">
        <v>3264</v>
      </c>
      <c r="F361" s="33">
        <v>52</v>
      </c>
      <c r="G361" s="33">
        <v>8</v>
      </c>
      <c r="H361" s="34"/>
      <c r="I361" s="34"/>
      <c r="J361" s="34"/>
    </row>
    <row r="362" spans="1:10">
      <c r="A362" s="33">
        <v>31120</v>
      </c>
      <c r="B362" s="33">
        <v>3112</v>
      </c>
      <c r="C362" s="34" t="b">
        <v>1</v>
      </c>
      <c r="D362" s="34">
        <v>1</v>
      </c>
      <c r="E362" s="34" t="s">
        <v>3264</v>
      </c>
      <c r="F362" s="33">
        <v>52</v>
      </c>
      <c r="G362" s="33">
        <v>8</v>
      </c>
      <c r="H362" s="34"/>
      <c r="I362" s="34"/>
      <c r="J362" s="34"/>
    </row>
    <row r="363" spans="1:10">
      <c r="A363" s="33">
        <v>31130</v>
      </c>
      <c r="B363" s="33">
        <v>3113</v>
      </c>
      <c r="C363" s="34" t="b">
        <v>1</v>
      </c>
      <c r="D363" s="34">
        <v>1</v>
      </c>
      <c r="E363" s="34" t="s">
        <v>3264</v>
      </c>
      <c r="F363" s="33">
        <v>52</v>
      </c>
      <c r="G363" s="33">
        <v>8</v>
      </c>
      <c r="H363" s="34"/>
      <c r="I363" s="34"/>
      <c r="J363" s="34"/>
    </row>
    <row r="364" spans="1:10">
      <c r="A364" s="33">
        <v>31140</v>
      </c>
      <c r="B364" s="33">
        <v>3114</v>
      </c>
      <c r="C364" s="34" t="b">
        <v>1</v>
      </c>
      <c r="D364" s="34">
        <v>1</v>
      </c>
      <c r="E364" s="34" t="s">
        <v>3264</v>
      </c>
      <c r="F364" s="33">
        <v>52</v>
      </c>
      <c r="G364" s="33">
        <v>8</v>
      </c>
      <c r="H364" s="34"/>
      <c r="I364" s="34"/>
      <c r="J364" s="34"/>
    </row>
    <row r="365" spans="1:10">
      <c r="A365" s="33">
        <v>31150</v>
      </c>
      <c r="B365" s="33">
        <v>3115</v>
      </c>
      <c r="C365" s="34" t="b">
        <v>1</v>
      </c>
      <c r="D365" s="34">
        <v>1</v>
      </c>
      <c r="E365" s="34" t="s">
        <v>3264</v>
      </c>
      <c r="F365" s="33">
        <v>52</v>
      </c>
      <c r="G365" s="33">
        <v>8</v>
      </c>
      <c r="H365" s="34"/>
      <c r="I365" s="34"/>
      <c r="J365" s="34"/>
    </row>
    <row r="366" spans="1:10">
      <c r="A366" s="33">
        <v>31160</v>
      </c>
      <c r="B366" s="33">
        <v>3116</v>
      </c>
      <c r="C366" s="34" t="b">
        <v>1</v>
      </c>
      <c r="D366" s="34">
        <v>1</v>
      </c>
      <c r="E366" s="34" t="s">
        <v>3264</v>
      </c>
      <c r="F366" s="33">
        <v>52</v>
      </c>
      <c r="G366" s="33">
        <v>8</v>
      </c>
      <c r="H366" s="34"/>
      <c r="I366" s="34"/>
      <c r="J366" s="34"/>
    </row>
    <row r="367" spans="1:10">
      <c r="A367" s="33">
        <v>31170</v>
      </c>
      <c r="B367" s="33">
        <v>3117</v>
      </c>
      <c r="C367" s="34" t="b">
        <v>1</v>
      </c>
      <c r="D367" s="34">
        <v>1</v>
      </c>
      <c r="E367" s="34" t="s">
        <v>3264</v>
      </c>
      <c r="F367" s="33">
        <v>52</v>
      </c>
      <c r="G367" s="33">
        <v>8</v>
      </c>
      <c r="H367" s="34"/>
      <c r="I367" s="34"/>
      <c r="J367" s="34"/>
    </row>
    <row r="368" spans="1:10">
      <c r="A368" s="33">
        <v>31180</v>
      </c>
      <c r="B368" s="33">
        <v>3118</v>
      </c>
      <c r="C368" s="34" t="b">
        <v>1</v>
      </c>
      <c r="D368" s="34">
        <v>1</v>
      </c>
      <c r="E368" s="34" t="s">
        <v>3264</v>
      </c>
      <c r="F368" s="33">
        <v>52</v>
      </c>
      <c r="G368" s="33">
        <v>8</v>
      </c>
      <c r="H368" s="34"/>
      <c r="I368" s="34"/>
      <c r="J368" s="34"/>
    </row>
    <row r="369" spans="1:10">
      <c r="A369" s="33">
        <v>31190</v>
      </c>
      <c r="B369" s="33">
        <v>3119</v>
      </c>
      <c r="C369" s="34" t="b">
        <v>1</v>
      </c>
      <c r="D369" s="34">
        <v>1</v>
      </c>
      <c r="E369" s="34" t="s">
        <v>3264</v>
      </c>
      <c r="F369" s="33">
        <v>52</v>
      </c>
      <c r="G369" s="33">
        <v>8</v>
      </c>
      <c r="H369" s="34"/>
      <c r="I369" s="34"/>
      <c r="J369" s="34"/>
    </row>
    <row r="370" spans="1:10">
      <c r="A370" s="33">
        <v>31200</v>
      </c>
      <c r="B370" s="33">
        <v>3120</v>
      </c>
      <c r="C370" s="34" t="b">
        <v>1</v>
      </c>
      <c r="D370" s="34">
        <v>1</v>
      </c>
      <c r="E370" s="34" t="s">
        <v>3264</v>
      </c>
      <c r="F370" s="33">
        <v>52</v>
      </c>
      <c r="G370" s="33">
        <v>8</v>
      </c>
      <c r="H370" s="34"/>
      <c r="I370" s="34"/>
      <c r="J370" s="34"/>
    </row>
    <row r="371" spans="1:10">
      <c r="A371" s="33">
        <v>31210</v>
      </c>
      <c r="B371" s="33">
        <v>3121</v>
      </c>
      <c r="C371" s="34" t="b">
        <v>1</v>
      </c>
      <c r="D371" s="34">
        <v>1</v>
      </c>
      <c r="E371" s="34" t="s">
        <v>3264</v>
      </c>
      <c r="F371" s="33">
        <v>52</v>
      </c>
      <c r="G371" s="33">
        <v>8</v>
      </c>
      <c r="H371" s="34"/>
      <c r="I371" s="34"/>
      <c r="J371" s="34"/>
    </row>
    <row r="372" spans="1:10">
      <c r="A372" s="33">
        <v>31220</v>
      </c>
      <c r="B372" s="33">
        <v>3122</v>
      </c>
      <c r="C372" s="34" t="b">
        <v>1</v>
      </c>
      <c r="D372" s="34">
        <v>1</v>
      </c>
      <c r="E372" s="34" t="s">
        <v>3264</v>
      </c>
      <c r="F372" s="33">
        <v>52</v>
      </c>
      <c r="G372" s="33">
        <v>8</v>
      </c>
      <c r="H372" s="34"/>
      <c r="I372" s="34"/>
      <c r="J372" s="34"/>
    </row>
    <row r="373" spans="1:10">
      <c r="A373" s="33">
        <v>31230</v>
      </c>
      <c r="B373" s="33">
        <v>3123</v>
      </c>
      <c r="C373" s="34" t="b">
        <v>1</v>
      </c>
      <c r="D373" s="34">
        <v>1</v>
      </c>
      <c r="E373" s="34" t="s">
        <v>3264</v>
      </c>
      <c r="F373" s="33">
        <v>52</v>
      </c>
      <c r="G373" s="33">
        <v>8</v>
      </c>
      <c r="H373" s="34"/>
      <c r="I373" s="34"/>
      <c r="J373" s="34"/>
    </row>
    <row r="374" spans="1:10">
      <c r="A374" s="33">
        <v>31240</v>
      </c>
      <c r="B374" s="33">
        <v>3124</v>
      </c>
      <c r="C374" s="34" t="b">
        <v>1</v>
      </c>
      <c r="D374" s="34">
        <v>1</v>
      </c>
      <c r="E374" s="34" t="s">
        <v>3264</v>
      </c>
      <c r="F374" s="33">
        <v>52</v>
      </c>
      <c r="G374" s="33">
        <v>8</v>
      </c>
      <c r="H374" s="34"/>
      <c r="I374" s="34"/>
      <c r="J374" s="34"/>
    </row>
    <row r="375" spans="1:10">
      <c r="A375" s="33">
        <v>31250</v>
      </c>
      <c r="B375" s="33">
        <v>3125</v>
      </c>
      <c r="C375" s="34" t="b">
        <v>1</v>
      </c>
      <c r="D375" s="34">
        <v>1</v>
      </c>
      <c r="E375" s="34" t="s">
        <v>3264</v>
      </c>
      <c r="F375" s="33">
        <v>52</v>
      </c>
      <c r="G375" s="33">
        <v>8</v>
      </c>
      <c r="H375" s="34"/>
      <c r="I375" s="34"/>
      <c r="J375" s="34"/>
    </row>
    <row r="376" spans="1:10">
      <c r="A376" s="33">
        <v>31260</v>
      </c>
      <c r="B376" s="33">
        <v>3126</v>
      </c>
      <c r="C376" s="34" t="b">
        <v>1</v>
      </c>
      <c r="D376" s="34">
        <v>1</v>
      </c>
      <c r="E376" s="34" t="s">
        <v>3264</v>
      </c>
      <c r="F376" s="33">
        <v>52</v>
      </c>
      <c r="G376" s="33">
        <v>8</v>
      </c>
      <c r="H376" s="34"/>
      <c r="I376" s="34"/>
      <c r="J376" s="34"/>
    </row>
    <row r="377" spans="1:10">
      <c r="A377" s="33">
        <v>31270</v>
      </c>
      <c r="B377" s="33">
        <v>3127</v>
      </c>
      <c r="C377" s="34" t="b">
        <v>1</v>
      </c>
      <c r="D377" s="34">
        <v>1</v>
      </c>
      <c r="E377" s="34" t="s">
        <v>3264</v>
      </c>
      <c r="F377" s="33">
        <v>52</v>
      </c>
      <c r="G377" s="33">
        <v>8</v>
      </c>
      <c r="H377" s="34"/>
      <c r="I377" s="34"/>
      <c r="J377" s="34"/>
    </row>
    <row r="378" spans="1:10">
      <c r="A378" s="33">
        <v>31280</v>
      </c>
      <c r="B378" s="33">
        <v>3128</v>
      </c>
      <c r="C378" s="34" t="b">
        <v>1</v>
      </c>
      <c r="D378" s="34">
        <v>1</v>
      </c>
      <c r="E378" s="34" t="s">
        <v>3264</v>
      </c>
      <c r="F378" s="33">
        <v>52</v>
      </c>
      <c r="G378" s="33">
        <v>8</v>
      </c>
      <c r="H378" s="34"/>
      <c r="I378" s="34"/>
      <c r="J378" s="34"/>
    </row>
    <row r="379" spans="1:10">
      <c r="A379" s="33">
        <v>31290</v>
      </c>
      <c r="B379" s="33">
        <v>3129</v>
      </c>
      <c r="C379" s="34" t="b">
        <v>1</v>
      </c>
      <c r="D379" s="34">
        <v>1</v>
      </c>
      <c r="E379" s="34" t="s">
        <v>3264</v>
      </c>
      <c r="F379" s="33">
        <v>52</v>
      </c>
      <c r="G379" s="33">
        <v>8</v>
      </c>
      <c r="H379" s="34"/>
      <c r="I379" s="34"/>
      <c r="J379" s="34"/>
    </row>
    <row r="380" spans="1:10">
      <c r="A380" s="33">
        <v>31300</v>
      </c>
      <c r="B380" s="33">
        <v>3130</v>
      </c>
      <c r="C380" s="34" t="b">
        <v>1</v>
      </c>
      <c r="D380" s="34">
        <v>1</v>
      </c>
      <c r="E380" s="34" t="s">
        <v>3264</v>
      </c>
      <c r="F380" s="33">
        <v>52</v>
      </c>
      <c r="G380" s="33">
        <v>8</v>
      </c>
      <c r="H380" s="34"/>
      <c r="I380" s="34"/>
      <c r="J380" s="34"/>
    </row>
    <row r="381" spans="1:10">
      <c r="A381" s="33">
        <v>31310</v>
      </c>
      <c r="B381" s="33">
        <v>3131</v>
      </c>
      <c r="C381" s="34" t="b">
        <v>1</v>
      </c>
      <c r="D381" s="34">
        <v>1</v>
      </c>
      <c r="E381" s="34" t="s">
        <v>3264</v>
      </c>
      <c r="F381" s="33">
        <v>52</v>
      </c>
      <c r="G381" s="33">
        <v>8</v>
      </c>
      <c r="H381" s="34"/>
      <c r="I381" s="34"/>
      <c r="J381" s="34"/>
    </row>
    <row r="382" spans="1:10">
      <c r="A382" s="33">
        <v>31320</v>
      </c>
      <c r="B382" s="33">
        <v>3132</v>
      </c>
      <c r="C382" s="34" t="b">
        <v>1</v>
      </c>
      <c r="D382" s="34">
        <v>1</v>
      </c>
      <c r="E382" s="34" t="s">
        <v>3264</v>
      </c>
      <c r="F382" s="33">
        <v>52</v>
      </c>
      <c r="G382" s="33">
        <v>8</v>
      </c>
      <c r="H382" s="34"/>
      <c r="I382" s="34"/>
      <c r="J382" s="34"/>
    </row>
    <row r="383" spans="1:10">
      <c r="A383" s="33">
        <v>31330</v>
      </c>
      <c r="B383" s="33">
        <v>3133</v>
      </c>
      <c r="C383" s="34" t="b">
        <v>1</v>
      </c>
      <c r="D383" s="34">
        <v>1</v>
      </c>
      <c r="E383" s="34" t="s">
        <v>3264</v>
      </c>
      <c r="F383" s="33">
        <v>52</v>
      </c>
      <c r="G383" s="33">
        <v>8</v>
      </c>
      <c r="H383" s="34"/>
      <c r="I383" s="34"/>
      <c r="J383" s="34"/>
    </row>
    <row r="384" spans="1:10">
      <c r="A384" s="33">
        <v>31340</v>
      </c>
      <c r="B384" s="33">
        <v>3134</v>
      </c>
      <c r="C384" s="34" t="b">
        <v>1</v>
      </c>
      <c r="D384" s="34">
        <v>1</v>
      </c>
      <c r="E384" s="34" t="s">
        <v>3264</v>
      </c>
      <c r="F384" s="33">
        <v>52</v>
      </c>
      <c r="G384" s="33">
        <v>8</v>
      </c>
      <c r="H384" s="34"/>
      <c r="I384" s="34"/>
      <c r="J384" s="34"/>
    </row>
    <row r="385" spans="1:10">
      <c r="A385" s="33">
        <v>31350</v>
      </c>
      <c r="B385" s="33">
        <v>3135</v>
      </c>
      <c r="C385" s="34" t="b">
        <v>1</v>
      </c>
      <c r="D385" s="34">
        <v>1</v>
      </c>
      <c r="E385" s="34" t="s">
        <v>3264</v>
      </c>
      <c r="F385" s="33">
        <v>52</v>
      </c>
      <c r="G385" s="33">
        <v>8</v>
      </c>
      <c r="H385" s="34"/>
      <c r="I385" s="34"/>
      <c r="J385" s="34"/>
    </row>
    <row r="386" spans="1:10">
      <c r="A386" s="33">
        <v>31360</v>
      </c>
      <c r="B386" s="33">
        <v>3136</v>
      </c>
      <c r="C386" s="34" t="b">
        <v>1</v>
      </c>
      <c r="D386" s="34">
        <v>1</v>
      </c>
      <c r="E386" s="34" t="s">
        <v>3264</v>
      </c>
      <c r="F386" s="33">
        <v>52</v>
      </c>
      <c r="G386" s="33">
        <v>8</v>
      </c>
      <c r="H386" s="34"/>
      <c r="I386" s="34"/>
      <c r="J386" s="34"/>
    </row>
    <row r="387" spans="1:10">
      <c r="A387" s="33">
        <v>31370</v>
      </c>
      <c r="B387" s="33">
        <v>3137</v>
      </c>
      <c r="C387" s="34" t="b">
        <v>1</v>
      </c>
      <c r="D387" s="34">
        <v>1</v>
      </c>
      <c r="E387" s="34" t="s">
        <v>3264</v>
      </c>
      <c r="F387" s="33">
        <v>52</v>
      </c>
      <c r="G387" s="33">
        <v>8</v>
      </c>
      <c r="H387" s="34"/>
      <c r="I387" s="34"/>
      <c r="J387" s="34"/>
    </row>
    <row r="388" spans="1:10">
      <c r="A388" s="33">
        <v>31380</v>
      </c>
      <c r="B388" s="33">
        <v>3138</v>
      </c>
      <c r="C388" s="34" t="b">
        <v>1</v>
      </c>
      <c r="D388" s="34">
        <v>1</v>
      </c>
      <c r="E388" s="34" t="s">
        <v>3264</v>
      </c>
      <c r="F388" s="33">
        <v>52</v>
      </c>
      <c r="G388" s="33">
        <v>8</v>
      </c>
      <c r="H388" s="34"/>
      <c r="I388" s="34"/>
      <c r="J388" s="34"/>
    </row>
    <row r="389" spans="1:10">
      <c r="A389" s="33">
        <v>31390</v>
      </c>
      <c r="B389" s="33">
        <v>3139</v>
      </c>
      <c r="C389" s="34" t="b">
        <v>1</v>
      </c>
      <c r="D389" s="34">
        <v>1</v>
      </c>
      <c r="E389" s="34" t="s">
        <v>3264</v>
      </c>
      <c r="F389" s="33">
        <v>52</v>
      </c>
      <c r="G389" s="33">
        <v>8</v>
      </c>
      <c r="H389" s="34"/>
      <c r="I389" s="34"/>
      <c r="J389" s="34"/>
    </row>
    <row r="390" spans="1:10">
      <c r="A390" s="33">
        <v>31400</v>
      </c>
      <c r="B390" s="33">
        <v>3140</v>
      </c>
      <c r="C390" s="34" t="b">
        <v>1</v>
      </c>
      <c r="D390" s="34">
        <v>1</v>
      </c>
      <c r="E390" s="34" t="s">
        <v>3264</v>
      </c>
      <c r="F390" s="33">
        <v>52</v>
      </c>
      <c r="G390" s="33">
        <v>8</v>
      </c>
      <c r="H390" s="34"/>
      <c r="I390" s="34"/>
      <c r="J390" s="34"/>
    </row>
    <row r="391" spans="1:10">
      <c r="A391" s="33">
        <v>31410</v>
      </c>
      <c r="B391" s="33">
        <v>3141</v>
      </c>
      <c r="C391" s="34" t="b">
        <v>1</v>
      </c>
      <c r="D391" s="34">
        <v>1</v>
      </c>
      <c r="E391" s="34" t="s">
        <v>3264</v>
      </c>
      <c r="F391" s="33">
        <v>52</v>
      </c>
      <c r="G391" s="33">
        <v>8</v>
      </c>
      <c r="H391" s="34"/>
      <c r="I391" s="34"/>
      <c r="J391" s="34"/>
    </row>
    <row r="392" spans="1:10">
      <c r="A392" s="33">
        <v>31420</v>
      </c>
      <c r="B392" s="33">
        <v>3142</v>
      </c>
      <c r="C392" s="34" t="b">
        <v>1</v>
      </c>
      <c r="D392" s="34">
        <v>1</v>
      </c>
      <c r="E392" s="34" t="s">
        <v>3264</v>
      </c>
      <c r="F392" s="33">
        <v>52</v>
      </c>
      <c r="G392" s="33">
        <v>8</v>
      </c>
      <c r="H392" s="34"/>
      <c r="I392" s="34"/>
      <c r="J392" s="34"/>
    </row>
    <row r="393" spans="1:10">
      <c r="A393" s="33">
        <v>31430</v>
      </c>
      <c r="B393" s="33">
        <v>3143</v>
      </c>
      <c r="C393" s="34" t="b">
        <v>1</v>
      </c>
      <c r="D393" s="34">
        <v>1</v>
      </c>
      <c r="E393" s="34" t="s">
        <v>3264</v>
      </c>
      <c r="F393" s="33">
        <v>52</v>
      </c>
      <c r="G393" s="33">
        <v>8</v>
      </c>
      <c r="H393" s="34"/>
      <c r="I393" s="34"/>
      <c r="J393" s="34"/>
    </row>
    <row r="394" spans="1:10">
      <c r="A394" s="33">
        <v>31440</v>
      </c>
      <c r="B394" s="33">
        <v>3144</v>
      </c>
      <c r="C394" s="34" t="b">
        <v>1</v>
      </c>
      <c r="D394" s="34">
        <v>1</v>
      </c>
      <c r="E394" s="34" t="s">
        <v>3264</v>
      </c>
      <c r="F394" s="33">
        <v>52</v>
      </c>
      <c r="G394" s="33">
        <v>8</v>
      </c>
      <c r="H394" s="34"/>
      <c r="I394" s="34"/>
      <c r="J394" s="34"/>
    </row>
    <row r="395" spans="1:10">
      <c r="A395" s="33">
        <v>31450</v>
      </c>
      <c r="B395" s="33">
        <v>3145</v>
      </c>
      <c r="C395" s="34" t="b">
        <v>1</v>
      </c>
      <c r="D395" s="34">
        <v>1</v>
      </c>
      <c r="E395" s="34" t="s">
        <v>3264</v>
      </c>
      <c r="F395" s="33">
        <v>52</v>
      </c>
      <c r="G395" s="33">
        <v>8</v>
      </c>
      <c r="H395" s="34"/>
      <c r="I395" s="34"/>
      <c r="J395" s="34"/>
    </row>
    <row r="396" spans="1:10">
      <c r="A396" s="33">
        <v>31460</v>
      </c>
      <c r="B396" s="33">
        <v>3146</v>
      </c>
      <c r="C396" s="34" t="b">
        <v>1</v>
      </c>
      <c r="D396" s="34">
        <v>1</v>
      </c>
      <c r="E396" s="34" t="s">
        <v>3264</v>
      </c>
      <c r="F396" s="33">
        <v>52</v>
      </c>
      <c r="G396" s="33">
        <v>8</v>
      </c>
      <c r="H396" s="34"/>
      <c r="I396" s="34"/>
      <c r="J396" s="34"/>
    </row>
    <row r="397" spans="1:10">
      <c r="A397" s="33">
        <v>31470</v>
      </c>
      <c r="B397" s="33">
        <v>3147</v>
      </c>
      <c r="C397" s="34" t="b">
        <v>1</v>
      </c>
      <c r="D397" s="34">
        <v>1</v>
      </c>
      <c r="E397" s="34" t="s">
        <v>3264</v>
      </c>
      <c r="F397" s="33">
        <v>52</v>
      </c>
      <c r="G397" s="33">
        <v>8</v>
      </c>
      <c r="H397" s="34"/>
      <c r="I397" s="34"/>
      <c r="J397" s="34"/>
    </row>
    <row r="398" spans="1:10">
      <c r="A398" s="33">
        <v>31480</v>
      </c>
      <c r="B398" s="33">
        <v>3148</v>
      </c>
      <c r="C398" s="34" t="b">
        <v>1</v>
      </c>
      <c r="D398" s="34">
        <v>1</v>
      </c>
      <c r="E398" s="34" t="s">
        <v>3264</v>
      </c>
      <c r="F398" s="33">
        <v>52</v>
      </c>
      <c r="G398" s="33">
        <v>8</v>
      </c>
      <c r="H398" s="34"/>
      <c r="I398" s="34"/>
      <c r="J398" s="34"/>
    </row>
    <row r="399" spans="1:10">
      <c r="A399" s="33">
        <v>31490</v>
      </c>
      <c r="B399" s="33">
        <v>3149</v>
      </c>
      <c r="C399" s="34" t="b">
        <v>1</v>
      </c>
      <c r="D399" s="34">
        <v>1</v>
      </c>
      <c r="E399" s="34" t="s">
        <v>3264</v>
      </c>
      <c r="F399" s="33">
        <v>52</v>
      </c>
      <c r="G399" s="33">
        <v>8</v>
      </c>
      <c r="H399" s="34"/>
      <c r="I399" s="34"/>
      <c r="J399" s="34"/>
    </row>
    <row r="400" spans="1:10">
      <c r="A400" s="33">
        <v>31500</v>
      </c>
      <c r="B400" s="33">
        <v>3150</v>
      </c>
      <c r="C400" s="34" t="b">
        <v>1</v>
      </c>
      <c r="D400" s="34">
        <v>1</v>
      </c>
      <c r="E400" s="34" t="s">
        <v>3264</v>
      </c>
      <c r="F400" s="33">
        <v>52</v>
      </c>
      <c r="G400" s="33">
        <v>8</v>
      </c>
      <c r="H400" s="34"/>
      <c r="I400" s="34"/>
      <c r="J400" s="34"/>
    </row>
    <row r="401" spans="1:10">
      <c r="A401" s="33">
        <v>31510</v>
      </c>
      <c r="B401" s="33">
        <v>3151</v>
      </c>
      <c r="C401" s="34" t="b">
        <v>1</v>
      </c>
      <c r="D401" s="34">
        <v>1</v>
      </c>
      <c r="E401" s="34" t="s">
        <v>3264</v>
      </c>
      <c r="F401" s="33">
        <v>52</v>
      </c>
      <c r="G401" s="33">
        <v>8</v>
      </c>
      <c r="H401" s="34"/>
      <c r="I401" s="34"/>
      <c r="J401" s="34"/>
    </row>
    <row r="402" spans="1:10">
      <c r="A402" s="33">
        <v>31520</v>
      </c>
      <c r="B402" s="33">
        <v>3152</v>
      </c>
      <c r="C402" s="34" t="b">
        <v>1</v>
      </c>
      <c r="D402" s="34">
        <v>1</v>
      </c>
      <c r="E402" s="34" t="s">
        <v>3264</v>
      </c>
      <c r="F402" s="33">
        <v>52</v>
      </c>
      <c r="G402" s="33">
        <v>8</v>
      </c>
      <c r="H402" s="34"/>
      <c r="I402" s="34"/>
      <c r="J402" s="34"/>
    </row>
    <row r="403" spans="1:10">
      <c r="A403" s="33">
        <v>31530</v>
      </c>
      <c r="B403" s="33">
        <v>3153</v>
      </c>
      <c r="C403" s="34" t="b">
        <v>1</v>
      </c>
      <c r="D403" s="34">
        <v>1</v>
      </c>
      <c r="E403" s="34" t="s">
        <v>3264</v>
      </c>
      <c r="F403" s="33">
        <v>52</v>
      </c>
      <c r="G403" s="33">
        <v>8</v>
      </c>
      <c r="H403" s="34"/>
      <c r="I403" s="34"/>
      <c r="J403" s="34"/>
    </row>
    <row r="404" spans="1:10">
      <c r="A404" s="33">
        <v>31540</v>
      </c>
      <c r="B404" s="33">
        <v>3154</v>
      </c>
      <c r="C404" s="34" t="b">
        <v>1</v>
      </c>
      <c r="D404" s="34">
        <v>1</v>
      </c>
      <c r="E404" s="34" t="s">
        <v>3264</v>
      </c>
      <c r="F404" s="33">
        <v>52</v>
      </c>
      <c r="G404" s="33">
        <v>8</v>
      </c>
      <c r="H404" s="34"/>
      <c r="I404" s="34"/>
      <c r="J404" s="34"/>
    </row>
    <row r="405" spans="1:10">
      <c r="A405" s="33">
        <v>31550</v>
      </c>
      <c r="B405" s="33">
        <v>3155</v>
      </c>
      <c r="C405" s="34" t="b">
        <v>1</v>
      </c>
      <c r="D405" s="34">
        <v>1</v>
      </c>
      <c r="E405" s="34" t="s">
        <v>3264</v>
      </c>
      <c r="F405" s="33">
        <v>52</v>
      </c>
      <c r="G405" s="33">
        <v>8</v>
      </c>
      <c r="H405" s="34"/>
      <c r="I405" s="34"/>
      <c r="J405" s="34"/>
    </row>
    <row r="406" spans="1:10">
      <c r="A406" s="33">
        <v>31560</v>
      </c>
      <c r="B406" s="33">
        <v>3156</v>
      </c>
      <c r="C406" s="34" t="b">
        <v>1</v>
      </c>
      <c r="D406" s="34">
        <v>1</v>
      </c>
      <c r="E406" s="34" t="s">
        <v>3264</v>
      </c>
      <c r="F406" s="33">
        <v>52</v>
      </c>
      <c r="G406" s="33">
        <v>8</v>
      </c>
      <c r="H406" s="34"/>
      <c r="I406" s="34"/>
      <c r="J406" s="34"/>
    </row>
    <row r="407" spans="1:10">
      <c r="A407" s="33">
        <v>31570</v>
      </c>
      <c r="B407" s="33">
        <v>3157</v>
      </c>
      <c r="C407" s="34" t="b">
        <v>1</v>
      </c>
      <c r="D407" s="34">
        <v>1</v>
      </c>
      <c r="E407" s="34" t="s">
        <v>3264</v>
      </c>
      <c r="F407" s="33">
        <v>52</v>
      </c>
      <c r="G407" s="33">
        <v>8</v>
      </c>
      <c r="H407" s="34"/>
      <c r="I407" s="34"/>
      <c r="J407" s="34"/>
    </row>
    <row r="408" spans="1:10">
      <c r="A408" s="33">
        <v>31580</v>
      </c>
      <c r="B408" s="33">
        <v>3158</v>
      </c>
      <c r="C408" s="34" t="b">
        <v>1</v>
      </c>
      <c r="D408" s="34">
        <v>1</v>
      </c>
      <c r="E408" s="34" t="s">
        <v>3264</v>
      </c>
      <c r="F408" s="33">
        <v>52</v>
      </c>
      <c r="G408" s="33">
        <v>8</v>
      </c>
      <c r="H408" s="34"/>
      <c r="I408" s="34"/>
      <c r="J408" s="34"/>
    </row>
    <row r="409" spans="1:10">
      <c r="A409" s="33">
        <v>31590</v>
      </c>
      <c r="B409" s="33">
        <v>3159</v>
      </c>
      <c r="C409" s="34" t="b">
        <v>1</v>
      </c>
      <c r="D409" s="34">
        <v>1</v>
      </c>
      <c r="E409" s="34" t="s">
        <v>3264</v>
      </c>
      <c r="F409" s="33">
        <v>52</v>
      </c>
      <c r="G409" s="33">
        <v>8</v>
      </c>
      <c r="H409" s="34"/>
      <c r="I409" s="34"/>
      <c r="J409" s="34"/>
    </row>
    <row r="410" spans="1:10">
      <c r="A410" s="33">
        <v>31600</v>
      </c>
      <c r="B410" s="33">
        <v>3160</v>
      </c>
      <c r="C410" s="34" t="b">
        <v>1</v>
      </c>
      <c r="D410" s="34">
        <v>1</v>
      </c>
      <c r="E410" s="34" t="s">
        <v>3264</v>
      </c>
      <c r="F410" s="33">
        <v>52</v>
      </c>
      <c r="G410" s="33">
        <v>8</v>
      </c>
      <c r="H410" s="34"/>
      <c r="I410" s="34"/>
      <c r="J410" s="34"/>
    </row>
    <row r="411" spans="1:10">
      <c r="A411" s="33">
        <v>31610</v>
      </c>
      <c r="B411" s="33">
        <v>3161</v>
      </c>
      <c r="C411" s="34" t="b">
        <v>1</v>
      </c>
      <c r="D411" s="34">
        <v>1</v>
      </c>
      <c r="E411" s="34" t="s">
        <v>3264</v>
      </c>
      <c r="F411" s="33">
        <v>52</v>
      </c>
      <c r="G411" s="33">
        <v>8</v>
      </c>
      <c r="H411" s="34"/>
      <c r="I411" s="34"/>
      <c r="J411" s="34"/>
    </row>
    <row r="412" spans="1:10">
      <c r="A412" s="33">
        <v>31620</v>
      </c>
      <c r="B412" s="33">
        <v>3162</v>
      </c>
      <c r="C412" s="34" t="b">
        <v>1</v>
      </c>
      <c r="D412" s="34">
        <v>1</v>
      </c>
      <c r="E412" s="34" t="s">
        <v>3264</v>
      </c>
      <c r="F412" s="33">
        <v>52</v>
      </c>
      <c r="G412" s="33">
        <v>8</v>
      </c>
      <c r="H412" s="34"/>
      <c r="I412" s="34"/>
      <c r="J412" s="34"/>
    </row>
    <row r="413" spans="1:10">
      <c r="A413" s="33">
        <v>31630</v>
      </c>
      <c r="B413" s="33">
        <v>3163</v>
      </c>
      <c r="C413" s="34" t="b">
        <v>1</v>
      </c>
      <c r="D413" s="34">
        <v>1</v>
      </c>
      <c r="E413" s="34" t="s">
        <v>3264</v>
      </c>
      <c r="F413" s="33">
        <v>52</v>
      </c>
      <c r="G413" s="33">
        <v>8</v>
      </c>
      <c r="H413" s="34"/>
      <c r="I413" s="34"/>
      <c r="J413" s="34"/>
    </row>
    <row r="414" spans="1:10">
      <c r="A414" s="33">
        <v>31640</v>
      </c>
      <c r="B414" s="33">
        <v>3164</v>
      </c>
      <c r="C414" s="34" t="b">
        <v>1</v>
      </c>
      <c r="D414" s="34">
        <v>1</v>
      </c>
      <c r="E414" s="34" t="s">
        <v>3264</v>
      </c>
      <c r="F414" s="33">
        <v>52</v>
      </c>
      <c r="G414" s="33">
        <v>8</v>
      </c>
      <c r="H414" s="34"/>
      <c r="I414" s="34"/>
      <c r="J414" s="34"/>
    </row>
    <row r="415" spans="1:10">
      <c r="A415" s="33">
        <v>31650</v>
      </c>
      <c r="B415" s="33">
        <v>3165</v>
      </c>
      <c r="C415" s="34" t="b">
        <v>1</v>
      </c>
      <c r="D415" s="34">
        <v>1</v>
      </c>
      <c r="E415" s="34" t="s">
        <v>3264</v>
      </c>
      <c r="F415" s="33">
        <v>52</v>
      </c>
      <c r="G415" s="33">
        <v>8</v>
      </c>
      <c r="H415" s="34"/>
      <c r="I415" s="34"/>
      <c r="J415" s="34"/>
    </row>
    <row r="416" spans="1:10">
      <c r="A416" s="33">
        <v>31660</v>
      </c>
      <c r="B416" s="33">
        <v>3166</v>
      </c>
      <c r="C416" s="34" t="b">
        <v>1</v>
      </c>
      <c r="D416" s="34">
        <v>1</v>
      </c>
      <c r="E416" s="34" t="s">
        <v>3264</v>
      </c>
      <c r="F416" s="33">
        <v>52</v>
      </c>
      <c r="G416" s="33">
        <v>8</v>
      </c>
      <c r="H416" s="34"/>
      <c r="I416" s="34"/>
      <c r="J416" s="34"/>
    </row>
    <row r="417" spans="1:10">
      <c r="A417" s="33">
        <v>31670</v>
      </c>
      <c r="B417" s="33">
        <v>3167</v>
      </c>
      <c r="C417" s="34" t="b">
        <v>1</v>
      </c>
      <c r="D417" s="34">
        <v>1</v>
      </c>
      <c r="E417" s="34" t="s">
        <v>3264</v>
      </c>
      <c r="F417" s="33">
        <v>52</v>
      </c>
      <c r="G417" s="33">
        <v>8</v>
      </c>
      <c r="H417" s="34"/>
      <c r="I417" s="34"/>
      <c r="J417" s="34"/>
    </row>
    <row r="418" spans="1:10">
      <c r="A418" s="33">
        <v>31680</v>
      </c>
      <c r="B418" s="33">
        <v>3168</v>
      </c>
      <c r="C418" s="34" t="b">
        <v>1</v>
      </c>
      <c r="D418" s="34">
        <v>1</v>
      </c>
      <c r="E418" s="34" t="s">
        <v>3264</v>
      </c>
      <c r="F418" s="33">
        <v>52</v>
      </c>
      <c r="G418" s="33">
        <v>8</v>
      </c>
      <c r="H418" s="34"/>
      <c r="I418" s="34"/>
      <c r="J418" s="34"/>
    </row>
    <row r="419" spans="1:10">
      <c r="A419" s="33">
        <v>31690</v>
      </c>
      <c r="B419" s="33">
        <v>3169</v>
      </c>
      <c r="C419" s="34" t="b">
        <v>1</v>
      </c>
      <c r="D419" s="34">
        <v>1</v>
      </c>
      <c r="E419" s="34" t="s">
        <v>3264</v>
      </c>
      <c r="F419" s="33">
        <v>52</v>
      </c>
      <c r="G419" s="33">
        <v>8</v>
      </c>
      <c r="H419" s="34"/>
      <c r="I419" s="34"/>
      <c r="J419" s="34"/>
    </row>
    <row r="420" spans="1:10">
      <c r="A420" s="33">
        <v>31700</v>
      </c>
      <c r="B420" s="33">
        <v>3170</v>
      </c>
      <c r="C420" s="34" t="b">
        <v>1</v>
      </c>
      <c r="D420" s="34">
        <v>1</v>
      </c>
      <c r="E420" s="34" t="s">
        <v>3264</v>
      </c>
      <c r="F420" s="33">
        <v>52</v>
      </c>
      <c r="G420" s="33">
        <v>8</v>
      </c>
      <c r="H420" s="34"/>
      <c r="I420" s="34"/>
      <c r="J420" s="34"/>
    </row>
    <row r="421" spans="1:10">
      <c r="A421" s="33">
        <v>31710</v>
      </c>
      <c r="B421" s="33">
        <v>3171</v>
      </c>
      <c r="C421" s="34" t="b">
        <v>1</v>
      </c>
      <c r="D421" s="34">
        <v>1</v>
      </c>
      <c r="E421" s="34" t="s">
        <v>3264</v>
      </c>
      <c r="F421" s="33">
        <v>52</v>
      </c>
      <c r="G421" s="33">
        <v>8</v>
      </c>
      <c r="H421" s="34"/>
      <c r="I421" s="34"/>
      <c r="J421" s="34"/>
    </row>
    <row r="422" spans="1:10">
      <c r="A422" s="33">
        <v>31720</v>
      </c>
      <c r="B422" s="33">
        <v>3172</v>
      </c>
      <c r="C422" s="34" t="b">
        <v>1</v>
      </c>
      <c r="D422" s="34">
        <v>1</v>
      </c>
      <c r="E422" s="34" t="s">
        <v>3264</v>
      </c>
      <c r="F422" s="33">
        <v>52</v>
      </c>
      <c r="G422" s="33">
        <v>8</v>
      </c>
      <c r="H422" s="34"/>
      <c r="I422" s="34"/>
      <c r="J422" s="34"/>
    </row>
    <row r="423" spans="1:10">
      <c r="A423" s="33">
        <v>31730</v>
      </c>
      <c r="B423" s="33">
        <v>3173</v>
      </c>
      <c r="C423" s="34" t="b">
        <v>1</v>
      </c>
      <c r="D423" s="34">
        <v>1</v>
      </c>
      <c r="E423" s="34" t="s">
        <v>3264</v>
      </c>
      <c r="F423" s="33">
        <v>52</v>
      </c>
      <c r="G423" s="33">
        <v>8</v>
      </c>
      <c r="H423" s="34"/>
      <c r="I423" s="34"/>
      <c r="J423" s="34"/>
    </row>
    <row r="424" spans="1:10">
      <c r="A424" s="33">
        <v>31740</v>
      </c>
      <c r="B424" s="33">
        <v>3174</v>
      </c>
      <c r="C424" s="34" t="b">
        <v>1</v>
      </c>
      <c r="D424" s="34">
        <v>1</v>
      </c>
      <c r="E424" s="34" t="s">
        <v>3264</v>
      </c>
      <c r="F424" s="33">
        <v>52</v>
      </c>
      <c r="G424" s="33">
        <v>8</v>
      </c>
      <c r="H424" s="34"/>
      <c r="I424" s="34"/>
      <c r="J424" s="34"/>
    </row>
    <row r="425" spans="1:10">
      <c r="A425" s="33">
        <v>31750</v>
      </c>
      <c r="B425" s="33">
        <v>3175</v>
      </c>
      <c r="C425" s="34" t="b">
        <v>1</v>
      </c>
      <c r="D425" s="34">
        <v>1</v>
      </c>
      <c r="E425" s="34" t="s">
        <v>3264</v>
      </c>
      <c r="F425" s="33">
        <v>52</v>
      </c>
      <c r="G425" s="33">
        <v>8</v>
      </c>
      <c r="H425" s="34"/>
      <c r="I425" s="34"/>
      <c r="J425" s="34"/>
    </row>
    <row r="426" spans="1:10">
      <c r="A426" s="33">
        <v>31760</v>
      </c>
      <c r="B426" s="33">
        <v>3176</v>
      </c>
      <c r="C426" s="34" t="b">
        <v>1</v>
      </c>
      <c r="D426" s="34">
        <v>1</v>
      </c>
      <c r="E426" s="34" t="s">
        <v>3264</v>
      </c>
      <c r="F426" s="33">
        <v>52</v>
      </c>
      <c r="G426" s="33">
        <v>8</v>
      </c>
      <c r="H426" s="34"/>
      <c r="I426" s="34"/>
      <c r="J426" s="34"/>
    </row>
    <row r="427" spans="1:10">
      <c r="A427" s="33">
        <v>31770</v>
      </c>
      <c r="B427" s="33">
        <v>3177</v>
      </c>
      <c r="C427" s="34" t="b">
        <v>1</v>
      </c>
      <c r="D427" s="34">
        <v>1</v>
      </c>
      <c r="E427" s="34" t="s">
        <v>3264</v>
      </c>
      <c r="F427" s="33">
        <v>52</v>
      </c>
      <c r="G427" s="33">
        <v>8</v>
      </c>
      <c r="H427" s="34"/>
      <c r="I427" s="34"/>
      <c r="J427" s="34"/>
    </row>
    <row r="428" spans="1:10">
      <c r="A428" s="33">
        <v>31780</v>
      </c>
      <c r="B428" s="33">
        <v>3178</v>
      </c>
      <c r="C428" s="34" t="b">
        <v>1</v>
      </c>
      <c r="D428" s="34">
        <v>1</v>
      </c>
      <c r="E428" s="34" t="s">
        <v>3264</v>
      </c>
      <c r="F428" s="33">
        <v>52</v>
      </c>
      <c r="G428" s="33">
        <v>8</v>
      </c>
      <c r="H428" s="34"/>
      <c r="I428" s="34"/>
      <c r="J428" s="34"/>
    </row>
    <row r="429" spans="1:10">
      <c r="A429" s="33">
        <v>31790</v>
      </c>
      <c r="B429" s="33">
        <v>3179</v>
      </c>
      <c r="C429" s="34" t="b">
        <v>1</v>
      </c>
      <c r="D429" s="34">
        <v>1</v>
      </c>
      <c r="E429" s="34" t="s">
        <v>3264</v>
      </c>
      <c r="F429" s="33">
        <v>52</v>
      </c>
      <c r="G429" s="33">
        <v>8</v>
      </c>
      <c r="H429" s="34"/>
      <c r="I429" s="34"/>
      <c r="J429" s="34"/>
    </row>
    <row r="430" spans="1:10">
      <c r="A430" s="33">
        <v>31800</v>
      </c>
      <c r="B430" s="33">
        <v>3180</v>
      </c>
      <c r="C430" s="34" t="b">
        <v>1</v>
      </c>
      <c r="D430" s="34">
        <v>1</v>
      </c>
      <c r="E430" s="34" t="s">
        <v>3264</v>
      </c>
      <c r="F430" s="33">
        <v>52</v>
      </c>
      <c r="G430" s="33">
        <v>8</v>
      </c>
      <c r="H430" s="34"/>
      <c r="I430" s="34"/>
      <c r="J430" s="34"/>
    </row>
    <row r="431" spans="1:10">
      <c r="A431" s="33">
        <v>31810</v>
      </c>
      <c r="B431" s="33">
        <v>3181</v>
      </c>
      <c r="C431" s="34" t="b">
        <v>1</v>
      </c>
      <c r="D431" s="34">
        <v>1</v>
      </c>
      <c r="E431" s="34" t="s">
        <v>3264</v>
      </c>
      <c r="F431" s="33">
        <v>52</v>
      </c>
      <c r="G431" s="33">
        <v>8</v>
      </c>
      <c r="H431" s="34"/>
      <c r="I431" s="34"/>
      <c r="J431" s="34"/>
    </row>
    <row r="432" spans="1:10">
      <c r="A432" s="33">
        <v>31820</v>
      </c>
      <c r="B432" s="33">
        <v>3182</v>
      </c>
      <c r="C432" s="34" t="b">
        <v>1</v>
      </c>
      <c r="D432" s="34">
        <v>1</v>
      </c>
      <c r="E432" s="34" t="s">
        <v>3264</v>
      </c>
      <c r="F432" s="33">
        <v>52</v>
      </c>
      <c r="G432" s="33">
        <v>8</v>
      </c>
      <c r="H432" s="34"/>
      <c r="I432" s="34"/>
      <c r="J432" s="34"/>
    </row>
    <row r="433" spans="1:10">
      <c r="A433" s="33">
        <v>31830</v>
      </c>
      <c r="B433" s="33">
        <v>3183</v>
      </c>
      <c r="C433" s="34" t="b">
        <v>1</v>
      </c>
      <c r="D433" s="34">
        <v>1</v>
      </c>
      <c r="E433" s="34" t="s">
        <v>3264</v>
      </c>
      <c r="F433" s="33">
        <v>52</v>
      </c>
      <c r="G433" s="33">
        <v>8</v>
      </c>
      <c r="H433" s="34"/>
      <c r="I433" s="34"/>
      <c r="J433" s="34"/>
    </row>
    <row r="434" spans="1:10">
      <c r="A434" s="33">
        <v>31840</v>
      </c>
      <c r="B434" s="33">
        <v>3184</v>
      </c>
      <c r="C434" s="34" t="b">
        <v>1</v>
      </c>
      <c r="D434" s="34">
        <v>1</v>
      </c>
      <c r="E434" s="34" t="s">
        <v>3264</v>
      </c>
      <c r="F434" s="33">
        <v>52</v>
      </c>
      <c r="G434" s="33">
        <v>8</v>
      </c>
      <c r="H434" s="34"/>
      <c r="I434" s="34"/>
      <c r="J434" s="34"/>
    </row>
    <row r="435" spans="1:10">
      <c r="A435" s="33">
        <v>31850</v>
      </c>
      <c r="B435" s="33">
        <v>3185</v>
      </c>
      <c r="C435" s="34" t="b">
        <v>1</v>
      </c>
      <c r="D435" s="34">
        <v>1</v>
      </c>
      <c r="E435" s="34" t="s">
        <v>3264</v>
      </c>
      <c r="F435" s="33">
        <v>52</v>
      </c>
      <c r="G435" s="33">
        <v>8</v>
      </c>
      <c r="H435" s="34"/>
      <c r="I435" s="34"/>
      <c r="J435" s="34"/>
    </row>
    <row r="436" spans="1:10">
      <c r="A436" s="33">
        <v>31860</v>
      </c>
      <c r="B436" s="33">
        <v>3186</v>
      </c>
      <c r="C436" s="34" t="b">
        <v>1</v>
      </c>
      <c r="D436" s="34">
        <v>1</v>
      </c>
      <c r="E436" s="34" t="s">
        <v>3264</v>
      </c>
      <c r="F436" s="33">
        <v>52</v>
      </c>
      <c r="G436" s="33">
        <v>8</v>
      </c>
      <c r="H436" s="34"/>
      <c r="I436" s="34"/>
      <c r="J436" s="34"/>
    </row>
    <row r="437" spans="1:10">
      <c r="A437" s="33">
        <v>31870</v>
      </c>
      <c r="B437" s="33">
        <v>3187</v>
      </c>
      <c r="C437" s="34" t="b">
        <v>1</v>
      </c>
      <c r="D437" s="34">
        <v>1</v>
      </c>
      <c r="E437" s="34" t="s">
        <v>3264</v>
      </c>
      <c r="F437" s="33">
        <v>52</v>
      </c>
      <c r="G437" s="33">
        <v>8</v>
      </c>
      <c r="H437" s="34"/>
      <c r="I437" s="34"/>
      <c r="J437" s="34"/>
    </row>
    <row r="438" spans="1:10">
      <c r="A438" s="33">
        <v>31880</v>
      </c>
      <c r="B438" s="33">
        <v>3188</v>
      </c>
      <c r="C438" s="34" t="b">
        <v>1</v>
      </c>
      <c r="D438" s="34">
        <v>1</v>
      </c>
      <c r="E438" s="34" t="s">
        <v>3264</v>
      </c>
      <c r="F438" s="33">
        <v>52</v>
      </c>
      <c r="G438" s="33">
        <v>8</v>
      </c>
      <c r="H438" s="34"/>
      <c r="I438" s="34"/>
      <c r="J438" s="34"/>
    </row>
    <row r="439" spans="1:10">
      <c r="A439" s="33">
        <v>31890</v>
      </c>
      <c r="B439" s="33">
        <v>3189</v>
      </c>
      <c r="C439" s="34" t="b">
        <v>1</v>
      </c>
      <c r="D439" s="34">
        <v>1</v>
      </c>
      <c r="E439" s="34" t="s">
        <v>3264</v>
      </c>
      <c r="F439" s="33">
        <v>52</v>
      </c>
      <c r="G439" s="33">
        <v>8</v>
      </c>
      <c r="H439" s="34"/>
      <c r="I439" s="34"/>
      <c r="J439" s="34"/>
    </row>
    <row r="440" spans="1:10">
      <c r="A440" s="33">
        <v>31900</v>
      </c>
      <c r="B440" s="33">
        <v>3190</v>
      </c>
      <c r="C440" s="34" t="b">
        <v>1</v>
      </c>
      <c r="D440" s="34">
        <v>1</v>
      </c>
      <c r="E440" s="34" t="s">
        <v>3264</v>
      </c>
      <c r="F440" s="33">
        <v>52</v>
      </c>
      <c r="G440" s="33">
        <v>8</v>
      </c>
      <c r="H440" s="34"/>
      <c r="I440" s="34"/>
      <c r="J440" s="34"/>
    </row>
    <row r="441" spans="1:10">
      <c r="A441" s="33">
        <v>31910</v>
      </c>
      <c r="B441" s="33">
        <v>3191</v>
      </c>
      <c r="C441" s="34" t="b">
        <v>1</v>
      </c>
      <c r="D441" s="34">
        <v>1</v>
      </c>
      <c r="E441" s="34" t="s">
        <v>3264</v>
      </c>
      <c r="F441" s="33">
        <v>52</v>
      </c>
      <c r="G441" s="33">
        <v>8</v>
      </c>
      <c r="H441" s="34"/>
      <c r="I441" s="34"/>
      <c r="J441" s="34"/>
    </row>
    <row r="442" spans="1:10">
      <c r="A442" s="33">
        <v>31920</v>
      </c>
      <c r="B442" s="33">
        <v>3192</v>
      </c>
      <c r="C442" s="34" t="b">
        <v>1</v>
      </c>
      <c r="D442" s="34">
        <v>1</v>
      </c>
      <c r="E442" s="34" t="s">
        <v>3264</v>
      </c>
      <c r="F442" s="33">
        <v>52</v>
      </c>
      <c r="G442" s="33">
        <v>8</v>
      </c>
      <c r="H442" s="34"/>
      <c r="I442" s="34"/>
      <c r="J442" s="34"/>
    </row>
    <row r="443" spans="1:10">
      <c r="A443" s="33">
        <v>31930</v>
      </c>
      <c r="B443" s="33">
        <v>3193</v>
      </c>
      <c r="C443" s="34" t="b">
        <v>1</v>
      </c>
      <c r="D443" s="34">
        <v>1</v>
      </c>
      <c r="E443" s="34" t="s">
        <v>3264</v>
      </c>
      <c r="F443" s="33">
        <v>52</v>
      </c>
      <c r="G443" s="33">
        <v>8</v>
      </c>
      <c r="H443" s="34"/>
      <c r="I443" s="34"/>
      <c r="J443" s="34"/>
    </row>
    <row r="444" spans="1:10">
      <c r="A444" s="33">
        <v>31940</v>
      </c>
      <c r="B444" s="33">
        <v>3194</v>
      </c>
      <c r="C444" s="34" t="b">
        <v>1</v>
      </c>
      <c r="D444" s="34">
        <v>1</v>
      </c>
      <c r="E444" s="34" t="s">
        <v>3264</v>
      </c>
      <c r="F444" s="33">
        <v>52</v>
      </c>
      <c r="G444" s="33">
        <v>8</v>
      </c>
      <c r="H444" s="34"/>
      <c r="I444" s="34"/>
      <c r="J444" s="34"/>
    </row>
    <row r="445" spans="1:10">
      <c r="A445" s="33">
        <v>31950</v>
      </c>
      <c r="B445" s="33">
        <v>3195</v>
      </c>
      <c r="C445" s="34" t="b">
        <v>1</v>
      </c>
      <c r="D445" s="34">
        <v>1</v>
      </c>
      <c r="E445" s="34" t="s">
        <v>3264</v>
      </c>
      <c r="F445" s="33">
        <v>52</v>
      </c>
      <c r="G445" s="33">
        <v>8</v>
      </c>
      <c r="H445" s="34"/>
      <c r="I445" s="34"/>
      <c r="J445" s="34"/>
    </row>
    <row r="446" spans="1:10">
      <c r="A446" s="33">
        <v>31960</v>
      </c>
      <c r="B446" s="33">
        <v>3196</v>
      </c>
      <c r="C446" s="34" t="b">
        <v>1</v>
      </c>
      <c r="D446" s="34">
        <v>1</v>
      </c>
      <c r="E446" s="34" t="s">
        <v>3264</v>
      </c>
      <c r="F446" s="33">
        <v>52</v>
      </c>
      <c r="G446" s="33">
        <v>8</v>
      </c>
      <c r="H446" s="34"/>
      <c r="I446" s="34"/>
      <c r="J446" s="34"/>
    </row>
    <row r="447" spans="1:10">
      <c r="A447" s="33">
        <v>31970</v>
      </c>
      <c r="B447" s="33">
        <v>3197</v>
      </c>
      <c r="C447" s="34" t="b">
        <v>1</v>
      </c>
      <c r="D447" s="34">
        <v>1</v>
      </c>
      <c r="E447" s="34" t="s">
        <v>3264</v>
      </c>
      <c r="F447" s="33">
        <v>52</v>
      </c>
      <c r="G447" s="33">
        <v>8</v>
      </c>
      <c r="H447" s="34"/>
      <c r="I447" s="34"/>
      <c r="J447" s="34"/>
    </row>
    <row r="448" spans="1:10">
      <c r="A448" s="33">
        <v>31980</v>
      </c>
      <c r="B448" s="33">
        <v>3198</v>
      </c>
      <c r="C448" s="34" t="b">
        <v>1</v>
      </c>
      <c r="D448" s="34">
        <v>1</v>
      </c>
      <c r="E448" s="34" t="s">
        <v>3264</v>
      </c>
      <c r="F448" s="33">
        <v>52</v>
      </c>
      <c r="G448" s="33">
        <v>8</v>
      </c>
      <c r="H448" s="34"/>
      <c r="I448" s="34"/>
      <c r="J448" s="34"/>
    </row>
    <row r="449" spans="1:10">
      <c r="A449" s="33">
        <v>31990</v>
      </c>
      <c r="B449" s="33">
        <v>3199</v>
      </c>
      <c r="C449" s="34" t="b">
        <v>1</v>
      </c>
      <c r="D449" s="34">
        <v>1</v>
      </c>
      <c r="E449" s="34" t="s">
        <v>3264</v>
      </c>
      <c r="F449" s="33">
        <v>52</v>
      </c>
      <c r="G449" s="33">
        <v>8</v>
      </c>
      <c r="H449" s="34"/>
      <c r="I449" s="34"/>
      <c r="J449" s="34"/>
    </row>
    <row r="450" spans="1:10">
      <c r="A450" s="33">
        <v>32000</v>
      </c>
      <c r="B450" s="33">
        <v>3200</v>
      </c>
      <c r="C450" s="34" t="b">
        <v>1</v>
      </c>
      <c r="D450" s="34">
        <v>1</v>
      </c>
      <c r="E450" s="34" t="s">
        <v>3264</v>
      </c>
      <c r="F450" s="33">
        <v>52</v>
      </c>
      <c r="G450" s="33">
        <v>8</v>
      </c>
      <c r="H450" s="34"/>
      <c r="I450" s="34"/>
      <c r="J450" s="34"/>
    </row>
    <row r="451" spans="1:10">
      <c r="A451" s="33">
        <v>32010</v>
      </c>
      <c r="B451" s="33">
        <v>3201</v>
      </c>
      <c r="C451" s="34" t="b">
        <v>1</v>
      </c>
      <c r="D451" s="34">
        <v>1</v>
      </c>
      <c r="E451" s="34" t="s">
        <v>3264</v>
      </c>
      <c r="F451" s="33">
        <v>52</v>
      </c>
      <c r="G451" s="33">
        <v>8</v>
      </c>
      <c r="H451" s="34"/>
      <c r="I451" s="34"/>
      <c r="J451" s="34"/>
    </row>
    <row r="452" spans="1:10">
      <c r="A452" s="33">
        <v>32020</v>
      </c>
      <c r="B452" s="33">
        <v>3202</v>
      </c>
      <c r="C452" s="34" t="b">
        <v>1</v>
      </c>
      <c r="D452" s="34">
        <v>1</v>
      </c>
      <c r="E452" s="34" t="s">
        <v>3264</v>
      </c>
      <c r="F452" s="33">
        <v>52</v>
      </c>
      <c r="G452" s="33">
        <v>8</v>
      </c>
      <c r="H452" s="34"/>
      <c r="I452" s="34"/>
      <c r="J452" s="34"/>
    </row>
    <row r="453" spans="1:10">
      <c r="A453" s="33">
        <v>32030</v>
      </c>
      <c r="B453" s="33">
        <v>3203</v>
      </c>
      <c r="C453" s="34" t="b">
        <v>1</v>
      </c>
      <c r="D453" s="34">
        <v>1</v>
      </c>
      <c r="E453" s="34" t="s">
        <v>3264</v>
      </c>
      <c r="F453" s="33">
        <v>52</v>
      </c>
      <c r="G453" s="33">
        <v>8</v>
      </c>
      <c r="H453" s="34"/>
      <c r="I453" s="34"/>
      <c r="J453" s="34"/>
    </row>
    <row r="454" spans="1:10">
      <c r="A454" s="33">
        <v>32040</v>
      </c>
      <c r="B454" s="33">
        <v>3204</v>
      </c>
      <c r="C454" s="34" t="b">
        <v>1</v>
      </c>
      <c r="D454" s="34">
        <v>1</v>
      </c>
      <c r="E454" s="34" t="s">
        <v>3264</v>
      </c>
      <c r="F454" s="33">
        <v>52</v>
      </c>
      <c r="G454" s="33">
        <v>8</v>
      </c>
      <c r="H454" s="34"/>
      <c r="I454" s="34"/>
      <c r="J454" s="34"/>
    </row>
    <row r="455" spans="1:10">
      <c r="A455" s="33">
        <v>32050</v>
      </c>
      <c r="B455" s="33">
        <v>3205</v>
      </c>
      <c r="C455" s="34" t="b">
        <v>1</v>
      </c>
      <c r="D455" s="34">
        <v>1</v>
      </c>
      <c r="E455" s="34" t="s">
        <v>3264</v>
      </c>
      <c r="F455" s="33">
        <v>52</v>
      </c>
      <c r="G455" s="33">
        <v>8</v>
      </c>
      <c r="H455" s="34"/>
      <c r="I455" s="34"/>
      <c r="J455" s="34"/>
    </row>
    <row r="456" spans="1:10">
      <c r="A456" s="33">
        <v>32060</v>
      </c>
      <c r="B456" s="33">
        <v>3206</v>
      </c>
      <c r="C456" s="34" t="b">
        <v>1</v>
      </c>
      <c r="D456" s="34">
        <v>1</v>
      </c>
      <c r="E456" s="34" t="s">
        <v>3264</v>
      </c>
      <c r="F456" s="33">
        <v>52</v>
      </c>
      <c r="G456" s="33">
        <v>8</v>
      </c>
      <c r="H456" s="34"/>
      <c r="I456" s="34"/>
      <c r="J456" s="34"/>
    </row>
    <row r="457" spans="1:10">
      <c r="A457" s="33">
        <v>32070</v>
      </c>
      <c r="B457" s="33">
        <v>3207</v>
      </c>
      <c r="C457" s="34" t="b">
        <v>1</v>
      </c>
      <c r="D457" s="34">
        <v>1</v>
      </c>
      <c r="E457" s="34" t="s">
        <v>3264</v>
      </c>
      <c r="F457" s="33">
        <v>52</v>
      </c>
      <c r="G457" s="33">
        <v>8</v>
      </c>
      <c r="H457" s="34"/>
      <c r="I457" s="34"/>
      <c r="J457" s="34"/>
    </row>
    <row r="458" spans="1:10">
      <c r="A458" s="33">
        <v>32080</v>
      </c>
      <c r="B458" s="33">
        <v>3208</v>
      </c>
      <c r="C458" s="34" t="b">
        <v>1</v>
      </c>
      <c r="D458" s="34">
        <v>1</v>
      </c>
      <c r="E458" s="34" t="s">
        <v>3264</v>
      </c>
      <c r="F458" s="33">
        <v>52</v>
      </c>
      <c r="G458" s="33">
        <v>8</v>
      </c>
      <c r="H458" s="34"/>
      <c r="I458" s="34"/>
      <c r="J458" s="34"/>
    </row>
    <row r="459" spans="1:10">
      <c r="A459" s="33">
        <v>32090</v>
      </c>
      <c r="B459" s="33">
        <v>3209</v>
      </c>
      <c r="C459" s="34" t="b">
        <v>1</v>
      </c>
      <c r="D459" s="34">
        <v>1</v>
      </c>
      <c r="E459" s="34" t="s">
        <v>3264</v>
      </c>
      <c r="F459" s="33">
        <v>52</v>
      </c>
      <c r="G459" s="33">
        <v>8</v>
      </c>
      <c r="H459" s="34"/>
      <c r="I459" s="34"/>
      <c r="J459" s="34"/>
    </row>
    <row r="460" spans="1:10">
      <c r="A460" s="33">
        <v>32100</v>
      </c>
      <c r="B460" s="33">
        <v>3210</v>
      </c>
      <c r="C460" s="34" t="b">
        <v>1</v>
      </c>
      <c r="D460" s="34">
        <v>1</v>
      </c>
      <c r="E460" s="34" t="s">
        <v>3264</v>
      </c>
      <c r="F460" s="33">
        <v>52</v>
      </c>
      <c r="G460" s="33">
        <v>8</v>
      </c>
      <c r="H460" s="34"/>
      <c r="I460" s="34"/>
      <c r="J460" s="34"/>
    </row>
    <row r="461" spans="1:10">
      <c r="A461" s="33">
        <v>32110</v>
      </c>
      <c r="B461" s="33">
        <v>3211</v>
      </c>
      <c r="C461" s="34" t="b">
        <v>1</v>
      </c>
      <c r="D461" s="34">
        <v>1</v>
      </c>
      <c r="E461" s="34" t="s">
        <v>3264</v>
      </c>
      <c r="F461" s="33">
        <v>52</v>
      </c>
      <c r="G461" s="33">
        <v>8</v>
      </c>
      <c r="H461" s="34"/>
      <c r="I461" s="34"/>
      <c r="J461" s="34"/>
    </row>
    <row r="462" spans="1:10">
      <c r="A462" s="33">
        <v>32120</v>
      </c>
      <c r="B462" s="33">
        <v>3212</v>
      </c>
      <c r="C462" s="34" t="b">
        <v>1</v>
      </c>
      <c r="D462" s="34">
        <v>1</v>
      </c>
      <c r="E462" s="34" t="s">
        <v>3264</v>
      </c>
      <c r="F462" s="33">
        <v>52</v>
      </c>
      <c r="G462" s="33">
        <v>8</v>
      </c>
      <c r="H462" s="34"/>
      <c r="I462" s="34"/>
      <c r="J462" s="34"/>
    </row>
    <row r="463" spans="1:10">
      <c r="A463" s="33">
        <v>32130</v>
      </c>
      <c r="B463" s="33">
        <v>3213</v>
      </c>
      <c r="C463" s="34" t="b">
        <v>1</v>
      </c>
      <c r="D463" s="34">
        <v>1</v>
      </c>
      <c r="E463" s="34" t="s">
        <v>3264</v>
      </c>
      <c r="F463" s="33">
        <v>52</v>
      </c>
      <c r="G463" s="33">
        <v>8</v>
      </c>
      <c r="H463" s="34"/>
      <c r="I463" s="34"/>
      <c r="J463" s="34"/>
    </row>
    <row r="464" spans="1:10">
      <c r="A464" s="33">
        <v>32140</v>
      </c>
      <c r="B464" s="33">
        <v>3214</v>
      </c>
      <c r="C464" s="34" t="b">
        <v>1</v>
      </c>
      <c r="D464" s="34">
        <v>1</v>
      </c>
      <c r="E464" s="34" t="s">
        <v>3264</v>
      </c>
      <c r="F464" s="33">
        <v>52</v>
      </c>
      <c r="G464" s="33">
        <v>8</v>
      </c>
      <c r="H464" s="34"/>
      <c r="I464" s="34"/>
      <c r="J464" s="34"/>
    </row>
    <row r="465" spans="1:10">
      <c r="A465" s="33">
        <v>32150</v>
      </c>
      <c r="B465" s="33">
        <v>3215</v>
      </c>
      <c r="C465" s="34" t="b">
        <v>1</v>
      </c>
      <c r="D465" s="34">
        <v>1</v>
      </c>
      <c r="E465" s="34" t="s">
        <v>3264</v>
      </c>
      <c r="F465" s="33">
        <v>52</v>
      </c>
      <c r="G465" s="33">
        <v>8</v>
      </c>
      <c r="H465" s="34"/>
      <c r="I465" s="34"/>
      <c r="J465" s="34"/>
    </row>
    <row r="466" spans="1:10">
      <c r="A466" s="33">
        <v>32160</v>
      </c>
      <c r="B466" s="33">
        <v>3216</v>
      </c>
      <c r="C466" s="34" t="b">
        <v>1</v>
      </c>
      <c r="D466" s="34">
        <v>1</v>
      </c>
      <c r="E466" s="34" t="s">
        <v>3264</v>
      </c>
      <c r="F466" s="33">
        <v>52</v>
      </c>
      <c r="G466" s="33">
        <v>8</v>
      </c>
      <c r="H466" s="34"/>
      <c r="I466" s="34"/>
      <c r="J466" s="34"/>
    </row>
    <row r="467" spans="1:10">
      <c r="A467" s="33">
        <v>32170</v>
      </c>
      <c r="B467" s="33">
        <v>3217</v>
      </c>
      <c r="C467" s="34" t="b">
        <v>1</v>
      </c>
      <c r="D467" s="34">
        <v>1</v>
      </c>
      <c r="E467" s="34" t="s">
        <v>3264</v>
      </c>
      <c r="F467" s="33">
        <v>52</v>
      </c>
      <c r="G467" s="33">
        <v>8</v>
      </c>
      <c r="H467" s="34"/>
      <c r="I467" s="34"/>
      <c r="J467" s="34"/>
    </row>
    <row r="468" spans="1:10">
      <c r="A468" s="33">
        <v>32180</v>
      </c>
      <c r="B468" s="33">
        <v>3218</v>
      </c>
      <c r="C468" s="34" t="b">
        <v>1</v>
      </c>
      <c r="D468" s="34">
        <v>1</v>
      </c>
      <c r="E468" s="34" t="s">
        <v>3264</v>
      </c>
      <c r="F468" s="33">
        <v>52</v>
      </c>
      <c r="G468" s="33">
        <v>8</v>
      </c>
      <c r="H468" s="34"/>
      <c r="I468" s="34"/>
      <c r="J468" s="34"/>
    </row>
    <row r="469" spans="1:10">
      <c r="A469" s="33">
        <v>32190</v>
      </c>
      <c r="B469" s="33">
        <v>3219</v>
      </c>
      <c r="C469" s="34" t="b">
        <v>1</v>
      </c>
      <c r="D469" s="34">
        <v>1</v>
      </c>
      <c r="E469" s="34" t="s">
        <v>3264</v>
      </c>
      <c r="F469" s="33">
        <v>52</v>
      </c>
      <c r="G469" s="33">
        <v>8</v>
      </c>
      <c r="H469" s="34"/>
      <c r="I469" s="34"/>
      <c r="J469" s="34"/>
    </row>
    <row r="470" spans="1:10">
      <c r="A470" s="33">
        <v>32200</v>
      </c>
      <c r="B470" s="33">
        <v>3220</v>
      </c>
      <c r="C470" s="34" t="b">
        <v>1</v>
      </c>
      <c r="D470" s="34">
        <v>1</v>
      </c>
      <c r="E470" s="34" t="s">
        <v>3264</v>
      </c>
      <c r="F470" s="33">
        <v>52</v>
      </c>
      <c r="G470" s="33">
        <v>8</v>
      </c>
      <c r="H470" s="34"/>
      <c r="I470" s="34"/>
      <c r="J470" s="34"/>
    </row>
    <row r="471" spans="1:10">
      <c r="A471" s="33">
        <v>32210</v>
      </c>
      <c r="B471" s="33">
        <v>3221</v>
      </c>
      <c r="C471" s="34" t="b">
        <v>1</v>
      </c>
      <c r="D471" s="34">
        <v>1</v>
      </c>
      <c r="E471" s="34" t="s">
        <v>3264</v>
      </c>
      <c r="F471" s="33">
        <v>52</v>
      </c>
      <c r="G471" s="33">
        <v>8</v>
      </c>
      <c r="H471" s="34"/>
      <c r="I471" s="34"/>
      <c r="J471" s="34"/>
    </row>
    <row r="472" spans="1:10">
      <c r="A472" s="33">
        <v>32220</v>
      </c>
      <c r="B472" s="33">
        <v>3222</v>
      </c>
      <c r="C472" s="34" t="b">
        <v>1</v>
      </c>
      <c r="D472" s="34">
        <v>1</v>
      </c>
      <c r="E472" s="34" t="s">
        <v>3264</v>
      </c>
      <c r="F472" s="33">
        <v>52</v>
      </c>
      <c r="G472" s="33">
        <v>8</v>
      </c>
      <c r="H472" s="34"/>
      <c r="I472" s="34"/>
      <c r="J472" s="34"/>
    </row>
    <row r="473" spans="1:10">
      <c r="A473" s="33">
        <v>32230</v>
      </c>
      <c r="B473" s="33">
        <v>3223</v>
      </c>
      <c r="C473" s="34" t="b">
        <v>1</v>
      </c>
      <c r="D473" s="34">
        <v>1</v>
      </c>
      <c r="E473" s="34" t="s">
        <v>3264</v>
      </c>
      <c r="F473" s="33">
        <v>52</v>
      </c>
      <c r="G473" s="33">
        <v>8</v>
      </c>
      <c r="H473" s="34"/>
      <c r="I473" s="34"/>
      <c r="J473" s="34"/>
    </row>
    <row r="474" spans="1:10">
      <c r="A474" s="33">
        <v>32240</v>
      </c>
      <c r="B474" s="33">
        <v>3224</v>
      </c>
      <c r="C474" s="34" t="b">
        <v>1</v>
      </c>
      <c r="D474" s="34">
        <v>1</v>
      </c>
      <c r="E474" s="34" t="s">
        <v>3264</v>
      </c>
      <c r="F474" s="33">
        <v>52</v>
      </c>
      <c r="G474" s="33">
        <v>8</v>
      </c>
      <c r="H474" s="34"/>
      <c r="I474" s="34"/>
      <c r="J474" s="34"/>
    </row>
    <row r="475" spans="1:10">
      <c r="A475" s="33">
        <v>32250</v>
      </c>
      <c r="B475" s="33">
        <v>3225</v>
      </c>
      <c r="C475" s="34" t="b">
        <v>1</v>
      </c>
      <c r="D475" s="34">
        <v>1</v>
      </c>
      <c r="E475" s="34" t="s">
        <v>3264</v>
      </c>
      <c r="F475" s="33">
        <v>52</v>
      </c>
      <c r="G475" s="33">
        <v>8</v>
      </c>
      <c r="H475" s="34"/>
      <c r="I475" s="34"/>
      <c r="J475" s="34"/>
    </row>
    <row r="476" spans="1:10">
      <c r="A476" s="33">
        <v>32260</v>
      </c>
      <c r="B476" s="33">
        <v>3226</v>
      </c>
      <c r="C476" s="34" t="b">
        <v>1</v>
      </c>
      <c r="D476" s="34">
        <v>1</v>
      </c>
      <c r="E476" s="34" t="s">
        <v>3264</v>
      </c>
      <c r="F476" s="33">
        <v>52</v>
      </c>
      <c r="G476" s="33">
        <v>8</v>
      </c>
      <c r="H476" s="34"/>
      <c r="I476" s="34"/>
      <c r="J476" s="34"/>
    </row>
    <row r="477" spans="1:10">
      <c r="A477" s="33">
        <v>32270</v>
      </c>
      <c r="B477" s="33">
        <v>3227</v>
      </c>
      <c r="C477" s="34" t="b">
        <v>1</v>
      </c>
      <c r="D477" s="34">
        <v>1</v>
      </c>
      <c r="E477" s="34" t="s">
        <v>3264</v>
      </c>
      <c r="F477" s="33">
        <v>52</v>
      </c>
      <c r="G477" s="33">
        <v>8</v>
      </c>
      <c r="H477" s="34"/>
      <c r="I477" s="34"/>
      <c r="J477" s="34"/>
    </row>
    <row r="478" spans="1:10">
      <c r="A478" s="33">
        <v>32280</v>
      </c>
      <c r="B478" s="33">
        <v>3228</v>
      </c>
      <c r="C478" s="34" t="b">
        <v>1</v>
      </c>
      <c r="D478" s="34">
        <v>1</v>
      </c>
      <c r="E478" s="34" t="s">
        <v>3264</v>
      </c>
      <c r="F478" s="33">
        <v>52</v>
      </c>
      <c r="G478" s="33">
        <v>8</v>
      </c>
      <c r="H478" s="34"/>
      <c r="I478" s="34"/>
      <c r="J478" s="34"/>
    </row>
    <row r="479" spans="1:10">
      <c r="A479" s="33">
        <v>32290</v>
      </c>
      <c r="B479" s="33">
        <v>3229</v>
      </c>
      <c r="C479" s="34" t="b">
        <v>1</v>
      </c>
      <c r="D479" s="34">
        <v>1</v>
      </c>
      <c r="E479" s="34" t="s">
        <v>3264</v>
      </c>
      <c r="F479" s="33">
        <v>52</v>
      </c>
      <c r="G479" s="33">
        <v>8</v>
      </c>
      <c r="H479" s="34"/>
      <c r="I479" s="34"/>
      <c r="J479" s="34"/>
    </row>
    <row r="480" spans="1:10">
      <c r="A480" s="33">
        <v>32300</v>
      </c>
      <c r="B480" s="33">
        <v>3230</v>
      </c>
      <c r="C480" s="34" t="b">
        <v>1</v>
      </c>
      <c r="D480" s="34">
        <v>1</v>
      </c>
      <c r="E480" s="34" t="s">
        <v>3264</v>
      </c>
      <c r="F480" s="33">
        <v>52</v>
      </c>
      <c r="G480" s="33">
        <v>8</v>
      </c>
      <c r="H480" s="34"/>
      <c r="I480" s="34"/>
      <c r="J480" s="34"/>
    </row>
    <row r="481" spans="1:10">
      <c r="A481" s="33">
        <v>32310</v>
      </c>
      <c r="B481" s="33">
        <v>3231</v>
      </c>
      <c r="C481" s="34" t="b">
        <v>1</v>
      </c>
      <c r="D481" s="34">
        <v>1</v>
      </c>
      <c r="E481" s="34" t="s">
        <v>3264</v>
      </c>
      <c r="F481" s="33">
        <v>52</v>
      </c>
      <c r="G481" s="33">
        <v>8</v>
      </c>
      <c r="H481" s="34"/>
      <c r="I481" s="34"/>
      <c r="J481" s="34"/>
    </row>
    <row r="482" spans="1:10">
      <c r="A482" s="33">
        <v>32320</v>
      </c>
      <c r="B482" s="33">
        <v>3232</v>
      </c>
      <c r="C482" s="34" t="b">
        <v>1</v>
      </c>
      <c r="D482" s="34">
        <v>1</v>
      </c>
      <c r="E482" s="34" t="s">
        <v>3264</v>
      </c>
      <c r="F482" s="33">
        <v>52</v>
      </c>
      <c r="G482" s="33">
        <v>8</v>
      </c>
      <c r="H482" s="34"/>
      <c r="I482" s="34"/>
      <c r="J482" s="34"/>
    </row>
    <row r="483" spans="1:10">
      <c r="A483" s="33">
        <v>32330</v>
      </c>
      <c r="B483" s="33">
        <v>3233</v>
      </c>
      <c r="C483" s="34" t="b">
        <v>1</v>
      </c>
      <c r="D483" s="34">
        <v>1</v>
      </c>
      <c r="E483" s="34" t="s">
        <v>3264</v>
      </c>
      <c r="F483" s="33">
        <v>52</v>
      </c>
      <c r="G483" s="33">
        <v>8</v>
      </c>
      <c r="H483" s="34"/>
      <c r="I483" s="34"/>
      <c r="J483" s="34"/>
    </row>
    <row r="484" spans="1:10">
      <c r="A484" s="33">
        <v>32340</v>
      </c>
      <c r="B484" s="33">
        <v>3234</v>
      </c>
      <c r="C484" s="34" t="b">
        <v>1</v>
      </c>
      <c r="D484" s="34">
        <v>1</v>
      </c>
      <c r="E484" s="34" t="s">
        <v>3264</v>
      </c>
      <c r="F484" s="33">
        <v>52</v>
      </c>
      <c r="G484" s="33">
        <v>8</v>
      </c>
      <c r="H484" s="34"/>
      <c r="I484" s="34"/>
      <c r="J484" s="34"/>
    </row>
    <row r="485" spans="1:10">
      <c r="A485" s="33">
        <v>32350</v>
      </c>
      <c r="B485" s="33">
        <v>3235</v>
      </c>
      <c r="C485" s="34" t="b">
        <v>1</v>
      </c>
      <c r="D485" s="34">
        <v>1</v>
      </c>
      <c r="E485" s="34" t="s">
        <v>3264</v>
      </c>
      <c r="F485" s="33">
        <v>52</v>
      </c>
      <c r="G485" s="33">
        <v>8</v>
      </c>
      <c r="H485" s="34"/>
      <c r="I485" s="34"/>
      <c r="J485" s="34"/>
    </row>
    <row r="486" spans="1:10">
      <c r="A486" s="33">
        <v>32360</v>
      </c>
      <c r="B486" s="33">
        <v>3236</v>
      </c>
      <c r="C486" s="34" t="b">
        <v>1</v>
      </c>
      <c r="D486" s="34">
        <v>1</v>
      </c>
      <c r="E486" s="34" t="s">
        <v>3264</v>
      </c>
      <c r="F486" s="33">
        <v>52</v>
      </c>
      <c r="G486" s="33">
        <v>8</v>
      </c>
      <c r="H486" s="34"/>
      <c r="I486" s="34"/>
      <c r="J486" s="34"/>
    </row>
    <row r="487" spans="1:10">
      <c r="A487" s="33">
        <v>32370</v>
      </c>
      <c r="B487" s="33">
        <v>3237</v>
      </c>
      <c r="C487" s="34" t="b">
        <v>1</v>
      </c>
      <c r="D487" s="34">
        <v>1</v>
      </c>
      <c r="E487" s="34" t="s">
        <v>3264</v>
      </c>
      <c r="F487" s="33">
        <v>52</v>
      </c>
      <c r="G487" s="33">
        <v>8</v>
      </c>
      <c r="H487" s="34"/>
      <c r="I487" s="34"/>
      <c r="J487" s="34"/>
    </row>
    <row r="488" spans="1:10">
      <c r="A488" s="33">
        <v>32380</v>
      </c>
      <c r="B488" s="33">
        <v>3238</v>
      </c>
      <c r="C488" s="34" t="b">
        <v>1</v>
      </c>
      <c r="D488" s="34">
        <v>1</v>
      </c>
      <c r="E488" s="34" t="s">
        <v>3264</v>
      </c>
      <c r="F488" s="33">
        <v>52</v>
      </c>
      <c r="G488" s="33">
        <v>8</v>
      </c>
      <c r="H488" s="34"/>
      <c r="I488" s="34"/>
      <c r="J488" s="34"/>
    </row>
    <row r="489" spans="1:10">
      <c r="A489" s="33">
        <v>32390</v>
      </c>
      <c r="B489" s="33">
        <v>3239</v>
      </c>
      <c r="C489" s="34" t="b">
        <v>1</v>
      </c>
      <c r="D489" s="34">
        <v>1</v>
      </c>
      <c r="E489" s="34" t="s">
        <v>3264</v>
      </c>
      <c r="F489" s="33">
        <v>52</v>
      </c>
      <c r="G489" s="33">
        <v>8</v>
      </c>
      <c r="H489" s="34"/>
      <c r="I489" s="34"/>
      <c r="J489" s="34"/>
    </row>
    <row r="490" spans="1:10">
      <c r="A490" s="33">
        <v>32400</v>
      </c>
      <c r="B490" s="33">
        <v>3240</v>
      </c>
      <c r="C490" s="34" t="b">
        <v>1</v>
      </c>
      <c r="D490" s="34">
        <v>1</v>
      </c>
      <c r="E490" s="34" t="s">
        <v>3264</v>
      </c>
      <c r="F490" s="33">
        <v>52</v>
      </c>
      <c r="G490" s="33">
        <v>8</v>
      </c>
      <c r="H490" s="34"/>
      <c r="I490" s="34"/>
      <c r="J490" s="34"/>
    </row>
    <row r="491" spans="1:10">
      <c r="A491" s="33">
        <v>32410</v>
      </c>
      <c r="B491" s="33">
        <v>3241</v>
      </c>
      <c r="C491" s="34" t="b">
        <v>1</v>
      </c>
      <c r="D491" s="34">
        <v>1</v>
      </c>
      <c r="E491" s="34" t="s">
        <v>3264</v>
      </c>
      <c r="F491" s="33">
        <v>52</v>
      </c>
      <c r="G491" s="33">
        <v>8</v>
      </c>
      <c r="H491" s="34"/>
      <c r="I491" s="34"/>
      <c r="J491" s="34"/>
    </row>
    <row r="492" spans="1:10">
      <c r="A492" s="33">
        <v>32420</v>
      </c>
      <c r="B492" s="33">
        <v>3242</v>
      </c>
      <c r="C492" s="34" t="b">
        <v>1</v>
      </c>
      <c r="D492" s="34">
        <v>1</v>
      </c>
      <c r="E492" s="34" t="s">
        <v>3264</v>
      </c>
      <c r="F492" s="33">
        <v>52</v>
      </c>
      <c r="G492" s="33">
        <v>8</v>
      </c>
      <c r="H492" s="34"/>
      <c r="I492" s="34"/>
      <c r="J492" s="34"/>
    </row>
    <row r="493" spans="1:10">
      <c r="A493" s="33">
        <v>32430</v>
      </c>
      <c r="B493" s="33">
        <v>3243</v>
      </c>
      <c r="C493" s="34" t="b">
        <v>1</v>
      </c>
      <c r="D493" s="34">
        <v>1</v>
      </c>
      <c r="E493" s="34" t="s">
        <v>3264</v>
      </c>
      <c r="F493" s="33">
        <v>52</v>
      </c>
      <c r="G493" s="33">
        <v>8</v>
      </c>
      <c r="H493" s="34"/>
      <c r="I493" s="34"/>
      <c r="J493" s="34"/>
    </row>
    <row r="494" spans="1:10">
      <c r="A494" s="33">
        <v>32440</v>
      </c>
      <c r="B494" s="33">
        <v>3244</v>
      </c>
      <c r="C494" s="34" t="b">
        <v>1</v>
      </c>
      <c r="D494" s="34">
        <v>1</v>
      </c>
      <c r="E494" s="34" t="s">
        <v>3264</v>
      </c>
      <c r="F494" s="33">
        <v>52</v>
      </c>
      <c r="G494" s="33">
        <v>8</v>
      </c>
      <c r="H494" s="34"/>
      <c r="I494" s="34"/>
      <c r="J494" s="34"/>
    </row>
    <row r="495" spans="1:10">
      <c r="A495" s="33">
        <v>32450</v>
      </c>
      <c r="B495" s="33">
        <v>3245</v>
      </c>
      <c r="C495" s="34" t="b">
        <v>1</v>
      </c>
      <c r="D495" s="34">
        <v>1</v>
      </c>
      <c r="E495" s="34" t="s">
        <v>3264</v>
      </c>
      <c r="F495" s="33">
        <v>52</v>
      </c>
      <c r="G495" s="33">
        <v>8</v>
      </c>
      <c r="H495" s="34"/>
      <c r="I495" s="34"/>
      <c r="J495" s="34"/>
    </row>
    <row r="496" spans="1:10">
      <c r="A496" s="33">
        <v>32460</v>
      </c>
      <c r="B496" s="33">
        <v>3246</v>
      </c>
      <c r="C496" s="34" t="b">
        <v>1</v>
      </c>
      <c r="D496" s="34">
        <v>1</v>
      </c>
      <c r="E496" s="34" t="s">
        <v>3264</v>
      </c>
      <c r="F496" s="33">
        <v>52</v>
      </c>
      <c r="G496" s="33">
        <v>8</v>
      </c>
      <c r="H496" s="34"/>
      <c r="I496" s="34"/>
      <c r="J496" s="34"/>
    </row>
    <row r="497" spans="1:10">
      <c r="A497" s="33">
        <v>32470</v>
      </c>
      <c r="B497" s="33">
        <v>3247</v>
      </c>
      <c r="C497" s="34" t="b">
        <v>1</v>
      </c>
      <c r="D497" s="34">
        <v>1</v>
      </c>
      <c r="E497" s="34" t="s">
        <v>3264</v>
      </c>
      <c r="F497" s="33">
        <v>52</v>
      </c>
      <c r="G497" s="33">
        <v>8</v>
      </c>
      <c r="H497" s="34"/>
      <c r="I497" s="34"/>
      <c r="J497" s="34"/>
    </row>
    <row r="498" spans="1:10">
      <c r="A498" s="33">
        <v>32480</v>
      </c>
      <c r="B498" s="33">
        <v>3248</v>
      </c>
      <c r="C498" s="34" t="b">
        <v>1</v>
      </c>
      <c r="D498" s="34">
        <v>1</v>
      </c>
      <c r="E498" s="34" t="s">
        <v>3264</v>
      </c>
      <c r="F498" s="33">
        <v>52</v>
      </c>
      <c r="G498" s="33">
        <v>8</v>
      </c>
      <c r="H498" s="34"/>
      <c r="I498" s="34"/>
      <c r="J498" s="34"/>
    </row>
    <row r="499" spans="1:10">
      <c r="A499" s="33">
        <v>32490</v>
      </c>
      <c r="B499" s="33">
        <v>3249</v>
      </c>
      <c r="C499" s="34" t="b">
        <v>1</v>
      </c>
      <c r="D499" s="34">
        <v>1</v>
      </c>
      <c r="E499" s="34" t="s">
        <v>3264</v>
      </c>
      <c r="F499" s="33">
        <v>52</v>
      </c>
      <c r="G499" s="33">
        <v>8</v>
      </c>
      <c r="H499" s="34"/>
      <c r="I499" s="34"/>
      <c r="J499" s="34"/>
    </row>
    <row r="500" spans="1:10">
      <c r="A500" s="33">
        <v>32500</v>
      </c>
      <c r="B500" s="33">
        <v>3250</v>
      </c>
      <c r="C500" s="34" t="b">
        <v>1</v>
      </c>
      <c r="D500" s="34">
        <v>1</v>
      </c>
      <c r="E500" s="34" t="s">
        <v>3264</v>
      </c>
      <c r="F500" s="33">
        <v>52</v>
      </c>
      <c r="G500" s="33">
        <v>8</v>
      </c>
      <c r="H500" s="34"/>
      <c r="I500" s="34"/>
      <c r="J500" s="34"/>
    </row>
    <row r="501" spans="1:10">
      <c r="A501" s="33">
        <v>32510</v>
      </c>
      <c r="B501" s="33">
        <v>3251</v>
      </c>
      <c r="C501" s="34" t="b">
        <v>1</v>
      </c>
      <c r="D501" s="34">
        <v>1</v>
      </c>
      <c r="E501" s="34" t="s">
        <v>3264</v>
      </c>
      <c r="F501" s="33">
        <v>52</v>
      </c>
      <c r="G501" s="33">
        <v>8</v>
      </c>
      <c r="H501" s="34"/>
      <c r="I501" s="34"/>
      <c r="J501" s="34"/>
    </row>
    <row r="502" spans="1:10">
      <c r="A502" s="33">
        <v>32520</v>
      </c>
      <c r="B502" s="33">
        <v>3252</v>
      </c>
      <c r="C502" s="34" t="b">
        <v>1</v>
      </c>
      <c r="D502" s="34">
        <v>1</v>
      </c>
      <c r="E502" s="34" t="s">
        <v>3264</v>
      </c>
      <c r="F502" s="33">
        <v>52</v>
      </c>
      <c r="G502" s="33">
        <v>8</v>
      </c>
      <c r="H502" s="34"/>
      <c r="I502" s="34"/>
      <c r="J502" s="34"/>
    </row>
    <row r="503" spans="1:10">
      <c r="A503" s="33">
        <v>32530</v>
      </c>
      <c r="B503" s="33">
        <v>3253</v>
      </c>
      <c r="C503" s="34" t="b">
        <v>1</v>
      </c>
      <c r="D503" s="34">
        <v>1</v>
      </c>
      <c r="E503" s="34" t="s">
        <v>3264</v>
      </c>
      <c r="F503" s="33">
        <v>52</v>
      </c>
      <c r="G503" s="33">
        <v>8</v>
      </c>
      <c r="H503" s="34"/>
      <c r="I503" s="34"/>
      <c r="J503" s="34"/>
    </row>
    <row r="504" spans="1:10">
      <c r="A504" s="33">
        <v>32540</v>
      </c>
      <c r="B504" s="33">
        <v>3254</v>
      </c>
      <c r="C504" s="34" t="b">
        <v>1</v>
      </c>
      <c r="D504" s="34">
        <v>1</v>
      </c>
      <c r="E504" s="34" t="s">
        <v>3264</v>
      </c>
      <c r="F504" s="33">
        <v>52</v>
      </c>
      <c r="G504" s="33">
        <v>8</v>
      </c>
      <c r="H504" s="34"/>
      <c r="I504" s="34"/>
      <c r="J504" s="34"/>
    </row>
    <row r="505" spans="1:10">
      <c r="A505" s="33">
        <v>32550</v>
      </c>
      <c r="B505" s="33">
        <v>3255</v>
      </c>
      <c r="C505" s="34" t="b">
        <v>1</v>
      </c>
      <c r="D505" s="34">
        <v>1</v>
      </c>
      <c r="E505" s="34" t="s">
        <v>3264</v>
      </c>
      <c r="F505" s="33">
        <v>52</v>
      </c>
      <c r="G505" s="33">
        <v>8</v>
      </c>
      <c r="H505" s="34"/>
      <c r="I505" s="34"/>
      <c r="J505" s="34"/>
    </row>
    <row r="506" spans="1:10">
      <c r="A506" s="33">
        <v>32560</v>
      </c>
      <c r="B506" s="33">
        <v>3256</v>
      </c>
      <c r="C506" s="34" t="b">
        <v>1</v>
      </c>
      <c r="D506" s="34">
        <v>1</v>
      </c>
      <c r="E506" s="34" t="s">
        <v>3264</v>
      </c>
      <c r="F506" s="33">
        <v>52</v>
      </c>
      <c r="G506" s="33">
        <v>8</v>
      </c>
      <c r="H506" s="34"/>
      <c r="I506" s="34"/>
      <c r="J506" s="34"/>
    </row>
    <row r="507" spans="1:10">
      <c r="A507" s="33">
        <v>32570</v>
      </c>
      <c r="B507" s="33">
        <v>3257</v>
      </c>
      <c r="C507" s="34" t="b">
        <v>1</v>
      </c>
      <c r="D507" s="34">
        <v>1</v>
      </c>
      <c r="E507" s="34" t="s">
        <v>3264</v>
      </c>
      <c r="F507" s="33">
        <v>52</v>
      </c>
      <c r="G507" s="33">
        <v>8</v>
      </c>
      <c r="H507" s="34"/>
      <c r="I507" s="34"/>
      <c r="J507" s="34"/>
    </row>
    <row r="508" spans="1:10">
      <c r="A508" s="33">
        <v>32580</v>
      </c>
      <c r="B508" s="33">
        <v>3258</v>
      </c>
      <c r="C508" s="34" t="b">
        <v>1</v>
      </c>
      <c r="D508" s="34">
        <v>1</v>
      </c>
      <c r="E508" s="34" t="s">
        <v>3264</v>
      </c>
      <c r="F508" s="33">
        <v>52</v>
      </c>
      <c r="G508" s="33">
        <v>8</v>
      </c>
      <c r="H508" s="34"/>
      <c r="I508" s="34"/>
      <c r="J508" s="34"/>
    </row>
    <row r="509" spans="1:10">
      <c r="A509" s="33">
        <v>32590</v>
      </c>
      <c r="B509" s="33">
        <v>3259</v>
      </c>
      <c r="C509" s="34" t="b">
        <v>1</v>
      </c>
      <c r="D509" s="34">
        <v>1</v>
      </c>
      <c r="E509" s="34" t="s">
        <v>3264</v>
      </c>
      <c r="F509" s="33">
        <v>52</v>
      </c>
      <c r="G509" s="33">
        <v>8</v>
      </c>
      <c r="H509" s="34"/>
      <c r="I509" s="34"/>
      <c r="J509" s="34"/>
    </row>
    <row r="510" spans="1:10">
      <c r="A510" s="33">
        <v>32600</v>
      </c>
      <c r="B510" s="33">
        <v>3260</v>
      </c>
      <c r="C510" s="34" t="b">
        <v>1</v>
      </c>
      <c r="D510" s="34">
        <v>1</v>
      </c>
      <c r="E510" s="34" t="s">
        <v>3264</v>
      </c>
      <c r="F510" s="33">
        <v>52</v>
      </c>
      <c r="G510" s="33">
        <v>8</v>
      </c>
      <c r="H510" s="34"/>
      <c r="I510" s="34"/>
      <c r="J510" s="34"/>
    </row>
    <row r="511" spans="1:10">
      <c r="A511" s="33">
        <v>32610</v>
      </c>
      <c r="B511" s="33">
        <v>3261</v>
      </c>
      <c r="C511" s="34" t="b">
        <v>1</v>
      </c>
      <c r="D511" s="34">
        <v>1</v>
      </c>
      <c r="E511" s="34" t="s">
        <v>3264</v>
      </c>
      <c r="F511" s="33">
        <v>52</v>
      </c>
      <c r="G511" s="33">
        <v>8</v>
      </c>
      <c r="H511" s="34"/>
      <c r="I511" s="34"/>
      <c r="J511" s="34"/>
    </row>
    <row r="512" spans="1:10">
      <c r="A512" s="33">
        <v>32620</v>
      </c>
      <c r="B512" s="33">
        <v>3262</v>
      </c>
      <c r="C512" s="34" t="b">
        <v>1</v>
      </c>
      <c r="D512" s="34">
        <v>1</v>
      </c>
      <c r="E512" s="34" t="s">
        <v>3264</v>
      </c>
      <c r="F512" s="33">
        <v>52</v>
      </c>
      <c r="G512" s="33">
        <v>8</v>
      </c>
      <c r="H512" s="34"/>
      <c r="I512" s="34"/>
      <c r="J512" s="34"/>
    </row>
    <row r="513" spans="1:10">
      <c r="A513" s="33">
        <v>32630</v>
      </c>
      <c r="B513" s="33">
        <v>3263</v>
      </c>
      <c r="C513" s="34" t="b">
        <v>1</v>
      </c>
      <c r="D513" s="34">
        <v>1</v>
      </c>
      <c r="E513" s="34" t="s">
        <v>3264</v>
      </c>
      <c r="F513" s="33">
        <v>52</v>
      </c>
      <c r="G513" s="33">
        <v>8</v>
      </c>
      <c r="H513" s="34"/>
      <c r="I513" s="34"/>
      <c r="J513" s="34"/>
    </row>
    <row r="514" spans="1:10">
      <c r="A514" s="33">
        <v>32640</v>
      </c>
      <c r="B514" s="33">
        <v>3264</v>
      </c>
      <c r="C514" s="34" t="b">
        <v>1</v>
      </c>
      <c r="D514" s="34">
        <v>1</v>
      </c>
      <c r="E514" s="34" t="s">
        <v>3264</v>
      </c>
      <c r="F514" s="33">
        <v>52</v>
      </c>
      <c r="G514" s="33">
        <v>8</v>
      </c>
      <c r="H514" s="34"/>
      <c r="I514" s="34"/>
      <c r="J514" s="34"/>
    </row>
    <row r="515" spans="1:10">
      <c r="A515" s="33">
        <v>32650</v>
      </c>
      <c r="B515" s="33">
        <v>3265</v>
      </c>
      <c r="C515" s="34" t="b">
        <v>1</v>
      </c>
      <c r="D515" s="34">
        <v>1</v>
      </c>
      <c r="E515" s="34" t="s">
        <v>3264</v>
      </c>
      <c r="F515" s="33">
        <v>52</v>
      </c>
      <c r="G515" s="33">
        <v>8</v>
      </c>
      <c r="H515" s="34"/>
      <c r="I515" s="34"/>
      <c r="J515" s="34"/>
    </row>
    <row r="516" spans="1:10">
      <c r="A516" s="33">
        <v>32660</v>
      </c>
      <c r="B516" s="33">
        <v>3266</v>
      </c>
      <c r="C516" s="34" t="b">
        <v>1</v>
      </c>
      <c r="D516" s="34">
        <v>1</v>
      </c>
      <c r="E516" s="34" t="s">
        <v>3264</v>
      </c>
      <c r="F516" s="33">
        <v>52</v>
      </c>
      <c r="G516" s="33">
        <v>8</v>
      </c>
      <c r="H516" s="34"/>
      <c r="I516" s="34"/>
      <c r="J516" s="34"/>
    </row>
    <row r="517" spans="1:10">
      <c r="A517" s="33">
        <v>32670</v>
      </c>
      <c r="B517" s="33">
        <v>3267</v>
      </c>
      <c r="C517" s="34" t="b">
        <v>1</v>
      </c>
      <c r="D517" s="34">
        <v>1</v>
      </c>
      <c r="E517" s="34" t="s">
        <v>3264</v>
      </c>
      <c r="F517" s="33">
        <v>52</v>
      </c>
      <c r="G517" s="33">
        <v>8</v>
      </c>
      <c r="H517" s="34"/>
      <c r="I517" s="34"/>
      <c r="J517" s="34"/>
    </row>
    <row r="518" spans="1:10">
      <c r="A518" s="33">
        <v>32680</v>
      </c>
      <c r="B518" s="33">
        <v>3268</v>
      </c>
      <c r="C518" s="34" t="b">
        <v>1</v>
      </c>
      <c r="D518" s="34">
        <v>1</v>
      </c>
      <c r="E518" s="34" t="s">
        <v>3264</v>
      </c>
      <c r="F518" s="33">
        <v>52</v>
      </c>
      <c r="G518" s="33">
        <v>8</v>
      </c>
      <c r="H518" s="34"/>
      <c r="I518" s="34"/>
      <c r="J518" s="34"/>
    </row>
    <row r="519" spans="1:10">
      <c r="A519" s="33">
        <v>32690</v>
      </c>
      <c r="B519" s="33">
        <v>3269</v>
      </c>
      <c r="C519" s="34" t="b">
        <v>1</v>
      </c>
      <c r="D519" s="34">
        <v>1</v>
      </c>
      <c r="E519" s="34" t="s">
        <v>3264</v>
      </c>
      <c r="F519" s="33">
        <v>52</v>
      </c>
      <c r="G519" s="33">
        <v>8</v>
      </c>
      <c r="H519" s="34"/>
      <c r="I519" s="34"/>
      <c r="J519" s="34"/>
    </row>
    <row r="520" spans="1:10">
      <c r="A520" s="33">
        <v>32700</v>
      </c>
      <c r="B520" s="33">
        <v>3270</v>
      </c>
      <c r="C520" s="34" t="b">
        <v>1</v>
      </c>
      <c r="D520" s="34">
        <v>1</v>
      </c>
      <c r="E520" s="34" t="s">
        <v>3264</v>
      </c>
      <c r="F520" s="33">
        <v>52</v>
      </c>
      <c r="G520" s="33">
        <v>8</v>
      </c>
      <c r="H520" s="34"/>
      <c r="I520" s="34"/>
      <c r="J520" s="34"/>
    </row>
    <row r="521" spans="1:10">
      <c r="A521" s="33">
        <v>32710</v>
      </c>
      <c r="B521" s="33">
        <v>3271</v>
      </c>
      <c r="C521" s="34" t="b">
        <v>1</v>
      </c>
      <c r="D521" s="34">
        <v>1</v>
      </c>
      <c r="E521" s="34" t="s">
        <v>3264</v>
      </c>
      <c r="F521" s="33">
        <v>52</v>
      </c>
      <c r="G521" s="33">
        <v>8</v>
      </c>
      <c r="H521" s="34"/>
      <c r="I521" s="34"/>
      <c r="J521" s="34"/>
    </row>
    <row r="522" spans="1:10">
      <c r="A522" s="33">
        <v>32720</v>
      </c>
      <c r="B522" s="33">
        <v>3272</v>
      </c>
      <c r="C522" s="34" t="b">
        <v>1</v>
      </c>
      <c r="D522" s="34">
        <v>1</v>
      </c>
      <c r="E522" s="34" t="s">
        <v>3264</v>
      </c>
      <c r="F522" s="33">
        <v>52</v>
      </c>
      <c r="G522" s="33">
        <v>8</v>
      </c>
      <c r="H522" s="34"/>
      <c r="I522" s="34"/>
      <c r="J522" s="34"/>
    </row>
    <row r="523" spans="1:10">
      <c r="A523" s="33">
        <v>32730</v>
      </c>
      <c r="B523" s="33">
        <v>3273</v>
      </c>
      <c r="C523" s="34" t="b">
        <v>1</v>
      </c>
      <c r="D523" s="34">
        <v>1</v>
      </c>
      <c r="E523" s="34" t="s">
        <v>3264</v>
      </c>
      <c r="F523" s="33">
        <v>52</v>
      </c>
      <c r="G523" s="33">
        <v>8</v>
      </c>
      <c r="H523" s="34"/>
      <c r="I523" s="34"/>
      <c r="J523" s="34"/>
    </row>
    <row r="524" spans="1:10">
      <c r="A524" s="33">
        <v>32740</v>
      </c>
      <c r="B524" s="33">
        <v>3274</v>
      </c>
      <c r="C524" s="34" t="b">
        <v>1</v>
      </c>
      <c r="D524" s="34">
        <v>1</v>
      </c>
      <c r="E524" s="34" t="s">
        <v>3264</v>
      </c>
      <c r="F524" s="33">
        <v>52</v>
      </c>
      <c r="G524" s="33">
        <v>8</v>
      </c>
      <c r="H524" s="34"/>
      <c r="I524" s="34"/>
      <c r="J524" s="34"/>
    </row>
    <row r="525" spans="1:10">
      <c r="A525" s="33">
        <v>32750</v>
      </c>
      <c r="B525" s="33">
        <v>3275</v>
      </c>
      <c r="C525" s="34" t="b">
        <v>1</v>
      </c>
      <c r="D525" s="34">
        <v>1</v>
      </c>
      <c r="E525" s="34" t="s">
        <v>3264</v>
      </c>
      <c r="F525" s="33">
        <v>52</v>
      </c>
      <c r="G525" s="33">
        <v>8</v>
      </c>
      <c r="H525" s="34"/>
      <c r="I525" s="34"/>
      <c r="J525" s="34"/>
    </row>
    <row r="526" spans="1:10">
      <c r="A526" s="33">
        <v>32760</v>
      </c>
      <c r="B526" s="33">
        <v>3276</v>
      </c>
      <c r="C526" s="34" t="b">
        <v>1</v>
      </c>
      <c r="D526" s="34">
        <v>1</v>
      </c>
      <c r="E526" s="34" t="s">
        <v>3264</v>
      </c>
      <c r="F526" s="33">
        <v>52</v>
      </c>
      <c r="G526" s="33">
        <v>8</v>
      </c>
      <c r="H526" s="34"/>
      <c r="I526" s="34"/>
      <c r="J526" s="34"/>
    </row>
    <row r="527" spans="1:10">
      <c r="A527" s="33">
        <v>32770</v>
      </c>
      <c r="B527" s="33">
        <v>3277</v>
      </c>
      <c r="C527" s="34" t="b">
        <v>1</v>
      </c>
      <c r="D527" s="34">
        <v>1</v>
      </c>
      <c r="E527" s="34" t="s">
        <v>3264</v>
      </c>
      <c r="F527" s="33">
        <v>52</v>
      </c>
      <c r="G527" s="33">
        <v>8</v>
      </c>
      <c r="H527" s="34"/>
      <c r="I527" s="34"/>
      <c r="J527" s="34"/>
    </row>
    <row r="528" spans="1:10">
      <c r="A528" s="33">
        <v>32780</v>
      </c>
      <c r="B528" s="33">
        <v>3278</v>
      </c>
      <c r="C528" s="34" t="b">
        <v>1</v>
      </c>
      <c r="D528" s="34">
        <v>1</v>
      </c>
      <c r="E528" s="34" t="s">
        <v>3264</v>
      </c>
      <c r="F528" s="33">
        <v>52</v>
      </c>
      <c r="G528" s="33">
        <v>8</v>
      </c>
      <c r="H528" s="34"/>
      <c r="I528" s="34"/>
      <c r="J528" s="34"/>
    </row>
    <row r="529" spans="1:10">
      <c r="A529" s="33">
        <v>32790</v>
      </c>
      <c r="B529" s="33">
        <v>3279</v>
      </c>
      <c r="C529" s="34" t="b">
        <v>1</v>
      </c>
      <c r="D529" s="34">
        <v>1</v>
      </c>
      <c r="E529" s="34" t="s">
        <v>3264</v>
      </c>
      <c r="F529" s="33">
        <v>52</v>
      </c>
      <c r="G529" s="33">
        <v>8</v>
      </c>
      <c r="H529" s="34"/>
      <c r="I529" s="34"/>
      <c r="J529" s="34"/>
    </row>
    <row r="530" spans="1:10">
      <c r="A530" s="33">
        <v>32800</v>
      </c>
      <c r="B530" s="33">
        <v>3280</v>
      </c>
      <c r="C530" s="34" t="b">
        <v>1</v>
      </c>
      <c r="D530" s="34">
        <v>1</v>
      </c>
      <c r="E530" s="34" t="s">
        <v>3264</v>
      </c>
      <c r="F530" s="33">
        <v>52</v>
      </c>
      <c r="G530" s="33">
        <v>8</v>
      </c>
      <c r="H530" s="34"/>
      <c r="I530" s="34"/>
      <c r="J530" s="34"/>
    </row>
    <row r="531" spans="1:10">
      <c r="A531" s="33">
        <v>32810</v>
      </c>
      <c r="B531" s="33">
        <v>3281</v>
      </c>
      <c r="C531" s="34" t="b">
        <v>1</v>
      </c>
      <c r="D531" s="34">
        <v>1</v>
      </c>
      <c r="E531" s="34" t="s">
        <v>3264</v>
      </c>
      <c r="F531" s="33">
        <v>52</v>
      </c>
      <c r="G531" s="33">
        <v>8</v>
      </c>
      <c r="H531" s="34"/>
      <c r="I531" s="34"/>
      <c r="J531" s="34"/>
    </row>
    <row r="532" spans="1:10">
      <c r="A532" s="33">
        <v>32820</v>
      </c>
      <c r="B532" s="33">
        <v>3282</v>
      </c>
      <c r="C532" s="34" t="b">
        <v>1</v>
      </c>
      <c r="D532" s="34">
        <v>1</v>
      </c>
      <c r="E532" s="34" t="s">
        <v>3264</v>
      </c>
      <c r="F532" s="33">
        <v>52</v>
      </c>
      <c r="G532" s="33">
        <v>8</v>
      </c>
      <c r="H532" s="34"/>
      <c r="I532" s="34"/>
      <c r="J532" s="34"/>
    </row>
    <row r="533" spans="1:10">
      <c r="A533" s="33">
        <v>32830</v>
      </c>
      <c r="B533" s="33">
        <v>3283</v>
      </c>
      <c r="C533" s="34" t="b">
        <v>1</v>
      </c>
      <c r="D533" s="34">
        <v>1</v>
      </c>
      <c r="E533" s="34" t="s">
        <v>3264</v>
      </c>
      <c r="F533" s="33">
        <v>52</v>
      </c>
      <c r="G533" s="33">
        <v>8</v>
      </c>
      <c r="H533" s="34"/>
      <c r="I533" s="34"/>
      <c r="J533" s="34"/>
    </row>
    <row r="534" spans="1:10">
      <c r="A534" s="33">
        <v>32840</v>
      </c>
      <c r="B534" s="33">
        <v>3284</v>
      </c>
      <c r="C534" s="34" t="b">
        <v>1</v>
      </c>
      <c r="D534" s="34">
        <v>1</v>
      </c>
      <c r="E534" s="34" t="s">
        <v>3264</v>
      </c>
      <c r="F534" s="33">
        <v>52</v>
      </c>
      <c r="G534" s="33">
        <v>8</v>
      </c>
      <c r="H534" s="34"/>
      <c r="I534" s="34"/>
      <c r="J534" s="34"/>
    </row>
    <row r="535" spans="1:10">
      <c r="A535" s="33">
        <v>32850</v>
      </c>
      <c r="B535" s="33">
        <v>3285</v>
      </c>
      <c r="C535" s="34" t="b">
        <v>1</v>
      </c>
      <c r="D535" s="34">
        <v>1</v>
      </c>
      <c r="E535" s="34" t="s">
        <v>3264</v>
      </c>
      <c r="F535" s="33">
        <v>52</v>
      </c>
      <c r="G535" s="33">
        <v>8</v>
      </c>
      <c r="H535" s="34"/>
      <c r="I535" s="34"/>
      <c r="J535" s="34"/>
    </row>
    <row r="536" spans="1:10">
      <c r="A536" s="33">
        <v>32860</v>
      </c>
      <c r="B536" s="33">
        <v>3286</v>
      </c>
      <c r="C536" s="34" t="b">
        <v>1</v>
      </c>
      <c r="D536" s="34">
        <v>1</v>
      </c>
      <c r="E536" s="34" t="s">
        <v>3264</v>
      </c>
      <c r="F536" s="33">
        <v>52</v>
      </c>
      <c r="G536" s="33">
        <v>8</v>
      </c>
      <c r="H536" s="34"/>
      <c r="I536" s="34"/>
      <c r="J536" s="34"/>
    </row>
    <row r="537" spans="1:10">
      <c r="A537" s="33">
        <v>32870</v>
      </c>
      <c r="B537" s="33">
        <v>3287</v>
      </c>
      <c r="C537" s="34" t="b">
        <v>1</v>
      </c>
      <c r="D537" s="34">
        <v>1</v>
      </c>
      <c r="E537" s="34" t="s">
        <v>3264</v>
      </c>
      <c r="F537" s="33">
        <v>52</v>
      </c>
      <c r="G537" s="33">
        <v>8</v>
      </c>
      <c r="H537" s="34"/>
      <c r="I537" s="34"/>
      <c r="J537" s="34"/>
    </row>
    <row r="538" spans="1:10">
      <c r="A538" s="33">
        <v>32880</v>
      </c>
      <c r="B538" s="33">
        <v>3288</v>
      </c>
      <c r="C538" s="34" t="b">
        <v>1</v>
      </c>
      <c r="D538" s="34">
        <v>1</v>
      </c>
      <c r="E538" s="34" t="s">
        <v>3264</v>
      </c>
      <c r="F538" s="33">
        <v>52</v>
      </c>
      <c r="G538" s="33">
        <v>8</v>
      </c>
      <c r="H538" s="34"/>
      <c r="I538" s="34"/>
      <c r="J538" s="34"/>
    </row>
    <row r="539" spans="1:10">
      <c r="A539" s="33">
        <v>32890</v>
      </c>
      <c r="B539" s="33">
        <v>3289</v>
      </c>
      <c r="C539" s="34" t="b">
        <v>1</v>
      </c>
      <c r="D539" s="34">
        <v>1</v>
      </c>
      <c r="E539" s="34" t="s">
        <v>3264</v>
      </c>
      <c r="F539" s="33">
        <v>52</v>
      </c>
      <c r="G539" s="33">
        <v>8</v>
      </c>
      <c r="H539" s="34"/>
      <c r="I539" s="34"/>
      <c r="J539" s="34"/>
    </row>
    <row r="540" spans="1:10">
      <c r="A540" s="33">
        <v>32900</v>
      </c>
      <c r="B540" s="33">
        <v>3290</v>
      </c>
      <c r="C540" s="34" t="b">
        <v>1</v>
      </c>
      <c r="D540" s="34">
        <v>1</v>
      </c>
      <c r="E540" s="34" t="s">
        <v>3264</v>
      </c>
      <c r="F540" s="33">
        <v>52</v>
      </c>
      <c r="G540" s="33">
        <v>8</v>
      </c>
      <c r="H540" s="34"/>
      <c r="I540" s="34"/>
      <c r="J540" s="34"/>
    </row>
    <row r="541" spans="1:10">
      <c r="A541" s="33">
        <v>32910</v>
      </c>
      <c r="B541" s="33">
        <v>3291</v>
      </c>
      <c r="C541" s="34" t="b">
        <v>1</v>
      </c>
      <c r="D541" s="34">
        <v>1</v>
      </c>
      <c r="E541" s="34" t="s">
        <v>3264</v>
      </c>
      <c r="F541" s="33">
        <v>52</v>
      </c>
      <c r="G541" s="33">
        <v>8</v>
      </c>
      <c r="H541" s="34"/>
      <c r="I541" s="34"/>
      <c r="J541" s="34"/>
    </row>
    <row r="542" spans="1:10">
      <c r="A542" s="33">
        <v>32920</v>
      </c>
      <c r="B542" s="33">
        <v>3292</v>
      </c>
      <c r="C542" s="34" t="b">
        <v>1</v>
      </c>
      <c r="D542" s="34">
        <v>1</v>
      </c>
      <c r="E542" s="34" t="s">
        <v>3264</v>
      </c>
      <c r="F542" s="33">
        <v>52</v>
      </c>
      <c r="G542" s="33">
        <v>8</v>
      </c>
      <c r="H542" s="34"/>
      <c r="I542" s="34"/>
      <c r="J542" s="34"/>
    </row>
    <row r="543" spans="1:10">
      <c r="A543" s="33">
        <v>32930</v>
      </c>
      <c r="B543" s="33">
        <v>3293</v>
      </c>
      <c r="C543" s="34" t="b">
        <v>1</v>
      </c>
      <c r="D543" s="34">
        <v>1</v>
      </c>
      <c r="E543" s="34" t="s">
        <v>3264</v>
      </c>
      <c r="F543" s="33">
        <v>52</v>
      </c>
      <c r="G543" s="33">
        <v>8</v>
      </c>
      <c r="H543" s="34"/>
      <c r="I543" s="34"/>
      <c r="J543" s="34"/>
    </row>
    <row r="544" spans="1:10">
      <c r="A544" s="33">
        <v>32940</v>
      </c>
      <c r="B544" s="33">
        <v>3294</v>
      </c>
      <c r="C544" s="34" t="b">
        <v>1</v>
      </c>
      <c r="D544" s="34">
        <v>1</v>
      </c>
      <c r="E544" s="34" t="s">
        <v>3264</v>
      </c>
      <c r="F544" s="33">
        <v>52</v>
      </c>
      <c r="G544" s="33">
        <v>8</v>
      </c>
      <c r="H544" s="34"/>
      <c r="I544" s="34"/>
      <c r="J544" s="34"/>
    </row>
    <row r="545" spans="1:10">
      <c r="A545" s="33">
        <v>32950</v>
      </c>
      <c r="B545" s="33">
        <v>3295</v>
      </c>
      <c r="C545" s="34" t="b">
        <v>1</v>
      </c>
      <c r="D545" s="34">
        <v>1</v>
      </c>
      <c r="E545" s="34" t="s">
        <v>3264</v>
      </c>
      <c r="F545" s="33">
        <v>52</v>
      </c>
      <c r="G545" s="33">
        <v>8</v>
      </c>
      <c r="H545" s="34"/>
      <c r="I545" s="34"/>
      <c r="J545" s="34"/>
    </row>
    <row r="546" spans="1:10">
      <c r="A546" s="33">
        <v>32960</v>
      </c>
      <c r="B546" s="33">
        <v>3296</v>
      </c>
      <c r="C546" s="34" t="b">
        <v>1</v>
      </c>
      <c r="D546" s="34">
        <v>1</v>
      </c>
      <c r="E546" s="34" t="s">
        <v>3264</v>
      </c>
      <c r="F546" s="33">
        <v>52</v>
      </c>
      <c r="G546" s="33">
        <v>8</v>
      </c>
      <c r="H546" s="34"/>
      <c r="I546" s="34"/>
      <c r="J546" s="34"/>
    </row>
    <row r="547" spans="1:10">
      <c r="A547" s="33">
        <v>32970</v>
      </c>
      <c r="B547" s="33">
        <v>3297</v>
      </c>
      <c r="C547" s="34" t="b">
        <v>1</v>
      </c>
      <c r="D547" s="34">
        <v>1</v>
      </c>
      <c r="E547" s="34" t="s">
        <v>3264</v>
      </c>
      <c r="F547" s="33">
        <v>52</v>
      </c>
      <c r="G547" s="33">
        <v>8</v>
      </c>
      <c r="H547" s="34"/>
      <c r="I547" s="34"/>
      <c r="J547" s="34"/>
    </row>
    <row r="548" spans="1:10">
      <c r="A548" s="33">
        <v>32980</v>
      </c>
      <c r="B548" s="33">
        <v>3298</v>
      </c>
      <c r="C548" s="34" t="b">
        <v>1</v>
      </c>
      <c r="D548" s="34">
        <v>1</v>
      </c>
      <c r="E548" s="34" t="s">
        <v>3264</v>
      </c>
      <c r="F548" s="33">
        <v>52</v>
      </c>
      <c r="G548" s="33">
        <v>8</v>
      </c>
      <c r="H548" s="34"/>
      <c r="I548" s="34"/>
      <c r="J548" s="34"/>
    </row>
    <row r="549" spans="1:10">
      <c r="A549" s="33">
        <v>32990</v>
      </c>
      <c r="B549" s="33">
        <v>3299</v>
      </c>
      <c r="C549" s="34" t="b">
        <v>1</v>
      </c>
      <c r="D549" s="34">
        <v>1</v>
      </c>
      <c r="E549" s="34" t="s">
        <v>3264</v>
      </c>
      <c r="F549" s="33">
        <v>52</v>
      </c>
      <c r="G549" s="33">
        <v>8</v>
      </c>
      <c r="H549" s="34"/>
      <c r="I549" s="34"/>
      <c r="J549" s="34"/>
    </row>
    <row r="550" spans="1:10">
      <c r="A550" s="33">
        <v>33000</v>
      </c>
      <c r="B550" s="33">
        <v>3300</v>
      </c>
      <c r="C550" s="34" t="b">
        <v>1</v>
      </c>
      <c r="D550" s="34">
        <v>1</v>
      </c>
      <c r="E550" s="34" t="s">
        <v>3264</v>
      </c>
      <c r="F550" s="33">
        <v>52</v>
      </c>
      <c r="G550" s="33">
        <v>8</v>
      </c>
      <c r="H550" s="34"/>
      <c r="I550" s="34"/>
      <c r="J550" s="34"/>
    </row>
    <row r="551" spans="1:10">
      <c r="A551" s="33">
        <v>33010</v>
      </c>
      <c r="B551" s="33">
        <v>3301</v>
      </c>
      <c r="C551" s="34" t="b">
        <v>1</v>
      </c>
      <c r="D551" s="34">
        <v>1</v>
      </c>
      <c r="E551" s="34" t="s">
        <v>3264</v>
      </c>
      <c r="F551" s="33">
        <v>52</v>
      </c>
      <c r="G551" s="33">
        <v>8</v>
      </c>
      <c r="H551" s="34"/>
      <c r="I551" s="34"/>
      <c r="J551" s="34"/>
    </row>
    <row r="552" spans="1:10">
      <c r="A552" s="33">
        <v>33020</v>
      </c>
      <c r="B552" s="33">
        <v>3302</v>
      </c>
      <c r="C552" s="34" t="b">
        <v>1</v>
      </c>
      <c r="D552" s="34">
        <v>1</v>
      </c>
      <c r="E552" s="34" t="s">
        <v>3264</v>
      </c>
      <c r="F552" s="33">
        <v>52</v>
      </c>
      <c r="G552" s="33">
        <v>8</v>
      </c>
      <c r="H552" s="34"/>
      <c r="I552" s="34"/>
      <c r="J552" s="34"/>
    </row>
    <row r="553" spans="1:10">
      <c r="A553" s="33">
        <v>33030</v>
      </c>
      <c r="B553" s="33">
        <v>3303</v>
      </c>
      <c r="C553" s="34" t="b">
        <v>1</v>
      </c>
      <c r="D553" s="34">
        <v>1</v>
      </c>
      <c r="E553" s="34" t="s">
        <v>3264</v>
      </c>
      <c r="F553" s="33">
        <v>52</v>
      </c>
      <c r="G553" s="33">
        <v>8</v>
      </c>
      <c r="H553" s="34"/>
      <c r="I553" s="34"/>
      <c r="J553" s="34"/>
    </row>
    <row r="554" spans="1:10">
      <c r="A554" s="33">
        <v>33040</v>
      </c>
      <c r="B554" s="33">
        <v>3304</v>
      </c>
      <c r="C554" s="34" t="b">
        <v>1</v>
      </c>
      <c r="D554" s="34">
        <v>1</v>
      </c>
      <c r="E554" s="34" t="s">
        <v>3264</v>
      </c>
      <c r="F554" s="33">
        <v>52</v>
      </c>
      <c r="G554" s="33">
        <v>8</v>
      </c>
      <c r="H554" s="34"/>
      <c r="I554" s="34"/>
      <c r="J554" s="34"/>
    </row>
    <row r="555" spans="1:10">
      <c r="A555" s="33">
        <v>33050</v>
      </c>
      <c r="B555" s="33">
        <v>3305</v>
      </c>
      <c r="C555" s="34" t="b">
        <v>1</v>
      </c>
      <c r="D555" s="34">
        <v>1</v>
      </c>
      <c r="E555" s="34" t="s">
        <v>3264</v>
      </c>
      <c r="F555" s="33">
        <v>52</v>
      </c>
      <c r="G555" s="33">
        <v>8</v>
      </c>
      <c r="H555" s="34"/>
      <c r="I555" s="34"/>
      <c r="J555" s="34"/>
    </row>
    <row r="556" spans="1:10">
      <c r="A556" s="33">
        <v>33060</v>
      </c>
      <c r="B556" s="33">
        <v>3306</v>
      </c>
      <c r="C556" s="34" t="b">
        <v>1</v>
      </c>
      <c r="D556" s="34">
        <v>1</v>
      </c>
      <c r="E556" s="34" t="s">
        <v>3264</v>
      </c>
      <c r="F556" s="33">
        <v>52</v>
      </c>
      <c r="G556" s="33">
        <v>8</v>
      </c>
      <c r="H556" s="34"/>
      <c r="I556" s="34"/>
      <c r="J556" s="34"/>
    </row>
    <row r="557" spans="1:10">
      <c r="A557" s="33">
        <v>33070</v>
      </c>
      <c r="B557" s="33">
        <v>3307</v>
      </c>
      <c r="C557" s="34" t="b">
        <v>1</v>
      </c>
      <c r="D557" s="34">
        <v>1</v>
      </c>
      <c r="E557" s="34" t="s">
        <v>3264</v>
      </c>
      <c r="F557" s="33">
        <v>52</v>
      </c>
      <c r="G557" s="33">
        <v>8</v>
      </c>
      <c r="H557" s="34"/>
      <c r="I557" s="34"/>
      <c r="J557" s="34"/>
    </row>
    <row r="558" spans="1:10">
      <c r="A558" s="33">
        <v>33080</v>
      </c>
      <c r="B558" s="33">
        <v>3308</v>
      </c>
      <c r="C558" s="34" t="b">
        <v>1</v>
      </c>
      <c r="D558" s="34">
        <v>1</v>
      </c>
      <c r="E558" s="34" t="s">
        <v>3264</v>
      </c>
      <c r="F558" s="33">
        <v>52</v>
      </c>
      <c r="G558" s="33">
        <v>8</v>
      </c>
      <c r="H558" s="34"/>
      <c r="I558" s="34"/>
      <c r="J558" s="34"/>
    </row>
    <row r="559" spans="1:10">
      <c r="A559" s="33">
        <v>33090</v>
      </c>
      <c r="B559" s="33">
        <v>3309</v>
      </c>
      <c r="C559" s="34" t="b">
        <v>1</v>
      </c>
      <c r="D559" s="34">
        <v>1</v>
      </c>
      <c r="E559" s="34" t="s">
        <v>3264</v>
      </c>
      <c r="F559" s="33">
        <v>52</v>
      </c>
      <c r="G559" s="33">
        <v>8</v>
      </c>
      <c r="H559" s="34"/>
      <c r="I559" s="34"/>
      <c r="J559" s="34"/>
    </row>
    <row r="560" spans="1:10">
      <c r="A560" s="33">
        <v>33100</v>
      </c>
      <c r="B560" s="33">
        <v>3310</v>
      </c>
      <c r="C560" s="34" t="b">
        <v>1</v>
      </c>
      <c r="D560" s="34">
        <v>1</v>
      </c>
      <c r="E560" s="34" t="s">
        <v>3264</v>
      </c>
      <c r="F560" s="33">
        <v>52</v>
      </c>
      <c r="G560" s="33">
        <v>8</v>
      </c>
      <c r="H560" s="34"/>
      <c r="I560" s="34"/>
      <c r="J560" s="34"/>
    </row>
    <row r="561" spans="1:10">
      <c r="A561" s="33">
        <v>33110</v>
      </c>
      <c r="B561" s="33">
        <v>3311</v>
      </c>
      <c r="C561" s="34" t="b">
        <v>1</v>
      </c>
      <c r="D561" s="34">
        <v>1</v>
      </c>
      <c r="E561" s="34" t="s">
        <v>3264</v>
      </c>
      <c r="F561" s="33">
        <v>52</v>
      </c>
      <c r="G561" s="33">
        <v>8</v>
      </c>
      <c r="H561" s="34"/>
      <c r="I561" s="34"/>
      <c r="J561" s="34"/>
    </row>
    <row r="562" spans="1:10">
      <c r="A562" s="33">
        <v>33120</v>
      </c>
      <c r="B562" s="33">
        <v>3312</v>
      </c>
      <c r="C562" s="34" t="b">
        <v>1</v>
      </c>
      <c r="D562" s="34">
        <v>1</v>
      </c>
      <c r="E562" s="34" t="s">
        <v>3264</v>
      </c>
      <c r="F562" s="33">
        <v>52</v>
      </c>
      <c r="G562" s="33">
        <v>8</v>
      </c>
      <c r="H562" s="34"/>
      <c r="I562" s="34"/>
      <c r="J562" s="34"/>
    </row>
    <row r="563" spans="1:10">
      <c r="A563" s="33">
        <v>33130</v>
      </c>
      <c r="B563" s="33">
        <v>3313</v>
      </c>
      <c r="C563" s="34" t="b">
        <v>1</v>
      </c>
      <c r="D563" s="34">
        <v>1</v>
      </c>
      <c r="E563" s="34" t="s">
        <v>3264</v>
      </c>
      <c r="F563" s="33">
        <v>52</v>
      </c>
      <c r="G563" s="33">
        <v>8</v>
      </c>
      <c r="H563" s="34"/>
      <c r="I563" s="34"/>
      <c r="J563" s="34"/>
    </row>
    <row r="564" spans="1:10">
      <c r="A564" s="33">
        <v>33140</v>
      </c>
      <c r="B564" s="33">
        <v>3314</v>
      </c>
      <c r="C564" s="34" t="b">
        <v>1</v>
      </c>
      <c r="D564" s="34">
        <v>1</v>
      </c>
      <c r="E564" s="34" t="s">
        <v>3264</v>
      </c>
      <c r="F564" s="33">
        <v>52</v>
      </c>
      <c r="G564" s="33">
        <v>8</v>
      </c>
      <c r="H564" s="34"/>
      <c r="I564" s="34"/>
      <c r="J564" s="34"/>
    </row>
    <row r="565" spans="1:10">
      <c r="A565" s="33">
        <v>33150</v>
      </c>
      <c r="B565" s="33">
        <v>3315</v>
      </c>
      <c r="C565" s="34" t="b">
        <v>1</v>
      </c>
      <c r="D565" s="34">
        <v>1</v>
      </c>
      <c r="E565" s="34" t="s">
        <v>3264</v>
      </c>
      <c r="F565" s="33">
        <v>52</v>
      </c>
      <c r="G565" s="33">
        <v>8</v>
      </c>
      <c r="H565" s="34"/>
      <c r="I565" s="34"/>
      <c r="J565" s="34"/>
    </row>
    <row r="566" spans="1:10">
      <c r="A566" s="33">
        <v>33160</v>
      </c>
      <c r="B566" s="33">
        <v>3316</v>
      </c>
      <c r="C566" s="34" t="b">
        <v>1</v>
      </c>
      <c r="D566" s="34">
        <v>1</v>
      </c>
      <c r="E566" s="34" t="s">
        <v>3264</v>
      </c>
      <c r="F566" s="33">
        <v>52</v>
      </c>
      <c r="G566" s="33">
        <v>8</v>
      </c>
      <c r="H566" s="34"/>
      <c r="I566" s="34"/>
      <c r="J566" s="34"/>
    </row>
    <row r="567" spans="1:10">
      <c r="A567" s="33">
        <v>33170</v>
      </c>
      <c r="B567" s="33">
        <v>3317</v>
      </c>
      <c r="C567" s="34" t="b">
        <v>1</v>
      </c>
      <c r="D567" s="34">
        <v>1</v>
      </c>
      <c r="E567" s="34" t="s">
        <v>3264</v>
      </c>
      <c r="F567" s="33">
        <v>52</v>
      </c>
      <c r="G567" s="33">
        <v>8</v>
      </c>
      <c r="H567" s="34"/>
      <c r="I567" s="34"/>
      <c r="J567" s="34"/>
    </row>
    <row r="568" spans="1:10">
      <c r="A568" s="33">
        <v>33180</v>
      </c>
      <c r="B568" s="33">
        <v>3318</v>
      </c>
      <c r="C568" s="34" t="b">
        <v>1</v>
      </c>
      <c r="D568" s="34">
        <v>1</v>
      </c>
      <c r="E568" s="34" t="s">
        <v>3264</v>
      </c>
      <c r="F568" s="33">
        <v>52</v>
      </c>
      <c r="G568" s="33">
        <v>8</v>
      </c>
      <c r="H568" s="34"/>
      <c r="I568" s="34"/>
      <c r="J568" s="34"/>
    </row>
    <row r="569" spans="1:10">
      <c r="A569" s="33">
        <v>33190</v>
      </c>
      <c r="B569" s="33">
        <v>3319</v>
      </c>
      <c r="C569" s="34" t="b">
        <v>1</v>
      </c>
      <c r="D569" s="34">
        <v>1</v>
      </c>
      <c r="E569" s="34" t="s">
        <v>3264</v>
      </c>
      <c r="F569" s="33">
        <v>52</v>
      </c>
      <c r="G569" s="33">
        <v>8</v>
      </c>
      <c r="H569" s="34"/>
      <c r="I569" s="34"/>
      <c r="J569" s="34"/>
    </row>
    <row r="570" spans="1:10">
      <c r="A570" s="33">
        <v>33200</v>
      </c>
      <c r="B570" s="33">
        <v>3320</v>
      </c>
      <c r="C570" s="34" t="b">
        <v>1</v>
      </c>
      <c r="D570" s="34">
        <v>1</v>
      </c>
      <c r="E570" s="34" t="s">
        <v>3264</v>
      </c>
      <c r="F570" s="33">
        <v>52</v>
      </c>
      <c r="G570" s="33">
        <v>8</v>
      </c>
      <c r="H570" s="34"/>
      <c r="I570" s="34"/>
      <c r="J570" s="34"/>
    </row>
    <row r="571" spans="1:10">
      <c r="A571" s="33">
        <v>33210</v>
      </c>
      <c r="B571" s="33">
        <v>3321</v>
      </c>
      <c r="C571" s="34" t="b">
        <v>1</v>
      </c>
      <c r="D571" s="34">
        <v>1</v>
      </c>
      <c r="E571" s="34" t="s">
        <v>3264</v>
      </c>
      <c r="F571" s="33">
        <v>52</v>
      </c>
      <c r="G571" s="33">
        <v>8</v>
      </c>
      <c r="H571" s="34"/>
      <c r="I571" s="34"/>
      <c r="J571" s="34"/>
    </row>
    <row r="572" spans="1:10">
      <c r="A572" s="33">
        <v>33220</v>
      </c>
      <c r="B572" s="33">
        <v>3322</v>
      </c>
      <c r="C572" s="34" t="b">
        <v>1</v>
      </c>
      <c r="D572" s="34">
        <v>1</v>
      </c>
      <c r="E572" s="34" t="s">
        <v>3264</v>
      </c>
      <c r="F572" s="33">
        <v>52</v>
      </c>
      <c r="G572" s="33">
        <v>8</v>
      </c>
      <c r="H572" s="34"/>
      <c r="I572" s="34"/>
      <c r="J572" s="34"/>
    </row>
    <row r="573" spans="1:10">
      <c r="A573" s="33">
        <v>33230</v>
      </c>
      <c r="B573" s="33">
        <v>3323</v>
      </c>
      <c r="C573" s="34" t="b">
        <v>1</v>
      </c>
      <c r="D573" s="34">
        <v>1</v>
      </c>
      <c r="E573" s="34" t="s">
        <v>3264</v>
      </c>
      <c r="F573" s="33">
        <v>52</v>
      </c>
      <c r="G573" s="33">
        <v>8</v>
      </c>
      <c r="H573" s="34"/>
      <c r="I573" s="34"/>
      <c r="J573" s="34"/>
    </row>
    <row r="574" spans="1:10">
      <c r="A574" s="33">
        <v>33240</v>
      </c>
      <c r="B574" s="33">
        <v>3324</v>
      </c>
      <c r="C574" s="34" t="b">
        <v>1</v>
      </c>
      <c r="D574" s="34">
        <v>1</v>
      </c>
      <c r="E574" s="34" t="s">
        <v>3264</v>
      </c>
      <c r="F574" s="33">
        <v>52</v>
      </c>
      <c r="G574" s="33">
        <v>8</v>
      </c>
      <c r="H574" s="34"/>
      <c r="I574" s="34"/>
      <c r="J574" s="34"/>
    </row>
    <row r="575" spans="1:10">
      <c r="A575" s="33">
        <v>33250</v>
      </c>
      <c r="B575" s="33">
        <v>3325</v>
      </c>
      <c r="C575" s="34" t="b">
        <v>1</v>
      </c>
      <c r="D575" s="34">
        <v>1</v>
      </c>
      <c r="E575" s="34" t="s">
        <v>3264</v>
      </c>
      <c r="F575" s="33">
        <v>52</v>
      </c>
      <c r="G575" s="33">
        <v>8</v>
      </c>
      <c r="H575" s="34"/>
      <c r="I575" s="34"/>
      <c r="J575" s="34"/>
    </row>
    <row r="576" spans="1:10">
      <c r="A576" s="33">
        <v>33260</v>
      </c>
      <c r="B576" s="33">
        <v>3326</v>
      </c>
      <c r="C576" s="34" t="b">
        <v>1</v>
      </c>
      <c r="D576" s="34">
        <v>1</v>
      </c>
      <c r="E576" s="34" t="s">
        <v>3264</v>
      </c>
      <c r="F576" s="33">
        <v>52</v>
      </c>
      <c r="G576" s="33">
        <v>8</v>
      </c>
      <c r="H576" s="34"/>
      <c r="I576" s="34"/>
      <c r="J576" s="34"/>
    </row>
    <row r="577" spans="1:10">
      <c r="A577" s="33">
        <v>33270</v>
      </c>
      <c r="B577" s="33">
        <v>3327</v>
      </c>
      <c r="C577" s="34" t="b">
        <v>1</v>
      </c>
      <c r="D577" s="34">
        <v>1</v>
      </c>
      <c r="E577" s="34" t="s">
        <v>3264</v>
      </c>
      <c r="F577" s="33">
        <v>52</v>
      </c>
      <c r="G577" s="33">
        <v>8</v>
      </c>
      <c r="H577" s="34"/>
      <c r="I577" s="34"/>
      <c r="J577" s="34"/>
    </row>
    <row r="578" spans="1:10">
      <c r="A578" s="33">
        <v>33280</v>
      </c>
      <c r="B578" s="33">
        <v>3328</v>
      </c>
      <c r="C578" s="34" t="b">
        <v>1</v>
      </c>
      <c r="D578" s="34">
        <v>1</v>
      </c>
      <c r="E578" s="34" t="s">
        <v>3264</v>
      </c>
      <c r="F578" s="33">
        <v>52</v>
      </c>
      <c r="G578" s="33">
        <v>8</v>
      </c>
      <c r="H578" s="34"/>
      <c r="I578" s="34"/>
      <c r="J578" s="34"/>
    </row>
    <row r="579" spans="1:10">
      <c r="A579" s="33">
        <v>33290</v>
      </c>
      <c r="B579" s="33">
        <v>3329</v>
      </c>
      <c r="C579" s="34" t="b">
        <v>1</v>
      </c>
      <c r="D579" s="34">
        <v>1</v>
      </c>
      <c r="E579" s="34" t="s">
        <v>3264</v>
      </c>
      <c r="F579" s="33">
        <v>52</v>
      </c>
      <c r="G579" s="33">
        <v>8</v>
      </c>
      <c r="H579" s="34"/>
      <c r="I579" s="34"/>
      <c r="J579" s="34"/>
    </row>
    <row r="580" spans="1:10">
      <c r="A580" s="33">
        <v>33300</v>
      </c>
      <c r="B580" s="33">
        <v>3330</v>
      </c>
      <c r="C580" s="34" t="b">
        <v>1</v>
      </c>
      <c r="D580" s="34">
        <v>1</v>
      </c>
      <c r="E580" s="34" t="s">
        <v>3264</v>
      </c>
      <c r="F580" s="33">
        <v>52</v>
      </c>
      <c r="G580" s="33">
        <v>8</v>
      </c>
      <c r="H580" s="34"/>
      <c r="I580" s="34"/>
      <c r="J580" s="34"/>
    </row>
    <row r="581" spans="1:10">
      <c r="A581" s="33">
        <v>33310</v>
      </c>
      <c r="B581" s="33">
        <v>3331</v>
      </c>
      <c r="C581" s="34" t="b">
        <v>1</v>
      </c>
      <c r="D581" s="34">
        <v>1</v>
      </c>
      <c r="E581" s="34" t="s">
        <v>3264</v>
      </c>
      <c r="F581" s="33">
        <v>52</v>
      </c>
      <c r="G581" s="33">
        <v>8</v>
      </c>
      <c r="H581" s="34"/>
      <c r="I581" s="34"/>
      <c r="J581" s="34"/>
    </row>
    <row r="582" spans="1:10">
      <c r="A582" s="33">
        <v>33320</v>
      </c>
      <c r="B582" s="33">
        <v>3332</v>
      </c>
      <c r="C582" s="34" t="b">
        <v>1</v>
      </c>
      <c r="D582" s="34">
        <v>1</v>
      </c>
      <c r="E582" s="34" t="s">
        <v>3264</v>
      </c>
      <c r="F582" s="33">
        <v>52</v>
      </c>
      <c r="G582" s="33">
        <v>8</v>
      </c>
      <c r="H582" s="34"/>
      <c r="I582" s="34"/>
      <c r="J582" s="34"/>
    </row>
    <row r="583" spans="1:10">
      <c r="A583" s="33">
        <v>33330</v>
      </c>
      <c r="B583" s="33">
        <v>3333</v>
      </c>
      <c r="C583" s="34" t="b">
        <v>1</v>
      </c>
      <c r="D583" s="34">
        <v>1</v>
      </c>
      <c r="E583" s="34" t="s">
        <v>3264</v>
      </c>
      <c r="F583" s="33">
        <v>52</v>
      </c>
      <c r="G583" s="33">
        <v>8</v>
      </c>
      <c r="H583" s="34"/>
      <c r="I583" s="34"/>
      <c r="J583" s="34"/>
    </row>
    <row r="584" spans="1:10">
      <c r="A584" s="33">
        <v>33340</v>
      </c>
      <c r="B584" s="33">
        <v>3334</v>
      </c>
      <c r="C584" s="34" t="b">
        <v>1</v>
      </c>
      <c r="D584" s="34">
        <v>1</v>
      </c>
      <c r="E584" s="34" t="s">
        <v>3264</v>
      </c>
      <c r="F584" s="33">
        <v>52</v>
      </c>
      <c r="G584" s="33">
        <v>8</v>
      </c>
      <c r="H584" s="34"/>
      <c r="I584" s="34"/>
      <c r="J584" s="34"/>
    </row>
    <row r="585" spans="1:10">
      <c r="A585" s="33">
        <v>33350</v>
      </c>
      <c r="B585" s="33">
        <v>3335</v>
      </c>
      <c r="C585" s="34" t="b">
        <v>1</v>
      </c>
      <c r="D585" s="34">
        <v>1</v>
      </c>
      <c r="E585" s="34" t="s">
        <v>3264</v>
      </c>
      <c r="F585" s="33">
        <v>52</v>
      </c>
      <c r="G585" s="33">
        <v>8</v>
      </c>
      <c r="H585" s="34"/>
      <c r="I585" s="34"/>
      <c r="J585" s="34"/>
    </row>
    <row r="586" spans="1:10">
      <c r="A586" s="33">
        <v>33360</v>
      </c>
      <c r="B586" s="33">
        <v>3336</v>
      </c>
      <c r="C586" s="34" t="b">
        <v>1</v>
      </c>
      <c r="D586" s="34">
        <v>1</v>
      </c>
      <c r="E586" s="34" t="s">
        <v>3264</v>
      </c>
      <c r="F586" s="33">
        <v>52</v>
      </c>
      <c r="G586" s="33">
        <v>8</v>
      </c>
      <c r="H586" s="34"/>
      <c r="I586" s="34"/>
      <c r="J586" s="34"/>
    </row>
    <row r="587" spans="1:10">
      <c r="A587" s="33">
        <v>33370</v>
      </c>
      <c r="B587" s="33">
        <v>3337</v>
      </c>
      <c r="C587" s="34" t="b">
        <v>1</v>
      </c>
      <c r="D587" s="34">
        <v>1</v>
      </c>
      <c r="E587" s="34" t="s">
        <v>3264</v>
      </c>
      <c r="F587" s="33">
        <v>52</v>
      </c>
      <c r="G587" s="33">
        <v>8</v>
      </c>
      <c r="H587" s="34"/>
      <c r="I587" s="34"/>
      <c r="J587" s="34"/>
    </row>
    <row r="588" spans="1:10">
      <c r="A588" s="33">
        <v>33380</v>
      </c>
      <c r="B588" s="33">
        <v>3338</v>
      </c>
      <c r="C588" s="34" t="b">
        <v>1</v>
      </c>
      <c r="D588" s="34">
        <v>1</v>
      </c>
      <c r="E588" s="34" t="s">
        <v>3264</v>
      </c>
      <c r="F588" s="33">
        <v>52</v>
      </c>
      <c r="G588" s="33">
        <v>8</v>
      </c>
      <c r="H588" s="34"/>
      <c r="I588" s="34"/>
      <c r="J588" s="34"/>
    </row>
    <row r="589" spans="1:10">
      <c r="A589" s="33">
        <v>33390</v>
      </c>
      <c r="B589" s="33">
        <v>3339</v>
      </c>
      <c r="C589" s="34" t="b">
        <v>1</v>
      </c>
      <c r="D589" s="34">
        <v>1</v>
      </c>
      <c r="E589" s="34" t="s">
        <v>3264</v>
      </c>
      <c r="F589" s="33">
        <v>52</v>
      </c>
      <c r="G589" s="33">
        <v>8</v>
      </c>
      <c r="H589" s="34"/>
      <c r="I589" s="34"/>
      <c r="J589" s="34"/>
    </row>
    <row r="590" spans="1:10">
      <c r="A590" s="33">
        <v>33400</v>
      </c>
      <c r="B590" s="33">
        <v>3340</v>
      </c>
      <c r="C590" s="34" t="b">
        <v>1</v>
      </c>
      <c r="D590" s="34">
        <v>1</v>
      </c>
      <c r="E590" s="34" t="s">
        <v>3264</v>
      </c>
      <c r="F590" s="33">
        <v>52</v>
      </c>
      <c r="G590" s="33">
        <v>8</v>
      </c>
      <c r="H590" s="34"/>
      <c r="I590" s="34"/>
      <c r="J590" s="34"/>
    </row>
    <row r="591" spans="1:10">
      <c r="A591" s="33">
        <v>33410</v>
      </c>
      <c r="B591" s="33">
        <v>3341</v>
      </c>
      <c r="C591" s="34" t="b">
        <v>1</v>
      </c>
      <c r="D591" s="34">
        <v>1</v>
      </c>
      <c r="E591" s="34" t="s">
        <v>3264</v>
      </c>
      <c r="F591" s="33">
        <v>52</v>
      </c>
      <c r="G591" s="33">
        <v>8</v>
      </c>
      <c r="H591" s="34"/>
      <c r="I591" s="34"/>
      <c r="J591" s="34"/>
    </row>
    <row r="592" spans="1:10">
      <c r="A592" s="33">
        <v>33420</v>
      </c>
      <c r="B592" s="33">
        <v>3342</v>
      </c>
      <c r="C592" s="34" t="b">
        <v>1</v>
      </c>
      <c r="D592" s="34">
        <v>1</v>
      </c>
      <c r="E592" s="34" t="s">
        <v>3264</v>
      </c>
      <c r="F592" s="33">
        <v>52</v>
      </c>
      <c r="G592" s="33">
        <v>8</v>
      </c>
      <c r="H592" s="34"/>
      <c r="I592" s="34"/>
      <c r="J592" s="34"/>
    </row>
    <row r="593" spans="1:10">
      <c r="A593" s="33">
        <v>33430</v>
      </c>
      <c r="B593" s="33">
        <v>3343</v>
      </c>
      <c r="C593" s="34" t="b">
        <v>1</v>
      </c>
      <c r="D593" s="34">
        <v>1</v>
      </c>
      <c r="E593" s="34" t="s">
        <v>3264</v>
      </c>
      <c r="F593" s="33">
        <v>52</v>
      </c>
      <c r="G593" s="33">
        <v>8</v>
      </c>
      <c r="H593" s="34"/>
      <c r="I593" s="34"/>
      <c r="J593" s="34"/>
    </row>
    <row r="594" spans="1:10">
      <c r="A594" s="33">
        <v>33440</v>
      </c>
      <c r="B594" s="33">
        <v>3344</v>
      </c>
      <c r="C594" s="34" t="b">
        <v>1</v>
      </c>
      <c r="D594" s="34">
        <v>1</v>
      </c>
      <c r="E594" s="34" t="s">
        <v>3264</v>
      </c>
      <c r="F594" s="33">
        <v>52</v>
      </c>
      <c r="G594" s="33">
        <v>8</v>
      </c>
      <c r="H594" s="34"/>
      <c r="I594" s="34"/>
      <c r="J594" s="34"/>
    </row>
    <row r="595" spans="1:10">
      <c r="A595" s="33">
        <v>33450</v>
      </c>
      <c r="B595" s="33">
        <v>3345</v>
      </c>
      <c r="C595" s="34" t="b">
        <v>1</v>
      </c>
      <c r="D595" s="34">
        <v>1</v>
      </c>
      <c r="E595" s="34" t="s">
        <v>3264</v>
      </c>
      <c r="F595" s="33">
        <v>52</v>
      </c>
      <c r="G595" s="33">
        <v>8</v>
      </c>
      <c r="H595" s="34"/>
      <c r="I595" s="34"/>
      <c r="J595" s="34"/>
    </row>
    <row r="596" spans="1:10">
      <c r="A596" s="33">
        <v>33460</v>
      </c>
      <c r="B596" s="33">
        <v>3346</v>
      </c>
      <c r="C596" s="34" t="b">
        <v>1</v>
      </c>
      <c r="D596" s="34">
        <v>1</v>
      </c>
      <c r="E596" s="34" t="s">
        <v>3264</v>
      </c>
      <c r="F596" s="33">
        <v>52</v>
      </c>
      <c r="G596" s="33">
        <v>8</v>
      </c>
      <c r="H596" s="34"/>
      <c r="I596" s="34"/>
      <c r="J596" s="34"/>
    </row>
    <row r="597" spans="1:10">
      <c r="A597" s="33">
        <v>33470</v>
      </c>
      <c r="B597" s="33">
        <v>3347</v>
      </c>
      <c r="C597" s="34" t="b">
        <v>1</v>
      </c>
      <c r="D597" s="34">
        <v>1</v>
      </c>
      <c r="E597" s="34" t="s">
        <v>3264</v>
      </c>
      <c r="F597" s="33">
        <v>52</v>
      </c>
      <c r="G597" s="33">
        <v>8</v>
      </c>
      <c r="H597" s="34"/>
      <c r="I597" s="34"/>
      <c r="J597" s="34"/>
    </row>
    <row r="598" spans="1:10">
      <c r="A598" s="33">
        <v>33480</v>
      </c>
      <c r="B598" s="33">
        <v>3348</v>
      </c>
      <c r="C598" s="34" t="b">
        <v>1</v>
      </c>
      <c r="D598" s="34">
        <v>1</v>
      </c>
      <c r="E598" s="34" t="s">
        <v>3264</v>
      </c>
      <c r="F598" s="33">
        <v>52</v>
      </c>
      <c r="G598" s="33">
        <v>8</v>
      </c>
      <c r="H598" s="34"/>
      <c r="I598" s="34"/>
      <c r="J598" s="34"/>
    </row>
    <row r="599" spans="1:10">
      <c r="A599" s="33">
        <v>33490</v>
      </c>
      <c r="B599" s="33">
        <v>3349</v>
      </c>
      <c r="C599" s="34" t="b">
        <v>1</v>
      </c>
      <c r="D599" s="34">
        <v>1</v>
      </c>
      <c r="E599" s="34" t="s">
        <v>3264</v>
      </c>
      <c r="F599" s="33">
        <v>52</v>
      </c>
      <c r="G599" s="33">
        <v>8</v>
      </c>
      <c r="H599" s="34"/>
      <c r="I599" s="34"/>
      <c r="J599" s="34"/>
    </row>
    <row r="600" spans="1:10">
      <c r="A600" s="33">
        <v>33500</v>
      </c>
      <c r="B600" s="33">
        <v>3350</v>
      </c>
      <c r="C600" s="34" t="b">
        <v>1</v>
      </c>
      <c r="D600" s="34">
        <v>1</v>
      </c>
      <c r="E600" s="34" t="s">
        <v>3264</v>
      </c>
      <c r="F600" s="33">
        <v>52</v>
      </c>
      <c r="G600" s="33">
        <v>8</v>
      </c>
      <c r="H600" s="34"/>
      <c r="I600" s="34"/>
      <c r="J600" s="34"/>
    </row>
    <row r="601" spans="1:10">
      <c r="A601" s="33">
        <v>33510</v>
      </c>
      <c r="B601" s="33">
        <v>3351</v>
      </c>
      <c r="C601" s="34" t="b">
        <v>1</v>
      </c>
      <c r="D601" s="34">
        <v>1</v>
      </c>
      <c r="E601" s="34" t="s">
        <v>3264</v>
      </c>
      <c r="F601" s="33">
        <v>52</v>
      </c>
      <c r="G601" s="33">
        <v>8</v>
      </c>
      <c r="H601" s="34"/>
      <c r="I601" s="34"/>
      <c r="J601" s="34"/>
    </row>
    <row r="602" spans="1:10">
      <c r="A602" s="33">
        <v>33520</v>
      </c>
      <c r="B602" s="33">
        <v>3352</v>
      </c>
      <c r="C602" s="34" t="b">
        <v>1</v>
      </c>
      <c r="D602" s="34">
        <v>1</v>
      </c>
      <c r="E602" s="34" t="s">
        <v>3264</v>
      </c>
      <c r="F602" s="33">
        <v>52</v>
      </c>
      <c r="G602" s="33">
        <v>8</v>
      </c>
      <c r="H602" s="34"/>
      <c r="I602" s="34"/>
      <c r="J602" s="34"/>
    </row>
    <row r="603" spans="1:10">
      <c r="A603" s="33">
        <v>33530</v>
      </c>
      <c r="B603" s="33">
        <v>3353</v>
      </c>
      <c r="C603" s="34" t="b">
        <v>1</v>
      </c>
      <c r="D603" s="34">
        <v>1</v>
      </c>
      <c r="E603" s="34" t="s">
        <v>3264</v>
      </c>
      <c r="F603" s="33">
        <v>52</v>
      </c>
      <c r="G603" s="33">
        <v>8</v>
      </c>
      <c r="H603" s="34"/>
      <c r="I603" s="34"/>
      <c r="J603" s="34"/>
    </row>
    <row r="604" spans="1:10">
      <c r="A604" s="33">
        <v>33540</v>
      </c>
      <c r="B604" s="33">
        <v>3354</v>
      </c>
      <c r="C604" s="34" t="b">
        <v>1</v>
      </c>
      <c r="D604" s="34">
        <v>1</v>
      </c>
      <c r="E604" s="34" t="s">
        <v>3264</v>
      </c>
      <c r="F604" s="33">
        <v>52</v>
      </c>
      <c r="G604" s="33">
        <v>8</v>
      </c>
      <c r="H604" s="34"/>
      <c r="I604" s="34"/>
      <c r="J604" s="34"/>
    </row>
    <row r="605" spans="1:10">
      <c r="A605" s="33">
        <v>33550</v>
      </c>
      <c r="B605" s="33">
        <v>3355</v>
      </c>
      <c r="C605" s="34" t="b">
        <v>1</v>
      </c>
      <c r="D605" s="34">
        <v>1</v>
      </c>
      <c r="E605" s="34" t="s">
        <v>3264</v>
      </c>
      <c r="F605" s="33">
        <v>52</v>
      </c>
      <c r="G605" s="33">
        <v>8</v>
      </c>
      <c r="H605" s="34"/>
      <c r="I605" s="34"/>
      <c r="J605" s="34"/>
    </row>
    <row r="606" spans="1:10">
      <c r="A606" s="33">
        <v>33560</v>
      </c>
      <c r="B606" s="33">
        <v>3356</v>
      </c>
      <c r="C606" s="34" t="b">
        <v>1</v>
      </c>
      <c r="D606" s="34">
        <v>1</v>
      </c>
      <c r="E606" s="34" t="s">
        <v>3264</v>
      </c>
      <c r="F606" s="33">
        <v>52</v>
      </c>
      <c r="G606" s="33">
        <v>8</v>
      </c>
      <c r="H606" s="34"/>
      <c r="I606" s="34"/>
      <c r="J606" s="34"/>
    </row>
    <row r="607" spans="1:10">
      <c r="A607" s="33">
        <v>33570</v>
      </c>
      <c r="B607" s="33">
        <v>3357</v>
      </c>
      <c r="C607" s="34" t="b">
        <v>1</v>
      </c>
      <c r="D607" s="34">
        <v>1</v>
      </c>
      <c r="E607" s="34" t="s">
        <v>3264</v>
      </c>
      <c r="F607" s="33">
        <v>52</v>
      </c>
      <c r="G607" s="33">
        <v>8</v>
      </c>
      <c r="H607" s="34"/>
      <c r="I607" s="34"/>
      <c r="J607" s="34"/>
    </row>
    <row r="608" spans="1:10">
      <c r="A608" s="33">
        <v>33580</v>
      </c>
      <c r="B608" s="33">
        <v>3358</v>
      </c>
      <c r="C608" s="34" t="b">
        <v>1</v>
      </c>
      <c r="D608" s="34">
        <v>1</v>
      </c>
      <c r="E608" s="34" t="s">
        <v>3264</v>
      </c>
      <c r="F608" s="33">
        <v>52</v>
      </c>
      <c r="G608" s="33">
        <v>8</v>
      </c>
      <c r="H608" s="34"/>
      <c r="I608" s="34"/>
      <c r="J608" s="34"/>
    </row>
    <row r="609" spans="1:10">
      <c r="A609" s="33">
        <v>33590</v>
      </c>
      <c r="B609" s="33">
        <v>3359</v>
      </c>
      <c r="C609" s="34" t="b">
        <v>1</v>
      </c>
      <c r="D609" s="34">
        <v>1</v>
      </c>
      <c r="E609" s="34" t="s">
        <v>3264</v>
      </c>
      <c r="F609" s="33">
        <v>52</v>
      </c>
      <c r="G609" s="33">
        <v>8</v>
      </c>
      <c r="H609" s="34"/>
      <c r="I609" s="34"/>
      <c r="J609" s="34"/>
    </row>
    <row r="610" spans="1:10">
      <c r="A610" s="33">
        <v>33600</v>
      </c>
      <c r="B610" s="33">
        <v>3360</v>
      </c>
      <c r="C610" s="34" t="b">
        <v>1</v>
      </c>
      <c r="D610" s="34">
        <v>1</v>
      </c>
      <c r="E610" s="34" t="s">
        <v>3264</v>
      </c>
      <c r="F610" s="33">
        <v>52</v>
      </c>
      <c r="G610" s="33">
        <v>8</v>
      </c>
      <c r="H610" s="34"/>
      <c r="I610" s="34"/>
      <c r="J610" s="34"/>
    </row>
    <row r="611" spans="1:10">
      <c r="A611" s="33">
        <v>33610</v>
      </c>
      <c r="B611" s="33">
        <v>3361</v>
      </c>
      <c r="C611" s="34" t="b">
        <v>1</v>
      </c>
      <c r="D611" s="34">
        <v>1</v>
      </c>
      <c r="E611" s="34" t="s">
        <v>3264</v>
      </c>
      <c r="F611" s="33">
        <v>52</v>
      </c>
      <c r="G611" s="33">
        <v>8</v>
      </c>
      <c r="H611" s="34"/>
      <c r="I611" s="34"/>
      <c r="J611" s="34"/>
    </row>
    <row r="612" spans="1:10">
      <c r="A612" s="33">
        <v>33620</v>
      </c>
      <c r="B612" s="33">
        <v>3362</v>
      </c>
      <c r="C612" s="34" t="b">
        <v>1</v>
      </c>
      <c r="D612" s="34">
        <v>1</v>
      </c>
      <c r="E612" s="34" t="s">
        <v>3264</v>
      </c>
      <c r="F612" s="33">
        <v>52</v>
      </c>
      <c r="G612" s="33">
        <v>8</v>
      </c>
      <c r="H612" s="34"/>
      <c r="I612" s="34"/>
      <c r="J612" s="34"/>
    </row>
    <row r="613" spans="1:10">
      <c r="A613" s="33">
        <v>33630</v>
      </c>
      <c r="B613" s="33">
        <v>3363</v>
      </c>
      <c r="C613" s="34" t="b">
        <v>1</v>
      </c>
      <c r="D613" s="34">
        <v>1</v>
      </c>
      <c r="E613" s="34" t="s">
        <v>3264</v>
      </c>
      <c r="F613" s="33">
        <v>52</v>
      </c>
      <c r="G613" s="33">
        <v>8</v>
      </c>
      <c r="H613" s="34"/>
      <c r="I613" s="34"/>
      <c r="J613" s="34"/>
    </row>
    <row r="614" spans="1:10">
      <c r="A614" s="33">
        <v>33640</v>
      </c>
      <c r="B614" s="33">
        <v>3364</v>
      </c>
      <c r="C614" s="34" t="b">
        <v>1</v>
      </c>
      <c r="D614" s="34">
        <v>1</v>
      </c>
      <c r="E614" s="34" t="s">
        <v>3264</v>
      </c>
      <c r="F614" s="33">
        <v>52</v>
      </c>
      <c r="G614" s="33">
        <v>8</v>
      </c>
      <c r="H614" s="34"/>
      <c r="I614" s="34"/>
      <c r="J614" s="34"/>
    </row>
    <row r="615" spans="1:10">
      <c r="A615" s="33">
        <v>33650</v>
      </c>
      <c r="B615" s="33">
        <v>3365</v>
      </c>
      <c r="C615" s="34" t="b">
        <v>1</v>
      </c>
      <c r="D615" s="34">
        <v>1</v>
      </c>
      <c r="E615" s="34" t="s">
        <v>3264</v>
      </c>
      <c r="F615" s="33">
        <v>52</v>
      </c>
      <c r="G615" s="33">
        <v>8</v>
      </c>
      <c r="H615" s="34"/>
      <c r="I615" s="34"/>
      <c r="J615" s="34"/>
    </row>
    <row r="616" spans="1:10">
      <c r="A616" s="33">
        <v>33660</v>
      </c>
      <c r="B616" s="33">
        <v>3366</v>
      </c>
      <c r="C616" s="34" t="b">
        <v>1</v>
      </c>
      <c r="D616" s="34">
        <v>1</v>
      </c>
      <c r="E616" s="34" t="s">
        <v>3264</v>
      </c>
      <c r="F616" s="33">
        <v>52</v>
      </c>
      <c r="G616" s="33">
        <v>8</v>
      </c>
      <c r="H616" s="34"/>
      <c r="I616" s="34"/>
      <c r="J616" s="34"/>
    </row>
    <row r="617" spans="1:10">
      <c r="A617" s="33">
        <v>33670</v>
      </c>
      <c r="B617" s="33">
        <v>3367</v>
      </c>
      <c r="C617" s="34" t="b">
        <v>1</v>
      </c>
      <c r="D617" s="34">
        <v>1</v>
      </c>
      <c r="E617" s="34" t="s">
        <v>3264</v>
      </c>
      <c r="F617" s="33">
        <v>52</v>
      </c>
      <c r="G617" s="33">
        <v>8</v>
      </c>
      <c r="H617" s="34"/>
      <c r="I617" s="34"/>
      <c r="J617" s="34"/>
    </row>
    <row r="618" spans="1:10">
      <c r="A618" s="33">
        <v>33680</v>
      </c>
      <c r="B618" s="33">
        <v>3368</v>
      </c>
      <c r="C618" s="34" t="b">
        <v>1</v>
      </c>
      <c r="D618" s="34">
        <v>1</v>
      </c>
      <c r="E618" s="34" t="s">
        <v>3264</v>
      </c>
      <c r="F618" s="33">
        <v>52</v>
      </c>
      <c r="G618" s="33">
        <v>8</v>
      </c>
      <c r="H618" s="34"/>
      <c r="I618" s="34"/>
      <c r="J618" s="34"/>
    </row>
    <row r="619" spans="1:10">
      <c r="A619" s="33">
        <v>33690</v>
      </c>
      <c r="B619" s="33">
        <v>3369</v>
      </c>
      <c r="C619" s="34" t="b">
        <v>1</v>
      </c>
      <c r="D619" s="34">
        <v>1</v>
      </c>
      <c r="E619" s="34" t="s">
        <v>3264</v>
      </c>
      <c r="F619" s="33">
        <v>52</v>
      </c>
      <c r="G619" s="33">
        <v>8</v>
      </c>
      <c r="H619" s="34"/>
      <c r="I619" s="34"/>
      <c r="J619" s="34"/>
    </row>
    <row r="620" spans="1:10">
      <c r="A620" s="33">
        <v>33700</v>
      </c>
      <c r="B620" s="33">
        <v>3370</v>
      </c>
      <c r="C620" s="34" t="b">
        <v>1</v>
      </c>
      <c r="D620" s="34">
        <v>1</v>
      </c>
      <c r="E620" s="34" t="s">
        <v>3264</v>
      </c>
      <c r="F620" s="33">
        <v>52</v>
      </c>
      <c r="G620" s="33">
        <v>8</v>
      </c>
      <c r="H620" s="34"/>
      <c r="I620" s="34"/>
      <c r="J620" s="34"/>
    </row>
    <row r="621" spans="1:10">
      <c r="A621" s="33">
        <v>33710</v>
      </c>
      <c r="B621" s="33">
        <v>3371</v>
      </c>
      <c r="C621" s="34" t="b">
        <v>1</v>
      </c>
      <c r="D621" s="34">
        <v>1</v>
      </c>
      <c r="E621" s="34" t="s">
        <v>3264</v>
      </c>
      <c r="F621" s="33">
        <v>52</v>
      </c>
      <c r="G621" s="33">
        <v>8</v>
      </c>
      <c r="H621" s="34"/>
      <c r="I621" s="34"/>
      <c r="J621" s="34"/>
    </row>
    <row r="622" spans="1:10">
      <c r="A622" s="33">
        <v>33720</v>
      </c>
      <c r="B622" s="33">
        <v>3372</v>
      </c>
      <c r="C622" s="34" t="b">
        <v>1</v>
      </c>
      <c r="D622" s="34">
        <v>1</v>
      </c>
      <c r="E622" s="34" t="s">
        <v>3264</v>
      </c>
      <c r="F622" s="33">
        <v>52</v>
      </c>
      <c r="G622" s="33">
        <v>8</v>
      </c>
      <c r="H622" s="34"/>
      <c r="I622" s="34"/>
      <c r="J622" s="34"/>
    </row>
    <row r="623" spans="1:10">
      <c r="A623" s="33">
        <v>33730</v>
      </c>
      <c r="B623" s="33">
        <v>3373</v>
      </c>
      <c r="C623" s="34" t="b">
        <v>1</v>
      </c>
      <c r="D623" s="34">
        <v>1</v>
      </c>
      <c r="E623" s="34" t="s">
        <v>3264</v>
      </c>
      <c r="F623" s="33">
        <v>52</v>
      </c>
      <c r="G623" s="33">
        <v>8</v>
      </c>
      <c r="H623" s="34"/>
      <c r="I623" s="34"/>
      <c r="J623" s="34"/>
    </row>
    <row r="624" spans="1:10">
      <c r="A624" s="33">
        <v>33740</v>
      </c>
      <c r="B624" s="33">
        <v>3374</v>
      </c>
      <c r="C624" s="34" t="b">
        <v>1</v>
      </c>
      <c r="D624" s="34">
        <v>1</v>
      </c>
      <c r="E624" s="34" t="s">
        <v>3264</v>
      </c>
      <c r="F624" s="33">
        <v>52</v>
      </c>
      <c r="G624" s="33">
        <v>8</v>
      </c>
      <c r="H624" s="34"/>
      <c r="I624" s="34"/>
      <c r="J624" s="34"/>
    </row>
    <row r="625" spans="1:10">
      <c r="A625" s="33">
        <v>33750</v>
      </c>
      <c r="B625" s="33">
        <v>3375</v>
      </c>
      <c r="C625" s="34" t="b">
        <v>1</v>
      </c>
      <c r="D625" s="34">
        <v>1</v>
      </c>
      <c r="E625" s="34" t="s">
        <v>3264</v>
      </c>
      <c r="F625" s="33">
        <v>52</v>
      </c>
      <c r="G625" s="33">
        <v>8</v>
      </c>
      <c r="H625" s="34"/>
      <c r="I625" s="34"/>
      <c r="J625" s="34"/>
    </row>
    <row r="626" spans="1:10">
      <c r="A626" s="33">
        <v>33760</v>
      </c>
      <c r="B626" s="33">
        <v>3376</v>
      </c>
      <c r="C626" s="34" t="b">
        <v>1</v>
      </c>
      <c r="D626" s="34">
        <v>1</v>
      </c>
      <c r="E626" s="34" t="s">
        <v>3264</v>
      </c>
      <c r="F626" s="33">
        <v>52</v>
      </c>
      <c r="G626" s="33">
        <v>8</v>
      </c>
      <c r="H626" s="34"/>
      <c r="I626" s="34"/>
      <c r="J626" s="34"/>
    </row>
    <row r="627" spans="1:10">
      <c r="A627" s="33">
        <v>33770</v>
      </c>
      <c r="B627" s="33">
        <v>3377</v>
      </c>
      <c r="C627" s="34" t="b">
        <v>1</v>
      </c>
      <c r="D627" s="34">
        <v>1</v>
      </c>
      <c r="E627" s="34" t="s">
        <v>3264</v>
      </c>
      <c r="F627" s="33">
        <v>52</v>
      </c>
      <c r="G627" s="33">
        <v>8</v>
      </c>
      <c r="H627" s="34"/>
      <c r="I627" s="34"/>
      <c r="J627" s="34"/>
    </row>
    <row r="628" spans="1:10">
      <c r="A628" s="33">
        <v>33780</v>
      </c>
      <c r="B628" s="33">
        <v>3378</v>
      </c>
      <c r="C628" s="34" t="b">
        <v>1</v>
      </c>
      <c r="D628" s="34">
        <v>1</v>
      </c>
      <c r="E628" s="34" t="s">
        <v>3264</v>
      </c>
      <c r="F628" s="33">
        <v>52</v>
      </c>
      <c r="G628" s="33">
        <v>8</v>
      </c>
      <c r="H628" s="34"/>
      <c r="I628" s="34"/>
      <c r="J628" s="34"/>
    </row>
    <row r="629" spans="1:10">
      <c r="A629" s="33">
        <v>33790</v>
      </c>
      <c r="B629" s="33">
        <v>3379</v>
      </c>
      <c r="C629" s="34" t="b">
        <v>1</v>
      </c>
      <c r="D629" s="34">
        <v>1</v>
      </c>
      <c r="E629" s="34" t="s">
        <v>3264</v>
      </c>
      <c r="F629" s="33">
        <v>52</v>
      </c>
      <c r="G629" s="33">
        <v>8</v>
      </c>
      <c r="H629" s="34"/>
      <c r="I629" s="34"/>
      <c r="J629" s="34"/>
    </row>
    <row r="630" spans="1:10">
      <c r="A630" s="33">
        <v>33800</v>
      </c>
      <c r="B630" s="33">
        <v>3380</v>
      </c>
      <c r="C630" s="34" t="b">
        <v>1</v>
      </c>
      <c r="D630" s="34">
        <v>1</v>
      </c>
      <c r="E630" s="34" t="s">
        <v>3264</v>
      </c>
      <c r="F630" s="33">
        <v>52</v>
      </c>
      <c r="G630" s="33">
        <v>8</v>
      </c>
      <c r="H630" s="34"/>
      <c r="I630" s="34"/>
      <c r="J630" s="34"/>
    </row>
    <row r="631" spans="1:10">
      <c r="A631" s="33">
        <v>33810</v>
      </c>
      <c r="B631" s="33">
        <v>3381</v>
      </c>
      <c r="C631" s="34" t="b">
        <v>1</v>
      </c>
      <c r="D631" s="34">
        <v>1</v>
      </c>
      <c r="E631" s="34" t="s">
        <v>3264</v>
      </c>
      <c r="F631" s="33">
        <v>52</v>
      </c>
      <c r="G631" s="33">
        <v>8</v>
      </c>
      <c r="H631" s="34"/>
      <c r="I631" s="34"/>
      <c r="J631" s="34"/>
    </row>
    <row r="632" spans="1:10">
      <c r="A632" s="33">
        <v>33820</v>
      </c>
      <c r="B632" s="33">
        <v>3382</v>
      </c>
      <c r="C632" s="34" t="b">
        <v>1</v>
      </c>
      <c r="D632" s="34">
        <v>1</v>
      </c>
      <c r="E632" s="34" t="s">
        <v>3264</v>
      </c>
      <c r="F632" s="33">
        <v>52</v>
      </c>
      <c r="G632" s="33">
        <v>8</v>
      </c>
      <c r="H632" s="34"/>
      <c r="I632" s="34"/>
      <c r="J632" s="34"/>
    </row>
    <row r="633" spans="1:10">
      <c r="A633" s="33">
        <v>33830</v>
      </c>
      <c r="B633" s="33">
        <v>3383</v>
      </c>
      <c r="C633" s="34" t="b">
        <v>1</v>
      </c>
      <c r="D633" s="34">
        <v>1</v>
      </c>
      <c r="E633" s="34" t="s">
        <v>3264</v>
      </c>
      <c r="F633" s="33">
        <v>52</v>
      </c>
      <c r="G633" s="33">
        <v>8</v>
      </c>
      <c r="H633" s="34"/>
      <c r="I633" s="34"/>
      <c r="J633" s="34"/>
    </row>
    <row r="634" spans="1:10">
      <c r="A634" s="33">
        <v>33840</v>
      </c>
      <c r="B634" s="33">
        <v>3384</v>
      </c>
      <c r="C634" s="34" t="b">
        <v>1</v>
      </c>
      <c r="D634" s="34">
        <v>1</v>
      </c>
      <c r="E634" s="34" t="s">
        <v>3264</v>
      </c>
      <c r="F634" s="33">
        <v>52</v>
      </c>
      <c r="G634" s="33">
        <v>8</v>
      </c>
      <c r="H634" s="34"/>
      <c r="I634" s="34"/>
      <c r="J634" s="34"/>
    </row>
    <row r="635" spans="1:10">
      <c r="A635" s="33">
        <v>33850</v>
      </c>
      <c r="B635" s="33">
        <v>3385</v>
      </c>
      <c r="C635" s="34" t="b">
        <v>1</v>
      </c>
      <c r="D635" s="34">
        <v>1</v>
      </c>
      <c r="E635" s="34" t="s">
        <v>3264</v>
      </c>
      <c r="F635" s="33">
        <v>52</v>
      </c>
      <c r="G635" s="33">
        <v>8</v>
      </c>
      <c r="H635" s="34"/>
      <c r="I635" s="34"/>
      <c r="J635" s="34"/>
    </row>
    <row r="636" spans="1:10">
      <c r="A636" s="33">
        <v>33860</v>
      </c>
      <c r="B636" s="33">
        <v>3386</v>
      </c>
      <c r="C636" s="34" t="b">
        <v>1</v>
      </c>
      <c r="D636" s="34">
        <v>1</v>
      </c>
      <c r="E636" s="34" t="s">
        <v>3264</v>
      </c>
      <c r="F636" s="33">
        <v>52</v>
      </c>
      <c r="G636" s="33">
        <v>8</v>
      </c>
      <c r="H636" s="34"/>
      <c r="I636" s="34"/>
      <c r="J636" s="34"/>
    </row>
    <row r="637" spans="1:10">
      <c r="A637" s="33">
        <v>33870</v>
      </c>
      <c r="B637" s="33">
        <v>3387</v>
      </c>
      <c r="C637" s="34" t="b">
        <v>1</v>
      </c>
      <c r="D637" s="34">
        <v>1</v>
      </c>
      <c r="E637" s="34" t="s">
        <v>3264</v>
      </c>
      <c r="F637" s="33">
        <v>52</v>
      </c>
      <c r="G637" s="33">
        <v>8</v>
      </c>
      <c r="H637" s="34"/>
      <c r="I637" s="34"/>
      <c r="J637" s="34"/>
    </row>
    <row r="638" spans="1:10">
      <c r="A638" s="33">
        <v>33880</v>
      </c>
      <c r="B638" s="33">
        <v>3388</v>
      </c>
      <c r="C638" s="34" t="b">
        <v>1</v>
      </c>
      <c r="D638" s="34">
        <v>1</v>
      </c>
      <c r="E638" s="34" t="s">
        <v>3264</v>
      </c>
      <c r="F638" s="33">
        <v>52</v>
      </c>
      <c r="G638" s="33">
        <v>8</v>
      </c>
      <c r="H638" s="34"/>
      <c r="I638" s="34"/>
      <c r="J638" s="34"/>
    </row>
    <row r="639" spans="1:10">
      <c r="A639" s="33">
        <v>33890</v>
      </c>
      <c r="B639" s="33">
        <v>3389</v>
      </c>
      <c r="C639" s="34" t="b">
        <v>1</v>
      </c>
      <c r="D639" s="34">
        <v>1</v>
      </c>
      <c r="E639" s="34" t="s">
        <v>3264</v>
      </c>
      <c r="F639" s="33">
        <v>52</v>
      </c>
      <c r="G639" s="33">
        <v>8</v>
      </c>
      <c r="H639" s="34"/>
      <c r="I639" s="34"/>
      <c r="J639" s="34"/>
    </row>
    <row r="640" spans="1:10">
      <c r="A640" s="33">
        <v>33900</v>
      </c>
      <c r="B640" s="33">
        <v>3390</v>
      </c>
      <c r="C640" s="34" t="b">
        <v>1</v>
      </c>
      <c r="D640" s="34">
        <v>1</v>
      </c>
      <c r="E640" s="34" t="s">
        <v>3264</v>
      </c>
      <c r="F640" s="33">
        <v>52</v>
      </c>
      <c r="G640" s="33">
        <v>8</v>
      </c>
      <c r="H640" s="34"/>
      <c r="I640" s="34"/>
      <c r="J640" s="34"/>
    </row>
    <row r="641" spans="1:10">
      <c r="A641" s="33">
        <v>33910</v>
      </c>
      <c r="B641" s="33">
        <v>3391</v>
      </c>
      <c r="C641" s="34" t="b">
        <v>1</v>
      </c>
      <c r="D641" s="34">
        <v>1</v>
      </c>
      <c r="E641" s="34" t="s">
        <v>3264</v>
      </c>
      <c r="F641" s="33">
        <v>52</v>
      </c>
      <c r="G641" s="33">
        <v>8</v>
      </c>
      <c r="H641" s="34"/>
      <c r="I641" s="34"/>
      <c r="J641" s="34"/>
    </row>
    <row r="642" spans="1:10">
      <c r="A642" s="33">
        <v>33920</v>
      </c>
      <c r="B642" s="33">
        <v>3392</v>
      </c>
      <c r="C642" s="34" t="b">
        <v>1</v>
      </c>
      <c r="D642" s="34">
        <v>1</v>
      </c>
      <c r="E642" s="34" t="s">
        <v>3264</v>
      </c>
      <c r="F642" s="33">
        <v>52</v>
      </c>
      <c r="G642" s="33">
        <v>8</v>
      </c>
      <c r="H642" s="34"/>
      <c r="I642" s="34"/>
      <c r="J642" s="34"/>
    </row>
    <row r="643" spans="1:10">
      <c r="A643" s="33">
        <v>33930</v>
      </c>
      <c r="B643" s="33">
        <v>3393</v>
      </c>
      <c r="C643" s="34" t="b">
        <v>1</v>
      </c>
      <c r="D643" s="34">
        <v>1</v>
      </c>
      <c r="E643" s="34" t="s">
        <v>3264</v>
      </c>
      <c r="F643" s="33">
        <v>52</v>
      </c>
      <c r="G643" s="33">
        <v>8</v>
      </c>
      <c r="H643" s="34"/>
      <c r="I643" s="34"/>
      <c r="J643" s="34"/>
    </row>
    <row r="644" spans="1:10">
      <c r="A644" s="33">
        <v>33940</v>
      </c>
      <c r="B644" s="33">
        <v>3394</v>
      </c>
      <c r="C644" s="34" t="b">
        <v>1</v>
      </c>
      <c r="D644" s="34">
        <v>1</v>
      </c>
      <c r="E644" s="34" t="s">
        <v>3264</v>
      </c>
      <c r="F644" s="33">
        <v>52</v>
      </c>
      <c r="G644" s="33">
        <v>8</v>
      </c>
      <c r="H644" s="34"/>
      <c r="I644" s="34"/>
      <c r="J644" s="34"/>
    </row>
    <row r="645" spans="1:10">
      <c r="A645" s="33">
        <v>33950</v>
      </c>
      <c r="B645" s="33">
        <v>3395</v>
      </c>
      <c r="C645" s="34" t="b">
        <v>1</v>
      </c>
      <c r="D645" s="34">
        <v>1</v>
      </c>
      <c r="E645" s="34" t="s">
        <v>3264</v>
      </c>
      <c r="F645" s="33">
        <v>52</v>
      </c>
      <c r="G645" s="33">
        <v>8</v>
      </c>
      <c r="H645" s="34"/>
      <c r="I645" s="34"/>
      <c r="J645" s="34"/>
    </row>
    <row r="646" spans="1:10">
      <c r="A646" s="33">
        <v>33960</v>
      </c>
      <c r="B646" s="33">
        <v>3396</v>
      </c>
      <c r="C646" s="34" t="b">
        <v>1</v>
      </c>
      <c r="D646" s="34">
        <v>1</v>
      </c>
      <c r="E646" s="34" t="s">
        <v>3264</v>
      </c>
      <c r="F646" s="33">
        <v>52</v>
      </c>
      <c r="G646" s="33">
        <v>8</v>
      </c>
      <c r="H646" s="34"/>
      <c r="I646" s="34"/>
      <c r="J646" s="34"/>
    </row>
    <row r="647" spans="1:10">
      <c r="A647" s="33">
        <v>33970</v>
      </c>
      <c r="B647" s="33">
        <v>3397</v>
      </c>
      <c r="C647" s="34" t="b">
        <v>1</v>
      </c>
      <c r="D647" s="34">
        <v>1</v>
      </c>
      <c r="E647" s="34" t="s">
        <v>3264</v>
      </c>
      <c r="F647" s="33">
        <v>52</v>
      </c>
      <c r="G647" s="33">
        <v>8</v>
      </c>
      <c r="H647" s="34"/>
      <c r="I647" s="34"/>
      <c r="J647" s="34"/>
    </row>
    <row r="648" spans="1:10">
      <c r="A648" s="33">
        <v>33980</v>
      </c>
      <c r="B648" s="33">
        <v>3398</v>
      </c>
      <c r="C648" s="34" t="b">
        <v>1</v>
      </c>
      <c r="D648" s="34">
        <v>1</v>
      </c>
      <c r="E648" s="34" t="s">
        <v>3264</v>
      </c>
      <c r="F648" s="33">
        <v>52</v>
      </c>
      <c r="G648" s="33">
        <v>8</v>
      </c>
      <c r="H648" s="34"/>
      <c r="I648" s="34"/>
      <c r="J648" s="34"/>
    </row>
    <row r="649" spans="1:10">
      <c r="A649" s="33">
        <v>33990</v>
      </c>
      <c r="B649" s="33">
        <v>3399</v>
      </c>
      <c r="C649" s="34" t="b">
        <v>1</v>
      </c>
      <c r="D649" s="34">
        <v>1</v>
      </c>
      <c r="E649" s="34" t="s">
        <v>3264</v>
      </c>
      <c r="F649" s="33">
        <v>52</v>
      </c>
      <c r="G649" s="33">
        <v>8</v>
      </c>
      <c r="H649" s="34"/>
      <c r="I649" s="34"/>
      <c r="J649" s="34"/>
    </row>
    <row r="650" spans="1:10">
      <c r="A650" s="33">
        <v>34000</v>
      </c>
      <c r="B650" s="33">
        <v>3400</v>
      </c>
      <c r="C650" s="34" t="b">
        <v>1</v>
      </c>
      <c r="D650" s="34">
        <v>1</v>
      </c>
      <c r="E650" s="34" t="s">
        <v>3264</v>
      </c>
      <c r="F650" s="33">
        <v>52</v>
      </c>
      <c r="G650" s="33">
        <v>8</v>
      </c>
      <c r="H650" s="34"/>
      <c r="I650" s="34"/>
      <c r="J650" s="34"/>
    </row>
    <row r="651" spans="1:10">
      <c r="A651" s="33">
        <v>34010</v>
      </c>
      <c r="B651" s="33">
        <v>3401</v>
      </c>
      <c r="C651" s="34" t="b">
        <v>1</v>
      </c>
      <c r="D651" s="34">
        <v>1</v>
      </c>
      <c r="E651" s="34" t="s">
        <v>3264</v>
      </c>
      <c r="F651" s="33">
        <v>52</v>
      </c>
      <c r="G651" s="33">
        <v>8</v>
      </c>
      <c r="H651" s="34"/>
      <c r="I651" s="34"/>
      <c r="J651" s="34"/>
    </row>
    <row r="652" spans="1:10">
      <c r="A652" s="33">
        <v>34020</v>
      </c>
      <c r="B652" s="33">
        <v>3402</v>
      </c>
      <c r="C652" s="34" t="b">
        <v>1</v>
      </c>
      <c r="D652" s="34">
        <v>1</v>
      </c>
      <c r="E652" s="34" t="s">
        <v>3264</v>
      </c>
      <c r="F652" s="33">
        <v>52</v>
      </c>
      <c r="G652" s="33">
        <v>8</v>
      </c>
      <c r="H652" s="34"/>
      <c r="I652" s="34"/>
      <c r="J652" s="34"/>
    </row>
    <row r="653" spans="1:10">
      <c r="A653" s="33">
        <v>34030</v>
      </c>
      <c r="B653" s="33">
        <v>3403</v>
      </c>
      <c r="C653" s="34" t="b">
        <v>1</v>
      </c>
      <c r="D653" s="34">
        <v>1</v>
      </c>
      <c r="E653" s="34" t="s">
        <v>3264</v>
      </c>
      <c r="F653" s="33">
        <v>52</v>
      </c>
      <c r="G653" s="33">
        <v>8</v>
      </c>
      <c r="H653" s="34"/>
      <c r="I653" s="34"/>
      <c r="J653" s="34"/>
    </row>
    <row r="654" spans="1:10">
      <c r="A654" s="33">
        <v>34040</v>
      </c>
      <c r="B654" s="33">
        <v>3404</v>
      </c>
      <c r="C654" s="34" t="b">
        <v>1</v>
      </c>
      <c r="D654" s="34">
        <v>1</v>
      </c>
      <c r="E654" s="34" t="s">
        <v>3264</v>
      </c>
      <c r="F654" s="33">
        <v>52</v>
      </c>
      <c r="G654" s="33">
        <v>8</v>
      </c>
      <c r="H654" s="34"/>
      <c r="I654" s="34"/>
      <c r="J654" s="34"/>
    </row>
    <row r="655" spans="1:10">
      <c r="A655" s="33">
        <v>34050</v>
      </c>
      <c r="B655" s="33">
        <v>3405</v>
      </c>
      <c r="C655" s="34" t="b">
        <v>1</v>
      </c>
      <c r="D655" s="34">
        <v>1</v>
      </c>
      <c r="E655" s="34" t="s">
        <v>3264</v>
      </c>
      <c r="F655" s="33">
        <v>52</v>
      </c>
      <c r="G655" s="33">
        <v>8</v>
      </c>
      <c r="H655" s="34"/>
      <c r="I655" s="34"/>
      <c r="J655" s="34"/>
    </row>
    <row r="656" spans="1:10">
      <c r="A656" s="33">
        <v>34060</v>
      </c>
      <c r="B656" s="33">
        <v>3406</v>
      </c>
      <c r="C656" s="34" t="b">
        <v>1</v>
      </c>
      <c r="D656" s="34">
        <v>1</v>
      </c>
      <c r="E656" s="34" t="s">
        <v>3264</v>
      </c>
      <c r="F656" s="33">
        <v>52</v>
      </c>
      <c r="G656" s="33">
        <v>8</v>
      </c>
      <c r="H656" s="34"/>
      <c r="I656" s="34"/>
      <c r="J656" s="34"/>
    </row>
    <row r="657" spans="1:10">
      <c r="A657" s="33">
        <v>34070</v>
      </c>
      <c r="B657" s="33">
        <v>3407</v>
      </c>
      <c r="C657" s="34" t="b">
        <v>1</v>
      </c>
      <c r="D657" s="34">
        <v>1</v>
      </c>
      <c r="E657" s="34" t="s">
        <v>3264</v>
      </c>
      <c r="F657" s="33">
        <v>52</v>
      </c>
      <c r="G657" s="33">
        <v>8</v>
      </c>
      <c r="H657" s="34"/>
      <c r="I657" s="34"/>
      <c r="J657" s="34"/>
    </row>
    <row r="658" spans="1:10">
      <c r="A658" s="33">
        <v>34080</v>
      </c>
      <c r="B658" s="33">
        <v>3408</v>
      </c>
      <c r="C658" s="34" t="b">
        <v>1</v>
      </c>
      <c r="D658" s="34">
        <v>1</v>
      </c>
      <c r="E658" s="34" t="s">
        <v>3264</v>
      </c>
      <c r="F658" s="33">
        <v>52</v>
      </c>
      <c r="G658" s="33">
        <v>8</v>
      </c>
      <c r="H658" s="34"/>
      <c r="I658" s="34"/>
      <c r="J658" s="34"/>
    </row>
    <row r="659" spans="1:10">
      <c r="A659" s="33">
        <v>34090</v>
      </c>
      <c r="B659" s="33">
        <v>3409</v>
      </c>
      <c r="C659" s="34" t="b">
        <v>1</v>
      </c>
      <c r="D659" s="34">
        <v>1</v>
      </c>
      <c r="E659" s="34" t="s">
        <v>3264</v>
      </c>
      <c r="F659" s="33">
        <v>52</v>
      </c>
      <c r="G659" s="33">
        <v>8</v>
      </c>
      <c r="H659" s="34"/>
      <c r="I659" s="34"/>
      <c r="J659" s="34"/>
    </row>
    <row r="660" spans="1:10">
      <c r="A660" s="33">
        <v>34100</v>
      </c>
      <c r="B660" s="33">
        <v>3410</v>
      </c>
      <c r="C660" s="34" t="b">
        <v>1</v>
      </c>
      <c r="D660" s="34">
        <v>1</v>
      </c>
      <c r="E660" s="34" t="s">
        <v>3264</v>
      </c>
      <c r="F660" s="33">
        <v>52</v>
      </c>
      <c r="G660" s="33">
        <v>8</v>
      </c>
      <c r="H660" s="34"/>
      <c r="I660" s="34"/>
      <c r="J660" s="34"/>
    </row>
    <row r="661" spans="1:10">
      <c r="A661" s="33">
        <v>34110</v>
      </c>
      <c r="B661" s="33">
        <v>3411</v>
      </c>
      <c r="C661" s="34" t="b">
        <v>1</v>
      </c>
      <c r="D661" s="34">
        <v>1</v>
      </c>
      <c r="E661" s="34" t="s">
        <v>3264</v>
      </c>
      <c r="F661" s="33">
        <v>52</v>
      </c>
      <c r="G661" s="33">
        <v>8</v>
      </c>
      <c r="H661" s="34"/>
      <c r="I661" s="34"/>
      <c r="J661" s="34"/>
    </row>
    <row r="662" spans="1:10">
      <c r="A662" s="33">
        <v>34120</v>
      </c>
      <c r="B662" s="33">
        <v>3412</v>
      </c>
      <c r="C662" s="34" t="b">
        <v>1</v>
      </c>
      <c r="D662" s="34">
        <v>1</v>
      </c>
      <c r="E662" s="34" t="s">
        <v>3264</v>
      </c>
      <c r="F662" s="33">
        <v>52</v>
      </c>
      <c r="G662" s="33">
        <v>8</v>
      </c>
      <c r="H662" s="34"/>
      <c r="I662" s="34"/>
      <c r="J662" s="34"/>
    </row>
    <row r="663" spans="1:10">
      <c r="A663" s="33">
        <v>34130</v>
      </c>
      <c r="B663" s="33">
        <v>3413</v>
      </c>
      <c r="C663" s="34" t="b">
        <v>1</v>
      </c>
      <c r="D663" s="34">
        <v>1</v>
      </c>
      <c r="E663" s="34" t="s">
        <v>3264</v>
      </c>
      <c r="F663" s="33">
        <v>52</v>
      </c>
      <c r="G663" s="33">
        <v>8</v>
      </c>
      <c r="H663" s="34"/>
      <c r="I663" s="34"/>
      <c r="J663" s="34"/>
    </row>
    <row r="664" spans="1:10">
      <c r="A664" s="33">
        <v>34140</v>
      </c>
      <c r="B664" s="33">
        <v>3414</v>
      </c>
      <c r="C664" s="34" t="b">
        <v>1</v>
      </c>
      <c r="D664" s="34">
        <v>1</v>
      </c>
      <c r="E664" s="34" t="s">
        <v>3264</v>
      </c>
      <c r="F664" s="33">
        <v>52</v>
      </c>
      <c r="G664" s="33">
        <v>8</v>
      </c>
      <c r="H664" s="34"/>
      <c r="I664" s="34"/>
      <c r="J664" s="34"/>
    </row>
    <row r="665" spans="1:10">
      <c r="A665" s="33">
        <v>34150</v>
      </c>
      <c r="B665" s="33">
        <v>3415</v>
      </c>
      <c r="C665" s="34" t="b">
        <v>1</v>
      </c>
      <c r="D665" s="34">
        <v>1</v>
      </c>
      <c r="E665" s="34" t="s">
        <v>3264</v>
      </c>
      <c r="F665" s="33">
        <v>52</v>
      </c>
      <c r="G665" s="33">
        <v>8</v>
      </c>
      <c r="H665" s="34"/>
      <c r="I665" s="34"/>
      <c r="J665" s="34"/>
    </row>
    <row r="666" spans="1:10">
      <c r="A666" s="33">
        <v>34160</v>
      </c>
      <c r="B666" s="33">
        <v>3416</v>
      </c>
      <c r="C666" s="34" t="b">
        <v>1</v>
      </c>
      <c r="D666" s="34">
        <v>1</v>
      </c>
      <c r="E666" s="34" t="s">
        <v>3264</v>
      </c>
      <c r="F666" s="33">
        <v>52</v>
      </c>
      <c r="G666" s="33">
        <v>8</v>
      </c>
      <c r="H666" s="34"/>
      <c r="I666" s="34"/>
      <c r="J666" s="34"/>
    </row>
    <row r="667" spans="1:10">
      <c r="A667" s="33">
        <v>34170</v>
      </c>
      <c r="B667" s="33">
        <v>3417</v>
      </c>
      <c r="C667" s="34" t="b">
        <v>1</v>
      </c>
      <c r="D667" s="34">
        <v>1</v>
      </c>
      <c r="E667" s="34" t="s">
        <v>3264</v>
      </c>
      <c r="F667" s="33">
        <v>52</v>
      </c>
      <c r="G667" s="33">
        <v>8</v>
      </c>
      <c r="H667" s="34"/>
      <c r="I667" s="34"/>
      <c r="J667" s="34"/>
    </row>
    <row r="668" spans="1:10">
      <c r="A668" s="33">
        <v>34180</v>
      </c>
      <c r="B668" s="33">
        <v>3418</v>
      </c>
      <c r="C668" s="34" t="b">
        <v>1</v>
      </c>
      <c r="D668" s="34">
        <v>1</v>
      </c>
      <c r="E668" s="34" t="s">
        <v>3264</v>
      </c>
      <c r="F668" s="33">
        <v>52</v>
      </c>
      <c r="G668" s="33">
        <v>8</v>
      </c>
      <c r="H668" s="34"/>
      <c r="I668" s="34"/>
      <c r="J668" s="34"/>
    </row>
    <row r="669" spans="1:10">
      <c r="A669" s="33">
        <v>34190</v>
      </c>
      <c r="B669" s="33">
        <v>3419</v>
      </c>
      <c r="C669" s="34" t="b">
        <v>1</v>
      </c>
      <c r="D669" s="34">
        <v>1</v>
      </c>
      <c r="E669" s="34" t="s">
        <v>3264</v>
      </c>
      <c r="F669" s="33">
        <v>52</v>
      </c>
      <c r="G669" s="33">
        <v>8</v>
      </c>
      <c r="H669" s="34"/>
      <c r="I669" s="34"/>
      <c r="J669" s="34"/>
    </row>
    <row r="670" spans="1:10">
      <c r="A670" s="33">
        <v>34200</v>
      </c>
      <c r="B670" s="33">
        <v>3420</v>
      </c>
      <c r="C670" s="34" t="b">
        <v>1</v>
      </c>
      <c r="D670" s="34">
        <v>1</v>
      </c>
      <c r="E670" s="34" t="s">
        <v>3264</v>
      </c>
      <c r="F670" s="33">
        <v>52</v>
      </c>
      <c r="G670" s="33">
        <v>8</v>
      </c>
      <c r="H670" s="34"/>
      <c r="I670" s="34"/>
      <c r="J670" s="34"/>
    </row>
    <row r="671" spans="1:10">
      <c r="A671" s="33">
        <v>34210</v>
      </c>
      <c r="B671" s="33">
        <v>3421</v>
      </c>
      <c r="C671" s="34" t="b">
        <v>1</v>
      </c>
      <c r="D671" s="34">
        <v>1</v>
      </c>
      <c r="E671" s="34" t="s">
        <v>3264</v>
      </c>
      <c r="F671" s="33">
        <v>52</v>
      </c>
      <c r="G671" s="33">
        <v>8</v>
      </c>
      <c r="H671" s="34"/>
      <c r="I671" s="34"/>
      <c r="J671" s="34"/>
    </row>
    <row r="672" spans="1:10">
      <c r="A672" s="33">
        <v>34220</v>
      </c>
      <c r="B672" s="33">
        <v>3422</v>
      </c>
      <c r="C672" s="34" t="b">
        <v>1</v>
      </c>
      <c r="D672" s="34">
        <v>1</v>
      </c>
      <c r="E672" s="34" t="s">
        <v>3264</v>
      </c>
      <c r="F672" s="33">
        <v>52</v>
      </c>
      <c r="G672" s="33">
        <v>8</v>
      </c>
      <c r="H672" s="34"/>
      <c r="I672" s="34"/>
      <c r="J672" s="34"/>
    </row>
    <row r="673" spans="1:10">
      <c r="A673" s="33">
        <v>34230</v>
      </c>
      <c r="B673" s="33">
        <v>3423</v>
      </c>
      <c r="C673" s="34" t="b">
        <v>1</v>
      </c>
      <c r="D673" s="34">
        <v>1</v>
      </c>
      <c r="E673" s="34" t="s">
        <v>3264</v>
      </c>
      <c r="F673" s="33">
        <v>52</v>
      </c>
      <c r="G673" s="33">
        <v>8</v>
      </c>
      <c r="H673" s="34"/>
      <c r="I673" s="34"/>
      <c r="J673" s="34"/>
    </row>
    <row r="674" spans="1:10">
      <c r="A674" s="33">
        <v>34240</v>
      </c>
      <c r="B674" s="33">
        <v>3424</v>
      </c>
      <c r="C674" s="34" t="b">
        <v>1</v>
      </c>
      <c r="D674" s="34">
        <v>1</v>
      </c>
      <c r="E674" s="34" t="s">
        <v>3264</v>
      </c>
      <c r="F674" s="33">
        <v>52</v>
      </c>
      <c r="G674" s="33">
        <v>8</v>
      </c>
      <c r="H674" s="34"/>
      <c r="I674" s="34"/>
      <c r="J674" s="34"/>
    </row>
    <row r="675" spans="1:10">
      <c r="A675" s="33">
        <v>34250</v>
      </c>
      <c r="B675" s="33">
        <v>3425</v>
      </c>
      <c r="C675" s="34" t="b">
        <v>1</v>
      </c>
      <c r="D675" s="34">
        <v>1</v>
      </c>
      <c r="E675" s="34" t="s">
        <v>3264</v>
      </c>
      <c r="F675" s="33">
        <v>52</v>
      </c>
      <c r="G675" s="33">
        <v>8</v>
      </c>
      <c r="H675" s="34"/>
      <c r="I675" s="34"/>
      <c r="J675" s="34"/>
    </row>
    <row r="676" spans="1:10">
      <c r="A676" s="33">
        <v>34260</v>
      </c>
      <c r="B676" s="33">
        <v>3426</v>
      </c>
      <c r="C676" s="34" t="b">
        <v>1</v>
      </c>
      <c r="D676" s="34">
        <v>1</v>
      </c>
      <c r="E676" s="34" t="s">
        <v>3264</v>
      </c>
      <c r="F676" s="33">
        <v>52</v>
      </c>
      <c r="G676" s="33">
        <v>8</v>
      </c>
      <c r="H676" s="34"/>
      <c r="I676" s="34"/>
      <c r="J676" s="34"/>
    </row>
    <row r="677" spans="1:10">
      <c r="A677" s="33">
        <v>34270</v>
      </c>
      <c r="B677" s="33">
        <v>3427</v>
      </c>
      <c r="C677" s="34" t="b">
        <v>1</v>
      </c>
      <c r="D677" s="34">
        <v>1</v>
      </c>
      <c r="E677" s="34" t="s">
        <v>3264</v>
      </c>
      <c r="F677" s="33">
        <v>52</v>
      </c>
      <c r="G677" s="33">
        <v>8</v>
      </c>
      <c r="H677" s="34"/>
      <c r="I677" s="34"/>
      <c r="J677" s="34"/>
    </row>
    <row r="678" spans="1:10">
      <c r="A678" s="33">
        <v>34280</v>
      </c>
      <c r="B678" s="33">
        <v>3428</v>
      </c>
      <c r="C678" s="34" t="b">
        <v>1</v>
      </c>
      <c r="D678" s="34">
        <v>1</v>
      </c>
      <c r="E678" s="34" t="s">
        <v>3264</v>
      </c>
      <c r="F678" s="33">
        <v>52</v>
      </c>
      <c r="G678" s="33">
        <v>8</v>
      </c>
      <c r="H678" s="34"/>
      <c r="I678" s="34"/>
      <c r="J678" s="34"/>
    </row>
    <row r="679" spans="1:10">
      <c r="A679" s="33">
        <v>34290</v>
      </c>
      <c r="B679" s="33">
        <v>3429</v>
      </c>
      <c r="C679" s="34" t="b">
        <v>1</v>
      </c>
      <c r="D679" s="34">
        <v>1</v>
      </c>
      <c r="E679" s="34" t="s">
        <v>3264</v>
      </c>
      <c r="F679" s="33">
        <v>52</v>
      </c>
      <c r="G679" s="33">
        <v>8</v>
      </c>
      <c r="H679" s="34"/>
      <c r="I679" s="34"/>
      <c r="J679" s="34"/>
    </row>
    <row r="680" spans="1:10">
      <c r="A680" s="33">
        <v>34300</v>
      </c>
      <c r="B680" s="33">
        <v>3430</v>
      </c>
      <c r="C680" s="34" t="b">
        <v>1</v>
      </c>
      <c r="D680" s="34">
        <v>1</v>
      </c>
      <c r="E680" s="34" t="s">
        <v>3264</v>
      </c>
      <c r="F680" s="33">
        <v>52</v>
      </c>
      <c r="G680" s="33">
        <v>8</v>
      </c>
      <c r="H680" s="34"/>
      <c r="I680" s="34"/>
      <c r="J680" s="34"/>
    </row>
    <row r="681" spans="1:10">
      <c r="A681" s="33">
        <v>34310</v>
      </c>
      <c r="B681" s="33">
        <v>3431</v>
      </c>
      <c r="C681" s="34" t="b">
        <v>1</v>
      </c>
      <c r="D681" s="34">
        <v>1</v>
      </c>
      <c r="E681" s="34" t="s">
        <v>3264</v>
      </c>
      <c r="F681" s="33">
        <v>52</v>
      </c>
      <c r="G681" s="33">
        <v>8</v>
      </c>
      <c r="H681" s="34"/>
      <c r="I681" s="34"/>
      <c r="J681" s="34"/>
    </row>
    <row r="682" spans="1:10">
      <c r="A682" s="33">
        <v>34320</v>
      </c>
      <c r="B682" s="33">
        <v>3432</v>
      </c>
      <c r="C682" s="34" t="b">
        <v>1</v>
      </c>
      <c r="D682" s="34">
        <v>1</v>
      </c>
      <c r="E682" s="34" t="s">
        <v>3264</v>
      </c>
      <c r="F682" s="33">
        <v>52</v>
      </c>
      <c r="G682" s="33">
        <v>8</v>
      </c>
      <c r="H682" s="34"/>
      <c r="I682" s="34"/>
      <c r="J682" s="34"/>
    </row>
    <row r="683" spans="1:10">
      <c r="A683" s="33">
        <v>34330</v>
      </c>
      <c r="B683" s="33">
        <v>3433</v>
      </c>
      <c r="C683" s="34" t="b">
        <v>1</v>
      </c>
      <c r="D683" s="34">
        <v>1</v>
      </c>
      <c r="E683" s="34" t="s">
        <v>3264</v>
      </c>
      <c r="F683" s="33">
        <v>52</v>
      </c>
      <c r="G683" s="33">
        <v>8</v>
      </c>
      <c r="H683" s="34"/>
      <c r="I683" s="34"/>
      <c r="J683" s="34"/>
    </row>
    <row r="684" spans="1:10">
      <c r="A684" s="33">
        <v>34340</v>
      </c>
      <c r="B684" s="33">
        <v>3434</v>
      </c>
      <c r="C684" s="34" t="b">
        <v>1</v>
      </c>
      <c r="D684" s="34">
        <v>1</v>
      </c>
      <c r="E684" s="34" t="s">
        <v>3264</v>
      </c>
      <c r="F684" s="33">
        <v>52</v>
      </c>
      <c r="G684" s="33">
        <v>8</v>
      </c>
      <c r="H684" s="34"/>
      <c r="I684" s="34"/>
      <c r="J684" s="34"/>
    </row>
    <row r="685" spans="1:10">
      <c r="A685" s="33">
        <v>34350</v>
      </c>
      <c r="B685" s="33">
        <v>3435</v>
      </c>
      <c r="C685" s="34" t="b">
        <v>1</v>
      </c>
      <c r="D685" s="34">
        <v>1</v>
      </c>
      <c r="E685" s="34" t="s">
        <v>3264</v>
      </c>
      <c r="F685" s="33">
        <v>52</v>
      </c>
      <c r="G685" s="33">
        <v>8</v>
      </c>
      <c r="H685" s="34"/>
      <c r="I685" s="34"/>
      <c r="J685" s="34"/>
    </row>
    <row r="686" spans="1:10">
      <c r="A686" s="33">
        <v>34360</v>
      </c>
      <c r="B686" s="33">
        <v>3436</v>
      </c>
      <c r="C686" s="34" t="b">
        <v>1</v>
      </c>
      <c r="D686" s="34">
        <v>1</v>
      </c>
      <c r="E686" s="34" t="s">
        <v>3264</v>
      </c>
      <c r="F686" s="33">
        <v>52</v>
      </c>
      <c r="G686" s="33">
        <v>8</v>
      </c>
      <c r="H686" s="34"/>
      <c r="I686" s="34"/>
      <c r="J686" s="34"/>
    </row>
    <row r="687" spans="1:10">
      <c r="A687" s="33">
        <v>34370</v>
      </c>
      <c r="B687" s="33">
        <v>3437</v>
      </c>
      <c r="C687" s="34" t="b">
        <v>1</v>
      </c>
      <c r="D687" s="34">
        <v>1</v>
      </c>
      <c r="E687" s="34" t="s">
        <v>3264</v>
      </c>
      <c r="F687" s="33">
        <v>52</v>
      </c>
      <c r="G687" s="33">
        <v>8</v>
      </c>
      <c r="H687" s="34"/>
      <c r="I687" s="34"/>
      <c r="J687" s="34"/>
    </row>
    <row r="688" spans="1:10">
      <c r="A688" s="33">
        <v>34380</v>
      </c>
      <c r="B688" s="33">
        <v>3438</v>
      </c>
      <c r="C688" s="34" t="b">
        <v>1</v>
      </c>
      <c r="D688" s="34">
        <v>1</v>
      </c>
      <c r="E688" s="34" t="s">
        <v>3264</v>
      </c>
      <c r="F688" s="33">
        <v>52</v>
      </c>
      <c r="G688" s="33">
        <v>8</v>
      </c>
      <c r="H688" s="34"/>
      <c r="I688" s="34"/>
      <c r="J688" s="34"/>
    </row>
    <row r="689" spans="1:10">
      <c r="A689" s="33">
        <v>34390</v>
      </c>
      <c r="B689" s="33">
        <v>3439</v>
      </c>
      <c r="C689" s="34" t="b">
        <v>1</v>
      </c>
      <c r="D689" s="34">
        <v>1</v>
      </c>
      <c r="E689" s="34" t="s">
        <v>3264</v>
      </c>
      <c r="F689" s="33">
        <v>52</v>
      </c>
      <c r="G689" s="33">
        <v>8</v>
      </c>
      <c r="H689" s="34"/>
      <c r="I689" s="34"/>
      <c r="J689" s="34"/>
    </row>
    <row r="690" spans="1:10">
      <c r="A690" s="33">
        <v>34400</v>
      </c>
      <c r="B690" s="33">
        <v>3440</v>
      </c>
      <c r="C690" s="34" t="b">
        <v>1</v>
      </c>
      <c r="D690" s="34">
        <v>1</v>
      </c>
      <c r="E690" s="34" t="s">
        <v>3264</v>
      </c>
      <c r="F690" s="33">
        <v>52</v>
      </c>
      <c r="G690" s="33">
        <v>8</v>
      </c>
      <c r="H690" s="34"/>
      <c r="I690" s="34"/>
      <c r="J690" s="34"/>
    </row>
    <row r="691" spans="1:10">
      <c r="A691" s="33">
        <v>34410</v>
      </c>
      <c r="B691" s="33">
        <v>3441</v>
      </c>
      <c r="C691" s="34" t="b">
        <v>1</v>
      </c>
      <c r="D691" s="34">
        <v>1</v>
      </c>
      <c r="E691" s="34" t="s">
        <v>3264</v>
      </c>
      <c r="F691" s="33">
        <v>52</v>
      </c>
      <c r="G691" s="33">
        <v>8</v>
      </c>
      <c r="H691" s="34"/>
      <c r="I691" s="34"/>
      <c r="J691" s="34"/>
    </row>
    <row r="692" spans="1:10">
      <c r="A692" s="33">
        <v>34420</v>
      </c>
      <c r="B692" s="33">
        <v>3442</v>
      </c>
      <c r="C692" s="34" t="b">
        <v>1</v>
      </c>
      <c r="D692" s="34">
        <v>1</v>
      </c>
      <c r="E692" s="34" t="s">
        <v>3264</v>
      </c>
      <c r="F692" s="33">
        <v>52</v>
      </c>
      <c r="G692" s="33">
        <v>8</v>
      </c>
      <c r="H692" s="34"/>
      <c r="I692" s="34"/>
      <c r="J692" s="34"/>
    </row>
    <row r="693" spans="1:10">
      <c r="A693" s="33">
        <v>34430</v>
      </c>
      <c r="B693" s="33">
        <v>3443</v>
      </c>
      <c r="C693" s="34" t="b">
        <v>1</v>
      </c>
      <c r="D693" s="34">
        <v>1</v>
      </c>
      <c r="E693" s="34" t="s">
        <v>3264</v>
      </c>
      <c r="F693" s="33">
        <v>52</v>
      </c>
      <c r="G693" s="33">
        <v>8</v>
      </c>
      <c r="H693" s="34"/>
      <c r="I693" s="34"/>
      <c r="J693" s="34"/>
    </row>
    <row r="694" spans="1:10">
      <c r="A694" s="33">
        <v>34440</v>
      </c>
      <c r="B694" s="33">
        <v>3444</v>
      </c>
      <c r="C694" s="34" t="b">
        <v>1</v>
      </c>
      <c r="D694" s="34">
        <v>1</v>
      </c>
      <c r="E694" s="34" t="s">
        <v>3264</v>
      </c>
      <c r="F694" s="33">
        <v>52</v>
      </c>
      <c r="G694" s="33">
        <v>8</v>
      </c>
      <c r="H694" s="34"/>
      <c r="I694" s="34"/>
      <c r="J694" s="34"/>
    </row>
    <row r="695" spans="1:10">
      <c r="A695" s="33">
        <v>34450</v>
      </c>
      <c r="B695" s="33">
        <v>3445</v>
      </c>
      <c r="C695" s="34" t="b">
        <v>1</v>
      </c>
      <c r="D695" s="34">
        <v>1</v>
      </c>
      <c r="E695" s="34" t="s">
        <v>3264</v>
      </c>
      <c r="F695" s="33">
        <v>52</v>
      </c>
      <c r="G695" s="33">
        <v>8</v>
      </c>
      <c r="H695" s="34"/>
      <c r="I695" s="34"/>
      <c r="J695" s="34"/>
    </row>
    <row r="696" spans="1:10">
      <c r="A696" s="33">
        <v>34460</v>
      </c>
      <c r="B696" s="33">
        <v>3446</v>
      </c>
      <c r="C696" s="34" t="b">
        <v>1</v>
      </c>
      <c r="D696" s="34">
        <v>1</v>
      </c>
      <c r="E696" s="34" t="s">
        <v>3264</v>
      </c>
      <c r="F696" s="33">
        <v>52</v>
      </c>
      <c r="G696" s="33">
        <v>8</v>
      </c>
      <c r="H696" s="34"/>
      <c r="I696" s="34"/>
      <c r="J696" s="34"/>
    </row>
    <row r="697" spans="1:10">
      <c r="A697" s="33">
        <v>34470</v>
      </c>
      <c r="B697" s="33">
        <v>3447</v>
      </c>
      <c r="C697" s="34" t="b">
        <v>1</v>
      </c>
      <c r="D697" s="34">
        <v>1</v>
      </c>
      <c r="E697" s="34" t="s">
        <v>3264</v>
      </c>
      <c r="F697" s="33">
        <v>52</v>
      </c>
      <c r="G697" s="33">
        <v>8</v>
      </c>
      <c r="H697" s="34"/>
      <c r="I697" s="34"/>
      <c r="J697" s="34"/>
    </row>
    <row r="698" spans="1:10">
      <c r="A698" s="33">
        <v>34480</v>
      </c>
      <c r="B698" s="33">
        <v>3448</v>
      </c>
      <c r="C698" s="34" t="b">
        <v>1</v>
      </c>
      <c r="D698" s="34">
        <v>1</v>
      </c>
      <c r="E698" s="34" t="s">
        <v>3264</v>
      </c>
      <c r="F698" s="33">
        <v>52</v>
      </c>
      <c r="G698" s="33">
        <v>8</v>
      </c>
      <c r="H698" s="34"/>
      <c r="I698" s="34"/>
      <c r="J698" s="34"/>
    </row>
    <row r="699" spans="1:10">
      <c r="A699" s="33">
        <v>34490</v>
      </c>
      <c r="B699" s="33">
        <v>3449</v>
      </c>
      <c r="C699" s="34" t="b">
        <v>1</v>
      </c>
      <c r="D699" s="34">
        <v>1</v>
      </c>
      <c r="E699" s="34" t="s">
        <v>3264</v>
      </c>
      <c r="F699" s="33">
        <v>52</v>
      </c>
      <c r="G699" s="33">
        <v>8</v>
      </c>
      <c r="H699" s="34"/>
      <c r="I699" s="34"/>
      <c r="J699" s="34"/>
    </row>
    <row r="700" spans="1:10">
      <c r="A700" s="33">
        <v>34500</v>
      </c>
      <c r="B700" s="33">
        <v>3450</v>
      </c>
      <c r="C700" s="34" t="b">
        <v>1</v>
      </c>
      <c r="D700" s="34">
        <v>1</v>
      </c>
      <c r="E700" s="34" t="s">
        <v>3264</v>
      </c>
      <c r="F700" s="33">
        <v>52</v>
      </c>
      <c r="G700" s="33">
        <v>8</v>
      </c>
      <c r="H700" s="34"/>
      <c r="I700" s="34"/>
      <c r="J700" s="34"/>
    </row>
    <row r="701" spans="1:10">
      <c r="A701" s="33">
        <v>34510</v>
      </c>
      <c r="B701" s="33">
        <v>3451</v>
      </c>
      <c r="C701" s="34" t="b">
        <v>1</v>
      </c>
      <c r="D701" s="34">
        <v>1</v>
      </c>
      <c r="E701" s="34" t="s">
        <v>3264</v>
      </c>
      <c r="F701" s="33">
        <v>52</v>
      </c>
      <c r="G701" s="33">
        <v>8</v>
      </c>
      <c r="H701" s="34"/>
      <c r="I701" s="34"/>
      <c r="J701" s="34"/>
    </row>
    <row r="702" spans="1:10">
      <c r="A702" s="33">
        <v>34520</v>
      </c>
      <c r="B702" s="33">
        <v>3452</v>
      </c>
      <c r="C702" s="34" t="b">
        <v>1</v>
      </c>
      <c r="D702" s="34">
        <v>1</v>
      </c>
      <c r="E702" s="34" t="s">
        <v>3264</v>
      </c>
      <c r="F702" s="33">
        <v>52</v>
      </c>
      <c r="G702" s="33">
        <v>8</v>
      </c>
      <c r="H702" s="34"/>
      <c r="I702" s="34"/>
      <c r="J702" s="34"/>
    </row>
    <row r="703" spans="1:10">
      <c r="A703" s="33">
        <v>34530</v>
      </c>
      <c r="B703" s="33">
        <v>3453</v>
      </c>
      <c r="C703" s="34" t="b">
        <v>1</v>
      </c>
      <c r="D703" s="34">
        <v>1</v>
      </c>
      <c r="E703" s="34" t="s">
        <v>3264</v>
      </c>
      <c r="F703" s="33">
        <v>52</v>
      </c>
      <c r="G703" s="33">
        <v>8</v>
      </c>
      <c r="H703" s="34"/>
      <c r="I703" s="34"/>
      <c r="J703" s="34"/>
    </row>
    <row r="704" spans="1:10">
      <c r="A704" s="33">
        <v>34540</v>
      </c>
      <c r="B704" s="33">
        <v>3454</v>
      </c>
      <c r="C704" s="34" t="b">
        <v>1</v>
      </c>
      <c r="D704" s="34">
        <v>1</v>
      </c>
      <c r="E704" s="34" t="s">
        <v>3264</v>
      </c>
      <c r="F704" s="33">
        <v>52</v>
      </c>
      <c r="G704" s="33">
        <v>8</v>
      </c>
      <c r="H704" s="34"/>
      <c r="I704" s="34"/>
      <c r="J704" s="34"/>
    </row>
    <row r="705" spans="1:10">
      <c r="A705" s="33">
        <v>34550</v>
      </c>
      <c r="B705" s="33">
        <v>3455</v>
      </c>
      <c r="C705" s="34" t="b">
        <v>1</v>
      </c>
      <c r="D705" s="34">
        <v>1</v>
      </c>
      <c r="E705" s="34" t="s">
        <v>3264</v>
      </c>
      <c r="F705" s="33">
        <v>52</v>
      </c>
      <c r="G705" s="33">
        <v>8</v>
      </c>
      <c r="H705" s="34"/>
      <c r="I705" s="34"/>
      <c r="J705" s="34"/>
    </row>
    <row r="706" spans="1:10">
      <c r="A706" s="33">
        <v>34560</v>
      </c>
      <c r="B706" s="33">
        <v>3456</v>
      </c>
      <c r="C706" s="34" t="b">
        <v>1</v>
      </c>
      <c r="D706" s="34">
        <v>1</v>
      </c>
      <c r="E706" s="34" t="s">
        <v>3264</v>
      </c>
      <c r="F706" s="33">
        <v>52</v>
      </c>
      <c r="G706" s="33">
        <v>8</v>
      </c>
      <c r="H706" s="34"/>
      <c r="I706" s="34"/>
      <c r="J706" s="34"/>
    </row>
    <row r="707" spans="1:10">
      <c r="A707" s="33">
        <v>34570</v>
      </c>
      <c r="B707" s="33">
        <v>3457</v>
      </c>
      <c r="C707" s="34" t="b">
        <v>1</v>
      </c>
      <c r="D707" s="34">
        <v>1</v>
      </c>
      <c r="E707" s="34" t="s">
        <v>3264</v>
      </c>
      <c r="F707" s="33">
        <v>52</v>
      </c>
      <c r="G707" s="33">
        <v>8</v>
      </c>
      <c r="H707" s="34"/>
      <c r="I707" s="34"/>
      <c r="J707" s="34"/>
    </row>
    <row r="708" spans="1:10">
      <c r="A708" s="33">
        <v>34580</v>
      </c>
      <c r="B708" s="33">
        <v>3458</v>
      </c>
      <c r="C708" s="34" t="b">
        <v>1</v>
      </c>
      <c r="D708" s="34">
        <v>1</v>
      </c>
      <c r="E708" s="34" t="s">
        <v>3264</v>
      </c>
      <c r="F708" s="33">
        <v>52</v>
      </c>
      <c r="G708" s="33">
        <v>8</v>
      </c>
      <c r="H708" s="34"/>
      <c r="I708" s="34"/>
      <c r="J708" s="34"/>
    </row>
    <row r="709" spans="1:10">
      <c r="A709" s="33">
        <v>34590</v>
      </c>
      <c r="B709" s="33">
        <v>3459</v>
      </c>
      <c r="C709" s="34" t="b">
        <v>1</v>
      </c>
      <c r="D709" s="34">
        <v>1</v>
      </c>
      <c r="E709" s="34" t="s">
        <v>3264</v>
      </c>
      <c r="F709" s="33">
        <v>52</v>
      </c>
      <c r="G709" s="33">
        <v>8</v>
      </c>
      <c r="H709" s="34"/>
      <c r="I709" s="34"/>
      <c r="J709" s="34"/>
    </row>
    <row r="710" spans="1:10">
      <c r="A710" s="33">
        <v>34600</v>
      </c>
      <c r="B710" s="33">
        <v>3460</v>
      </c>
      <c r="C710" s="34" t="b">
        <v>1</v>
      </c>
      <c r="D710" s="34">
        <v>1</v>
      </c>
      <c r="E710" s="34" t="s">
        <v>3264</v>
      </c>
      <c r="F710" s="33">
        <v>52</v>
      </c>
      <c r="G710" s="33">
        <v>8</v>
      </c>
      <c r="H710" s="34"/>
      <c r="I710" s="34"/>
      <c r="J710" s="34"/>
    </row>
    <row r="711" spans="1:10">
      <c r="A711" s="33">
        <v>34610</v>
      </c>
      <c r="B711" s="33">
        <v>3461</v>
      </c>
      <c r="C711" s="34" t="b">
        <v>1</v>
      </c>
      <c r="D711" s="34">
        <v>1</v>
      </c>
      <c r="E711" s="34" t="s">
        <v>3264</v>
      </c>
      <c r="F711" s="33">
        <v>52</v>
      </c>
      <c r="G711" s="33">
        <v>8</v>
      </c>
      <c r="H711" s="34"/>
      <c r="I711" s="34"/>
      <c r="J711" s="34"/>
    </row>
    <row r="712" spans="1:10">
      <c r="A712" s="33">
        <v>34620</v>
      </c>
      <c r="B712" s="33">
        <v>3462</v>
      </c>
      <c r="C712" s="34" t="b">
        <v>1</v>
      </c>
      <c r="D712" s="34">
        <v>1</v>
      </c>
      <c r="E712" s="34" t="s">
        <v>3264</v>
      </c>
      <c r="F712" s="33">
        <v>52</v>
      </c>
      <c r="G712" s="33">
        <v>8</v>
      </c>
      <c r="H712" s="34"/>
      <c r="I712" s="34"/>
      <c r="J712" s="34"/>
    </row>
    <row r="713" spans="1:10">
      <c r="A713" s="33">
        <v>34630</v>
      </c>
      <c r="B713" s="33">
        <v>3463</v>
      </c>
      <c r="C713" s="34" t="b">
        <v>1</v>
      </c>
      <c r="D713" s="34">
        <v>1</v>
      </c>
      <c r="E713" s="34" t="s">
        <v>3264</v>
      </c>
      <c r="F713" s="33">
        <v>52</v>
      </c>
      <c r="G713" s="33">
        <v>8</v>
      </c>
      <c r="H713" s="34"/>
      <c r="I713" s="34"/>
      <c r="J713" s="34"/>
    </row>
    <row r="714" spans="1:10">
      <c r="A714" s="33">
        <v>34640</v>
      </c>
      <c r="B714" s="33">
        <v>3464</v>
      </c>
      <c r="C714" s="34" t="b">
        <v>1</v>
      </c>
      <c r="D714" s="34">
        <v>1</v>
      </c>
      <c r="E714" s="34" t="s">
        <v>3264</v>
      </c>
      <c r="F714" s="33">
        <v>52</v>
      </c>
      <c r="G714" s="33">
        <v>8</v>
      </c>
      <c r="H714" s="34"/>
      <c r="I714" s="34"/>
      <c r="J714" s="34"/>
    </row>
    <row r="715" spans="1:10">
      <c r="A715" s="33">
        <v>34650</v>
      </c>
      <c r="B715" s="33">
        <v>3465</v>
      </c>
      <c r="C715" s="34" t="b">
        <v>1</v>
      </c>
      <c r="D715" s="34">
        <v>1</v>
      </c>
      <c r="E715" s="34" t="s">
        <v>3264</v>
      </c>
      <c r="F715" s="33">
        <v>52</v>
      </c>
      <c r="G715" s="33">
        <v>8</v>
      </c>
      <c r="H715" s="34"/>
      <c r="I715" s="34"/>
      <c r="J715" s="34"/>
    </row>
    <row r="716" spans="1:10">
      <c r="A716" s="33">
        <v>34660</v>
      </c>
      <c r="B716" s="33">
        <v>3466</v>
      </c>
      <c r="C716" s="34" t="b">
        <v>1</v>
      </c>
      <c r="D716" s="34">
        <v>1</v>
      </c>
      <c r="E716" s="34" t="s">
        <v>3264</v>
      </c>
      <c r="F716" s="33">
        <v>52</v>
      </c>
      <c r="G716" s="33">
        <v>8</v>
      </c>
      <c r="H716" s="34"/>
      <c r="I716" s="34"/>
      <c r="J716" s="34"/>
    </row>
    <row r="717" spans="1:10">
      <c r="A717" s="33">
        <v>34670</v>
      </c>
      <c r="B717" s="33">
        <v>3467</v>
      </c>
      <c r="C717" s="34" t="b">
        <v>1</v>
      </c>
      <c r="D717" s="34">
        <v>1</v>
      </c>
      <c r="E717" s="34" t="s">
        <v>3264</v>
      </c>
      <c r="F717" s="33">
        <v>52</v>
      </c>
      <c r="G717" s="33">
        <v>8</v>
      </c>
      <c r="H717" s="34"/>
      <c r="I717" s="34"/>
      <c r="J717" s="34"/>
    </row>
    <row r="718" spans="1:10">
      <c r="A718" s="33">
        <v>34680</v>
      </c>
      <c r="B718" s="33">
        <v>3468</v>
      </c>
      <c r="C718" s="34" t="b">
        <v>1</v>
      </c>
      <c r="D718" s="34">
        <v>1</v>
      </c>
      <c r="E718" s="34" t="s">
        <v>3264</v>
      </c>
      <c r="F718" s="33">
        <v>52</v>
      </c>
      <c r="G718" s="33">
        <v>8</v>
      </c>
      <c r="H718" s="34"/>
      <c r="I718" s="34"/>
      <c r="J718" s="34"/>
    </row>
    <row r="719" spans="1:10">
      <c r="A719" s="33">
        <v>34690</v>
      </c>
      <c r="B719" s="33">
        <v>3469</v>
      </c>
      <c r="C719" s="34" t="b">
        <v>1</v>
      </c>
      <c r="D719" s="34">
        <v>1</v>
      </c>
      <c r="E719" s="34" t="s">
        <v>3264</v>
      </c>
      <c r="F719" s="33">
        <v>52</v>
      </c>
      <c r="G719" s="33">
        <v>8</v>
      </c>
      <c r="H719" s="34"/>
      <c r="I719" s="34"/>
      <c r="J719" s="34"/>
    </row>
    <row r="720" spans="1:10">
      <c r="A720" s="33">
        <v>34700</v>
      </c>
      <c r="B720" s="33">
        <v>3470</v>
      </c>
      <c r="C720" s="34" t="b">
        <v>1</v>
      </c>
      <c r="D720" s="34">
        <v>1</v>
      </c>
      <c r="E720" s="34" t="s">
        <v>3264</v>
      </c>
      <c r="F720" s="33">
        <v>52</v>
      </c>
      <c r="G720" s="33">
        <v>8</v>
      </c>
      <c r="H720" s="34"/>
      <c r="I720" s="34"/>
      <c r="J720" s="34"/>
    </row>
    <row r="721" spans="1:10">
      <c r="A721" s="33">
        <v>34710</v>
      </c>
      <c r="B721" s="33">
        <v>3471</v>
      </c>
      <c r="C721" s="34" t="b">
        <v>1</v>
      </c>
      <c r="D721" s="34">
        <v>1</v>
      </c>
      <c r="E721" s="34" t="s">
        <v>3264</v>
      </c>
      <c r="F721" s="33">
        <v>52</v>
      </c>
      <c r="G721" s="33">
        <v>8</v>
      </c>
      <c r="H721" s="34"/>
      <c r="I721" s="34"/>
      <c r="J721" s="34"/>
    </row>
    <row r="722" spans="1:10">
      <c r="A722" s="33">
        <v>34720</v>
      </c>
      <c r="B722" s="33">
        <v>3472</v>
      </c>
      <c r="C722" s="34" t="b">
        <v>1</v>
      </c>
      <c r="D722" s="34">
        <v>1</v>
      </c>
      <c r="E722" s="34" t="s">
        <v>3264</v>
      </c>
      <c r="F722" s="33">
        <v>52</v>
      </c>
      <c r="G722" s="33">
        <v>8</v>
      </c>
      <c r="H722" s="34"/>
      <c r="I722" s="34"/>
      <c r="J722" s="34"/>
    </row>
    <row r="723" spans="1:10">
      <c r="A723" s="33">
        <v>34730</v>
      </c>
      <c r="B723" s="33">
        <v>3473</v>
      </c>
      <c r="C723" s="34" t="b">
        <v>1</v>
      </c>
      <c r="D723" s="34">
        <v>1</v>
      </c>
      <c r="E723" s="34" t="s">
        <v>3264</v>
      </c>
      <c r="F723" s="33">
        <v>52</v>
      </c>
      <c r="G723" s="33">
        <v>8</v>
      </c>
      <c r="H723" s="34"/>
      <c r="I723" s="34"/>
      <c r="J723" s="34"/>
    </row>
    <row r="724" spans="1:10">
      <c r="A724" s="33">
        <v>34740</v>
      </c>
      <c r="B724" s="33">
        <v>3474</v>
      </c>
      <c r="C724" s="34" t="b">
        <v>1</v>
      </c>
      <c r="D724" s="34">
        <v>1</v>
      </c>
      <c r="E724" s="34" t="s">
        <v>3264</v>
      </c>
      <c r="F724" s="33">
        <v>52</v>
      </c>
      <c r="G724" s="33">
        <v>8</v>
      </c>
      <c r="H724" s="34"/>
      <c r="I724" s="34"/>
      <c r="J724" s="34"/>
    </row>
    <row r="725" spans="1:10">
      <c r="A725" s="33">
        <v>34750</v>
      </c>
      <c r="B725" s="33">
        <v>3475</v>
      </c>
      <c r="C725" s="34" t="b">
        <v>1</v>
      </c>
      <c r="D725" s="34">
        <v>1</v>
      </c>
      <c r="E725" s="34" t="s">
        <v>3264</v>
      </c>
      <c r="F725" s="33">
        <v>52</v>
      </c>
      <c r="G725" s="33">
        <v>8</v>
      </c>
      <c r="H725" s="34"/>
      <c r="I725" s="34"/>
      <c r="J725" s="34"/>
    </row>
    <row r="726" spans="1:10">
      <c r="A726" s="33">
        <v>34760</v>
      </c>
      <c r="B726" s="33">
        <v>3476</v>
      </c>
      <c r="C726" s="34" t="b">
        <v>1</v>
      </c>
      <c r="D726" s="34">
        <v>1</v>
      </c>
      <c r="E726" s="34" t="s">
        <v>3264</v>
      </c>
      <c r="F726" s="33">
        <v>52</v>
      </c>
      <c r="G726" s="33">
        <v>8</v>
      </c>
      <c r="H726" s="34"/>
      <c r="I726" s="34"/>
      <c r="J726" s="34"/>
    </row>
    <row r="727" spans="1:10">
      <c r="A727" s="33">
        <v>34770</v>
      </c>
      <c r="B727" s="33">
        <v>3477</v>
      </c>
      <c r="C727" s="34" t="b">
        <v>1</v>
      </c>
      <c r="D727" s="34">
        <v>1</v>
      </c>
      <c r="E727" s="34" t="s">
        <v>3264</v>
      </c>
      <c r="F727" s="33">
        <v>52</v>
      </c>
      <c r="G727" s="33">
        <v>8</v>
      </c>
      <c r="H727" s="34"/>
      <c r="I727" s="34"/>
      <c r="J727" s="34"/>
    </row>
    <row r="728" spans="1:10">
      <c r="A728" s="33">
        <v>34780</v>
      </c>
      <c r="B728" s="33">
        <v>3478</v>
      </c>
      <c r="C728" s="34" t="b">
        <v>1</v>
      </c>
      <c r="D728" s="34">
        <v>1</v>
      </c>
      <c r="E728" s="34" t="s">
        <v>3264</v>
      </c>
      <c r="F728" s="33">
        <v>52</v>
      </c>
      <c r="G728" s="33">
        <v>8</v>
      </c>
      <c r="H728" s="34"/>
      <c r="I728" s="34"/>
      <c r="J728" s="34"/>
    </row>
    <row r="729" spans="1:10">
      <c r="A729" s="33">
        <v>34790</v>
      </c>
      <c r="B729" s="33">
        <v>3479</v>
      </c>
      <c r="C729" s="34" t="b">
        <v>1</v>
      </c>
      <c r="D729" s="34">
        <v>1</v>
      </c>
      <c r="E729" s="34" t="s">
        <v>3264</v>
      </c>
      <c r="F729" s="33">
        <v>52</v>
      </c>
      <c r="G729" s="33">
        <v>8</v>
      </c>
      <c r="H729" s="34"/>
      <c r="I729" s="34"/>
      <c r="J729" s="34"/>
    </row>
    <row r="730" spans="1:10">
      <c r="A730" s="33">
        <v>34800</v>
      </c>
      <c r="B730" s="33">
        <v>3480</v>
      </c>
      <c r="C730" s="34" t="b">
        <v>1</v>
      </c>
      <c r="D730" s="34">
        <v>1</v>
      </c>
      <c r="E730" s="34" t="s">
        <v>3264</v>
      </c>
      <c r="F730" s="33">
        <v>52</v>
      </c>
      <c r="G730" s="33">
        <v>8</v>
      </c>
      <c r="H730" s="34"/>
      <c r="I730" s="34"/>
      <c r="J730" s="34"/>
    </row>
    <row r="731" spans="1:10">
      <c r="A731" s="33">
        <v>34810</v>
      </c>
      <c r="B731" s="33">
        <v>3481</v>
      </c>
      <c r="C731" s="34" t="b">
        <v>1</v>
      </c>
      <c r="D731" s="34">
        <v>1</v>
      </c>
      <c r="E731" s="34" t="s">
        <v>3264</v>
      </c>
      <c r="F731" s="33">
        <v>52</v>
      </c>
      <c r="G731" s="33">
        <v>8</v>
      </c>
      <c r="H731" s="34"/>
      <c r="I731" s="34"/>
      <c r="J731" s="34"/>
    </row>
    <row r="732" spans="1:10">
      <c r="A732" s="33">
        <v>34820</v>
      </c>
      <c r="B732" s="33">
        <v>3482</v>
      </c>
      <c r="C732" s="34" t="b">
        <v>1</v>
      </c>
      <c r="D732" s="34">
        <v>1</v>
      </c>
      <c r="E732" s="34" t="s">
        <v>3264</v>
      </c>
      <c r="F732" s="33">
        <v>52</v>
      </c>
      <c r="G732" s="33">
        <v>8</v>
      </c>
      <c r="H732" s="34"/>
      <c r="I732" s="34"/>
      <c r="J732" s="34"/>
    </row>
    <row r="733" spans="1:10">
      <c r="A733" s="33">
        <v>34830</v>
      </c>
      <c r="B733" s="33">
        <v>3483</v>
      </c>
      <c r="C733" s="34" t="b">
        <v>1</v>
      </c>
      <c r="D733" s="34">
        <v>1</v>
      </c>
      <c r="E733" s="34" t="s">
        <v>3264</v>
      </c>
      <c r="F733" s="33">
        <v>52</v>
      </c>
      <c r="G733" s="33">
        <v>8</v>
      </c>
      <c r="H733" s="34"/>
      <c r="I733" s="34"/>
      <c r="J733" s="34"/>
    </row>
    <row r="734" spans="1:10">
      <c r="A734" s="33">
        <v>34840</v>
      </c>
      <c r="B734" s="33">
        <v>3484</v>
      </c>
      <c r="C734" s="34" t="b">
        <v>1</v>
      </c>
      <c r="D734" s="34">
        <v>1</v>
      </c>
      <c r="E734" s="34" t="s">
        <v>3264</v>
      </c>
      <c r="F734" s="33">
        <v>52</v>
      </c>
      <c r="G734" s="33">
        <v>8</v>
      </c>
      <c r="H734" s="34"/>
      <c r="I734" s="34"/>
      <c r="J734" s="34"/>
    </row>
    <row r="735" spans="1:10">
      <c r="A735" s="33">
        <v>34850</v>
      </c>
      <c r="B735" s="33">
        <v>3485</v>
      </c>
      <c r="C735" s="34" t="b">
        <v>1</v>
      </c>
      <c r="D735" s="34">
        <v>1</v>
      </c>
      <c r="E735" s="34" t="s">
        <v>3264</v>
      </c>
      <c r="F735" s="33">
        <v>52</v>
      </c>
      <c r="G735" s="33">
        <v>8</v>
      </c>
      <c r="H735" s="34"/>
      <c r="I735" s="34"/>
      <c r="J735" s="34"/>
    </row>
    <row r="736" spans="1:10">
      <c r="A736" s="33">
        <v>34860</v>
      </c>
      <c r="B736" s="33">
        <v>3486</v>
      </c>
      <c r="C736" s="34" t="b">
        <v>1</v>
      </c>
      <c r="D736" s="34">
        <v>1</v>
      </c>
      <c r="E736" s="34" t="s">
        <v>3264</v>
      </c>
      <c r="F736" s="33">
        <v>52</v>
      </c>
      <c r="G736" s="33">
        <v>8</v>
      </c>
      <c r="H736" s="34"/>
      <c r="I736" s="34"/>
      <c r="J736" s="34"/>
    </row>
    <row r="737" spans="1:10">
      <c r="A737" s="33">
        <v>34870</v>
      </c>
      <c r="B737" s="33">
        <v>3487</v>
      </c>
      <c r="C737" s="34" t="b">
        <v>1</v>
      </c>
      <c r="D737" s="34">
        <v>1</v>
      </c>
      <c r="E737" s="34" t="s">
        <v>3264</v>
      </c>
      <c r="F737" s="33">
        <v>52</v>
      </c>
      <c r="G737" s="33">
        <v>8</v>
      </c>
      <c r="H737" s="34"/>
      <c r="I737" s="34"/>
      <c r="J737" s="34"/>
    </row>
    <row r="738" spans="1:10">
      <c r="A738" s="33">
        <v>34880</v>
      </c>
      <c r="B738" s="33">
        <v>3488</v>
      </c>
      <c r="C738" s="34" t="b">
        <v>1</v>
      </c>
      <c r="D738" s="34">
        <v>1</v>
      </c>
      <c r="E738" s="34" t="s">
        <v>3264</v>
      </c>
      <c r="F738" s="33">
        <v>52</v>
      </c>
      <c r="G738" s="33">
        <v>8</v>
      </c>
      <c r="H738" s="34"/>
      <c r="I738" s="34"/>
      <c r="J738" s="34"/>
    </row>
    <row r="739" spans="1:10">
      <c r="A739" s="33">
        <v>34890</v>
      </c>
      <c r="B739" s="33">
        <v>3489</v>
      </c>
      <c r="C739" s="34" t="b">
        <v>1</v>
      </c>
      <c r="D739" s="34">
        <v>1</v>
      </c>
      <c r="E739" s="34" t="s">
        <v>3264</v>
      </c>
      <c r="F739" s="33">
        <v>52</v>
      </c>
      <c r="G739" s="33">
        <v>8</v>
      </c>
      <c r="H739" s="34"/>
      <c r="I739" s="34"/>
      <c r="J739" s="34"/>
    </row>
    <row r="740" spans="1:10">
      <c r="A740" s="33">
        <v>34900</v>
      </c>
      <c r="B740" s="33">
        <v>3490</v>
      </c>
      <c r="C740" s="34" t="b">
        <v>1</v>
      </c>
      <c r="D740" s="34">
        <v>1</v>
      </c>
      <c r="E740" s="34" t="s">
        <v>3264</v>
      </c>
      <c r="F740" s="33">
        <v>52</v>
      </c>
      <c r="G740" s="33">
        <v>8</v>
      </c>
      <c r="H740" s="34"/>
      <c r="I740" s="34"/>
      <c r="J740" s="34"/>
    </row>
    <row r="741" spans="1:10">
      <c r="A741" s="33">
        <v>34910</v>
      </c>
      <c r="B741" s="33">
        <v>3491</v>
      </c>
      <c r="C741" s="34" t="b">
        <v>1</v>
      </c>
      <c r="D741" s="34">
        <v>1</v>
      </c>
      <c r="E741" s="34" t="s">
        <v>3264</v>
      </c>
      <c r="F741" s="33">
        <v>52</v>
      </c>
      <c r="G741" s="33">
        <v>8</v>
      </c>
      <c r="H741" s="34"/>
      <c r="I741" s="34"/>
      <c r="J741" s="34"/>
    </row>
    <row r="742" spans="1:10">
      <c r="A742" s="33">
        <v>34920</v>
      </c>
      <c r="B742" s="33">
        <v>3492</v>
      </c>
      <c r="C742" s="34" t="b">
        <v>1</v>
      </c>
      <c r="D742" s="34">
        <v>1</v>
      </c>
      <c r="E742" s="34" t="s">
        <v>3264</v>
      </c>
      <c r="F742" s="33">
        <v>52</v>
      </c>
      <c r="G742" s="33">
        <v>8</v>
      </c>
      <c r="H742" s="34"/>
      <c r="I742" s="34"/>
      <c r="J742" s="34"/>
    </row>
    <row r="743" spans="1:10">
      <c r="A743" s="33">
        <v>34930</v>
      </c>
      <c r="B743" s="33">
        <v>3493</v>
      </c>
      <c r="C743" s="34" t="b">
        <v>1</v>
      </c>
      <c r="D743" s="34">
        <v>1</v>
      </c>
      <c r="E743" s="34" t="s">
        <v>3264</v>
      </c>
      <c r="F743" s="33">
        <v>52</v>
      </c>
      <c r="G743" s="33">
        <v>8</v>
      </c>
      <c r="H743" s="34"/>
      <c r="I743" s="34"/>
      <c r="J743" s="34"/>
    </row>
    <row r="744" spans="1:10">
      <c r="A744" s="33">
        <v>34940</v>
      </c>
      <c r="B744" s="33">
        <v>3494</v>
      </c>
      <c r="C744" s="34" t="b">
        <v>1</v>
      </c>
      <c r="D744" s="34">
        <v>1</v>
      </c>
      <c r="E744" s="34" t="s">
        <v>3264</v>
      </c>
      <c r="F744" s="33">
        <v>52</v>
      </c>
      <c r="G744" s="33">
        <v>8</v>
      </c>
      <c r="H744" s="34"/>
      <c r="I744" s="34"/>
      <c r="J744" s="34"/>
    </row>
    <row r="745" spans="1:10">
      <c r="A745" s="33">
        <v>34950</v>
      </c>
      <c r="B745" s="33">
        <v>3495</v>
      </c>
      <c r="C745" s="34" t="b">
        <v>1</v>
      </c>
      <c r="D745" s="34">
        <v>1</v>
      </c>
      <c r="E745" s="34" t="s">
        <v>3264</v>
      </c>
      <c r="F745" s="33">
        <v>52</v>
      </c>
      <c r="G745" s="33">
        <v>8</v>
      </c>
      <c r="H745" s="34"/>
      <c r="I745" s="34"/>
      <c r="J745" s="34"/>
    </row>
    <row r="746" spans="1:10">
      <c r="A746" s="33">
        <v>34960</v>
      </c>
      <c r="B746" s="33">
        <v>3496</v>
      </c>
      <c r="C746" s="34" t="b">
        <v>1</v>
      </c>
      <c r="D746" s="34">
        <v>1</v>
      </c>
      <c r="E746" s="34" t="s">
        <v>3264</v>
      </c>
      <c r="F746" s="33">
        <v>52</v>
      </c>
      <c r="G746" s="33">
        <v>8</v>
      </c>
      <c r="H746" s="34"/>
      <c r="I746" s="34"/>
      <c r="J746" s="34"/>
    </row>
    <row r="747" spans="1:10">
      <c r="A747" s="33">
        <v>34970</v>
      </c>
      <c r="B747" s="33">
        <v>3497</v>
      </c>
      <c r="C747" s="34" t="b">
        <v>1</v>
      </c>
      <c r="D747" s="34">
        <v>1</v>
      </c>
      <c r="E747" s="34" t="s">
        <v>3264</v>
      </c>
      <c r="F747" s="33">
        <v>52</v>
      </c>
      <c r="G747" s="33">
        <v>8</v>
      </c>
      <c r="H747" s="34"/>
      <c r="I747" s="34"/>
      <c r="J747" s="34"/>
    </row>
    <row r="748" spans="1:10">
      <c r="A748" s="33">
        <v>34980</v>
      </c>
      <c r="B748" s="33">
        <v>3498</v>
      </c>
      <c r="C748" s="34" t="b">
        <v>1</v>
      </c>
      <c r="D748" s="34">
        <v>1</v>
      </c>
      <c r="E748" s="34" t="s">
        <v>3264</v>
      </c>
      <c r="F748" s="33">
        <v>52</v>
      </c>
      <c r="G748" s="33">
        <v>8</v>
      </c>
      <c r="H748" s="34"/>
      <c r="I748" s="34"/>
      <c r="J748" s="34"/>
    </row>
    <row r="749" spans="1:10">
      <c r="A749" s="33">
        <v>34990</v>
      </c>
      <c r="B749" s="33">
        <v>3499</v>
      </c>
      <c r="C749" s="34" t="b">
        <v>1</v>
      </c>
      <c r="D749" s="34">
        <v>1</v>
      </c>
      <c r="E749" s="34" t="s">
        <v>3264</v>
      </c>
      <c r="F749" s="33">
        <v>52</v>
      </c>
      <c r="G749" s="33">
        <v>8</v>
      </c>
      <c r="H749" s="34"/>
      <c r="I749" s="34"/>
      <c r="J749" s="34"/>
    </row>
    <row r="750" spans="1:10">
      <c r="A750" s="33">
        <v>35000</v>
      </c>
      <c r="B750" s="33">
        <v>3500</v>
      </c>
      <c r="C750" s="34" t="b">
        <v>1</v>
      </c>
      <c r="D750" s="34">
        <v>1</v>
      </c>
      <c r="E750" s="34" t="s">
        <v>3264</v>
      </c>
      <c r="F750" s="33">
        <v>52</v>
      </c>
      <c r="G750" s="33">
        <v>8</v>
      </c>
      <c r="H750" s="34"/>
      <c r="I750" s="34"/>
      <c r="J750" s="34"/>
    </row>
    <row r="751" spans="1:10">
      <c r="A751" s="33">
        <v>35010</v>
      </c>
      <c r="B751" s="33">
        <v>3501</v>
      </c>
      <c r="C751" s="34" t="b">
        <v>1</v>
      </c>
      <c r="D751" s="34">
        <v>1</v>
      </c>
      <c r="E751" s="34" t="s">
        <v>3264</v>
      </c>
      <c r="F751" s="33">
        <v>52</v>
      </c>
      <c r="G751" s="33">
        <v>8</v>
      </c>
      <c r="H751" s="34"/>
      <c r="I751" s="34"/>
      <c r="J751" s="34"/>
    </row>
    <row r="752" spans="1:10">
      <c r="A752" s="33">
        <v>35020</v>
      </c>
      <c r="B752" s="33">
        <v>3502</v>
      </c>
      <c r="C752" s="34" t="b">
        <v>1</v>
      </c>
      <c r="D752" s="34">
        <v>1</v>
      </c>
      <c r="E752" s="34" t="s">
        <v>3264</v>
      </c>
      <c r="F752" s="33">
        <v>52</v>
      </c>
      <c r="G752" s="33">
        <v>8</v>
      </c>
      <c r="H752" s="34"/>
      <c r="I752" s="34"/>
      <c r="J752" s="34"/>
    </row>
    <row r="753" spans="1:10">
      <c r="A753" s="33">
        <v>35030</v>
      </c>
      <c r="B753" s="33">
        <v>3503</v>
      </c>
      <c r="C753" s="34" t="b">
        <v>1</v>
      </c>
      <c r="D753" s="34">
        <v>1</v>
      </c>
      <c r="E753" s="34" t="s">
        <v>3264</v>
      </c>
      <c r="F753" s="33">
        <v>52</v>
      </c>
      <c r="G753" s="33">
        <v>8</v>
      </c>
      <c r="H753" s="34"/>
      <c r="I753" s="34"/>
      <c r="J753" s="34"/>
    </row>
    <row r="754" spans="1:10">
      <c r="A754" s="33">
        <v>35040</v>
      </c>
      <c r="B754" s="33">
        <v>3504</v>
      </c>
      <c r="C754" s="34" t="b">
        <v>1</v>
      </c>
      <c r="D754" s="34">
        <v>1</v>
      </c>
      <c r="E754" s="34" t="s">
        <v>3264</v>
      </c>
      <c r="F754" s="33">
        <v>52</v>
      </c>
      <c r="G754" s="33">
        <v>8</v>
      </c>
      <c r="H754" s="34"/>
      <c r="I754" s="34"/>
      <c r="J754" s="34"/>
    </row>
    <row r="755" spans="1:10">
      <c r="A755" s="33">
        <v>35050</v>
      </c>
      <c r="B755" s="33">
        <v>3505</v>
      </c>
      <c r="C755" s="34" t="b">
        <v>1</v>
      </c>
      <c r="D755" s="34">
        <v>1</v>
      </c>
      <c r="E755" s="34" t="s">
        <v>3264</v>
      </c>
      <c r="F755" s="33">
        <v>52</v>
      </c>
      <c r="G755" s="33">
        <v>8</v>
      </c>
      <c r="H755" s="34"/>
      <c r="I755" s="34"/>
      <c r="J755" s="34"/>
    </row>
    <row r="756" spans="1:10">
      <c r="A756" s="33">
        <v>35060</v>
      </c>
      <c r="B756" s="33">
        <v>3506</v>
      </c>
      <c r="C756" s="34" t="b">
        <v>1</v>
      </c>
      <c r="D756" s="34">
        <v>1</v>
      </c>
      <c r="E756" s="34" t="s">
        <v>3264</v>
      </c>
      <c r="F756" s="33">
        <v>52</v>
      </c>
      <c r="G756" s="33">
        <v>8</v>
      </c>
      <c r="H756" s="34"/>
      <c r="I756" s="34"/>
      <c r="J756" s="34"/>
    </row>
    <row r="757" spans="1:10">
      <c r="A757" s="33">
        <v>35070</v>
      </c>
      <c r="B757" s="33">
        <v>3507</v>
      </c>
      <c r="C757" s="34" t="b">
        <v>1</v>
      </c>
      <c r="D757" s="34">
        <v>1</v>
      </c>
      <c r="E757" s="34" t="s">
        <v>3264</v>
      </c>
      <c r="F757" s="33">
        <v>52</v>
      </c>
      <c r="G757" s="33">
        <v>8</v>
      </c>
      <c r="H757" s="34"/>
      <c r="I757" s="34"/>
      <c r="J757" s="34"/>
    </row>
    <row r="758" spans="1:10">
      <c r="A758" s="33">
        <v>35080</v>
      </c>
      <c r="B758" s="33">
        <v>3508</v>
      </c>
      <c r="C758" s="34" t="b">
        <v>1</v>
      </c>
      <c r="D758" s="34">
        <v>1</v>
      </c>
      <c r="E758" s="34" t="s">
        <v>3264</v>
      </c>
      <c r="F758" s="33">
        <v>52</v>
      </c>
      <c r="G758" s="33">
        <v>8</v>
      </c>
      <c r="H758" s="34"/>
      <c r="I758" s="34"/>
      <c r="J758" s="34"/>
    </row>
    <row r="759" spans="1:10">
      <c r="A759" s="33">
        <v>35090</v>
      </c>
      <c r="B759" s="33">
        <v>3509</v>
      </c>
      <c r="C759" s="34" t="b">
        <v>1</v>
      </c>
      <c r="D759" s="34">
        <v>1</v>
      </c>
      <c r="E759" s="34" t="s">
        <v>3264</v>
      </c>
      <c r="F759" s="33">
        <v>52</v>
      </c>
      <c r="G759" s="33">
        <v>8</v>
      </c>
      <c r="H759" s="34"/>
      <c r="I759" s="34"/>
      <c r="J759" s="34"/>
    </row>
    <row r="760" spans="1:10">
      <c r="A760" s="33">
        <v>35100</v>
      </c>
      <c r="B760" s="33">
        <v>3510</v>
      </c>
      <c r="C760" s="34" t="b">
        <v>1</v>
      </c>
      <c r="D760" s="34">
        <v>1</v>
      </c>
      <c r="E760" s="34" t="s">
        <v>3264</v>
      </c>
      <c r="F760" s="33">
        <v>52</v>
      </c>
      <c r="G760" s="33">
        <v>8</v>
      </c>
      <c r="H760" s="34"/>
      <c r="I760" s="34"/>
      <c r="J760" s="34"/>
    </row>
    <row r="761" spans="1:10">
      <c r="A761" s="33">
        <v>35110</v>
      </c>
      <c r="B761" s="33">
        <v>3511</v>
      </c>
      <c r="C761" s="34" t="b">
        <v>1</v>
      </c>
      <c r="D761" s="34">
        <v>1</v>
      </c>
      <c r="E761" s="34" t="s">
        <v>3264</v>
      </c>
      <c r="F761" s="33">
        <v>52</v>
      </c>
      <c r="G761" s="33">
        <v>8</v>
      </c>
      <c r="H761" s="34"/>
      <c r="I761" s="34"/>
      <c r="J761" s="34"/>
    </row>
    <row r="762" spans="1:10">
      <c r="A762" s="33">
        <v>35120</v>
      </c>
      <c r="B762" s="33">
        <v>3512</v>
      </c>
      <c r="C762" s="34" t="b">
        <v>1</v>
      </c>
      <c r="D762" s="34">
        <v>1</v>
      </c>
      <c r="E762" s="34" t="s">
        <v>3264</v>
      </c>
      <c r="F762" s="33">
        <v>52</v>
      </c>
      <c r="G762" s="33">
        <v>8</v>
      </c>
      <c r="H762" s="34"/>
      <c r="I762" s="34"/>
      <c r="J762" s="34"/>
    </row>
    <row r="763" spans="1:10">
      <c r="A763" s="33">
        <v>35130</v>
      </c>
      <c r="B763" s="33">
        <v>3513</v>
      </c>
      <c r="C763" s="34" t="b">
        <v>1</v>
      </c>
      <c r="D763" s="34">
        <v>1</v>
      </c>
      <c r="E763" s="34" t="s">
        <v>3264</v>
      </c>
      <c r="F763" s="33">
        <v>52</v>
      </c>
      <c r="G763" s="33">
        <v>8</v>
      </c>
      <c r="H763" s="34"/>
      <c r="I763" s="34"/>
      <c r="J763" s="34"/>
    </row>
    <row r="764" spans="1:10">
      <c r="A764" s="33">
        <v>35140</v>
      </c>
      <c r="B764" s="33">
        <v>3514</v>
      </c>
      <c r="C764" s="34" t="b">
        <v>1</v>
      </c>
      <c r="D764" s="34">
        <v>1</v>
      </c>
      <c r="E764" s="34" t="s">
        <v>3264</v>
      </c>
      <c r="F764" s="33">
        <v>52</v>
      </c>
      <c r="G764" s="33">
        <v>8</v>
      </c>
      <c r="H764" s="34"/>
      <c r="I764" s="34"/>
      <c r="J764" s="34"/>
    </row>
    <row r="765" spans="1:10">
      <c r="A765" s="33">
        <v>35150</v>
      </c>
      <c r="B765" s="33">
        <v>3515</v>
      </c>
      <c r="C765" s="34" t="b">
        <v>1</v>
      </c>
      <c r="D765" s="34">
        <v>1</v>
      </c>
      <c r="E765" s="34" t="s">
        <v>3264</v>
      </c>
      <c r="F765" s="33">
        <v>52</v>
      </c>
      <c r="G765" s="33">
        <v>8</v>
      </c>
      <c r="H765" s="34"/>
      <c r="I765" s="34"/>
      <c r="J765" s="34"/>
    </row>
    <row r="766" spans="1:10">
      <c r="A766" s="33">
        <v>35160</v>
      </c>
      <c r="B766" s="33">
        <v>3516</v>
      </c>
      <c r="C766" s="34" t="b">
        <v>1</v>
      </c>
      <c r="D766" s="34">
        <v>1</v>
      </c>
      <c r="E766" s="34" t="s">
        <v>3264</v>
      </c>
      <c r="F766" s="33">
        <v>52</v>
      </c>
      <c r="G766" s="33">
        <v>8</v>
      </c>
      <c r="H766" s="34"/>
      <c r="I766" s="34"/>
      <c r="J766" s="34"/>
    </row>
    <row r="767" spans="1:10">
      <c r="A767" s="33">
        <v>35170</v>
      </c>
      <c r="B767" s="33">
        <v>3517</v>
      </c>
      <c r="C767" s="34" t="b">
        <v>1</v>
      </c>
      <c r="D767" s="34">
        <v>1</v>
      </c>
      <c r="E767" s="34" t="s">
        <v>3264</v>
      </c>
      <c r="F767" s="33">
        <v>52</v>
      </c>
      <c r="G767" s="33">
        <v>8</v>
      </c>
      <c r="H767" s="34"/>
      <c r="I767" s="34"/>
      <c r="J767" s="34"/>
    </row>
    <row r="768" spans="1:10">
      <c r="A768" s="33">
        <v>35180</v>
      </c>
      <c r="B768" s="33">
        <v>3518</v>
      </c>
      <c r="C768" s="34" t="b">
        <v>1</v>
      </c>
      <c r="D768" s="34">
        <v>1</v>
      </c>
      <c r="E768" s="34" t="s">
        <v>3264</v>
      </c>
      <c r="F768" s="33">
        <v>52</v>
      </c>
      <c r="G768" s="33">
        <v>8</v>
      </c>
      <c r="H768" s="34"/>
      <c r="I768" s="34"/>
      <c r="J768" s="34"/>
    </row>
    <row r="769" spans="1:10">
      <c r="A769" s="33">
        <v>35190</v>
      </c>
      <c r="B769" s="33">
        <v>3519</v>
      </c>
      <c r="C769" s="34" t="b">
        <v>1</v>
      </c>
      <c r="D769" s="34">
        <v>1</v>
      </c>
      <c r="E769" s="34" t="s">
        <v>3264</v>
      </c>
      <c r="F769" s="33">
        <v>52</v>
      </c>
      <c r="G769" s="33">
        <v>8</v>
      </c>
      <c r="H769" s="34"/>
      <c r="I769" s="34"/>
      <c r="J769" s="34"/>
    </row>
    <row r="770" spans="1:10">
      <c r="A770" s="33">
        <v>35200</v>
      </c>
      <c r="B770" s="33">
        <v>3520</v>
      </c>
      <c r="C770" s="34" t="b">
        <v>1</v>
      </c>
      <c r="D770" s="34">
        <v>1</v>
      </c>
      <c r="E770" s="34" t="s">
        <v>3264</v>
      </c>
      <c r="F770" s="33">
        <v>52</v>
      </c>
      <c r="G770" s="33">
        <v>8</v>
      </c>
      <c r="H770" s="34"/>
      <c r="I770" s="34"/>
      <c r="J770" s="34"/>
    </row>
    <row r="771" spans="1:10">
      <c r="A771" s="33">
        <v>35210</v>
      </c>
      <c r="B771" s="33">
        <v>3521</v>
      </c>
      <c r="C771" s="34" t="b">
        <v>1</v>
      </c>
      <c r="D771" s="34">
        <v>1</v>
      </c>
      <c r="E771" s="34" t="s">
        <v>3264</v>
      </c>
      <c r="F771" s="33">
        <v>52</v>
      </c>
      <c r="G771" s="33">
        <v>8</v>
      </c>
      <c r="H771" s="34"/>
      <c r="I771" s="34"/>
      <c r="J771" s="34"/>
    </row>
    <row r="772" spans="1:10">
      <c r="A772" s="33">
        <v>35220</v>
      </c>
      <c r="B772" s="33">
        <v>3522</v>
      </c>
      <c r="C772" s="34" t="b">
        <v>1</v>
      </c>
      <c r="D772" s="34">
        <v>1</v>
      </c>
      <c r="E772" s="34" t="s">
        <v>3264</v>
      </c>
      <c r="F772" s="33">
        <v>52</v>
      </c>
      <c r="G772" s="33">
        <v>8</v>
      </c>
      <c r="H772" s="34"/>
      <c r="I772" s="34"/>
      <c r="J772" s="34"/>
    </row>
    <row r="773" spans="1:10">
      <c r="A773" s="33">
        <v>35230</v>
      </c>
      <c r="B773" s="33">
        <v>3523</v>
      </c>
      <c r="C773" s="34" t="b">
        <v>1</v>
      </c>
      <c r="D773" s="34">
        <v>1</v>
      </c>
      <c r="E773" s="34" t="s">
        <v>3264</v>
      </c>
      <c r="F773" s="33">
        <v>52</v>
      </c>
      <c r="G773" s="33">
        <v>8</v>
      </c>
      <c r="H773" s="34"/>
      <c r="I773" s="34"/>
      <c r="J773" s="34"/>
    </row>
    <row r="774" spans="1:10">
      <c r="A774" s="33">
        <v>35240</v>
      </c>
      <c r="B774" s="33">
        <v>3524</v>
      </c>
      <c r="C774" s="34" t="b">
        <v>1</v>
      </c>
      <c r="D774" s="34">
        <v>1</v>
      </c>
      <c r="E774" s="34" t="s">
        <v>3264</v>
      </c>
      <c r="F774" s="33">
        <v>52</v>
      </c>
      <c r="G774" s="33">
        <v>8</v>
      </c>
      <c r="H774" s="34"/>
      <c r="I774" s="34"/>
      <c r="J774" s="34"/>
    </row>
    <row r="775" spans="1:10">
      <c r="A775" s="33">
        <v>35250</v>
      </c>
      <c r="B775" s="33">
        <v>3525</v>
      </c>
      <c r="C775" s="34" t="b">
        <v>1</v>
      </c>
      <c r="D775" s="34">
        <v>1</v>
      </c>
      <c r="E775" s="34" t="s">
        <v>3264</v>
      </c>
      <c r="F775" s="33">
        <v>52</v>
      </c>
      <c r="G775" s="33">
        <v>8</v>
      </c>
      <c r="H775" s="34"/>
      <c r="I775" s="34"/>
      <c r="J775" s="34"/>
    </row>
    <row r="776" spans="1:10">
      <c r="A776" s="33">
        <v>35260</v>
      </c>
      <c r="B776" s="33">
        <v>3526</v>
      </c>
      <c r="C776" s="34" t="b">
        <v>1</v>
      </c>
      <c r="D776" s="34">
        <v>1</v>
      </c>
      <c r="E776" s="34" t="s">
        <v>3264</v>
      </c>
      <c r="F776" s="33">
        <v>52</v>
      </c>
      <c r="G776" s="33">
        <v>8</v>
      </c>
      <c r="H776" s="34"/>
      <c r="I776" s="34"/>
      <c r="J776" s="34"/>
    </row>
    <row r="777" spans="1:10">
      <c r="A777" s="33">
        <v>35270</v>
      </c>
      <c r="B777" s="33">
        <v>3527</v>
      </c>
      <c r="C777" s="34" t="b">
        <v>1</v>
      </c>
      <c r="D777" s="34">
        <v>1</v>
      </c>
      <c r="E777" s="34" t="s">
        <v>3264</v>
      </c>
      <c r="F777" s="33">
        <v>52</v>
      </c>
      <c r="G777" s="33">
        <v>8</v>
      </c>
      <c r="H777" s="34"/>
      <c r="I777" s="34"/>
      <c r="J777" s="34"/>
    </row>
    <row r="778" spans="1:10">
      <c r="A778" s="33">
        <v>35280</v>
      </c>
      <c r="B778" s="33">
        <v>3528</v>
      </c>
      <c r="C778" s="34" t="b">
        <v>1</v>
      </c>
      <c r="D778" s="34">
        <v>1</v>
      </c>
      <c r="E778" s="34" t="s">
        <v>3264</v>
      </c>
      <c r="F778" s="33">
        <v>52</v>
      </c>
      <c r="G778" s="33">
        <v>8</v>
      </c>
      <c r="H778" s="34"/>
      <c r="I778" s="34"/>
      <c r="J778" s="34"/>
    </row>
    <row r="779" spans="1:10">
      <c r="A779" s="33">
        <v>35290</v>
      </c>
      <c r="B779" s="33">
        <v>3529</v>
      </c>
      <c r="C779" s="34" t="b">
        <v>1</v>
      </c>
      <c r="D779" s="34">
        <v>1</v>
      </c>
      <c r="E779" s="34" t="s">
        <v>3264</v>
      </c>
      <c r="F779" s="33">
        <v>52</v>
      </c>
      <c r="G779" s="33">
        <v>8</v>
      </c>
      <c r="H779" s="34"/>
      <c r="I779" s="34"/>
      <c r="J779" s="34"/>
    </row>
    <row r="780" spans="1:10">
      <c r="A780" s="33">
        <v>35300</v>
      </c>
      <c r="B780" s="33">
        <v>3530</v>
      </c>
      <c r="C780" s="34" t="b">
        <v>1</v>
      </c>
      <c r="D780" s="34">
        <v>1</v>
      </c>
      <c r="E780" s="34" t="s">
        <v>3264</v>
      </c>
      <c r="F780" s="33">
        <v>52</v>
      </c>
      <c r="G780" s="33">
        <v>8</v>
      </c>
      <c r="H780" s="34"/>
      <c r="I780" s="34"/>
      <c r="J780" s="34"/>
    </row>
    <row r="781" spans="1:10">
      <c r="A781" s="33">
        <v>35310</v>
      </c>
      <c r="B781" s="33">
        <v>3531</v>
      </c>
      <c r="C781" s="34" t="b">
        <v>1</v>
      </c>
      <c r="D781" s="34">
        <v>1</v>
      </c>
      <c r="E781" s="34" t="s">
        <v>3264</v>
      </c>
      <c r="F781" s="33">
        <v>52</v>
      </c>
      <c r="G781" s="33">
        <v>8</v>
      </c>
      <c r="H781" s="34"/>
      <c r="I781" s="34"/>
      <c r="J781" s="34"/>
    </row>
    <row r="782" spans="1:10">
      <c r="A782" s="33">
        <v>35320</v>
      </c>
      <c r="B782" s="33">
        <v>3532</v>
      </c>
      <c r="C782" s="34" t="b">
        <v>1</v>
      </c>
      <c r="D782" s="34">
        <v>1</v>
      </c>
      <c r="E782" s="34" t="s">
        <v>3264</v>
      </c>
      <c r="F782" s="33">
        <v>52</v>
      </c>
      <c r="G782" s="33">
        <v>8</v>
      </c>
      <c r="H782" s="34"/>
      <c r="I782" s="34"/>
      <c r="J782" s="34"/>
    </row>
    <row r="783" spans="1:10">
      <c r="A783" s="33">
        <v>35330</v>
      </c>
      <c r="B783" s="33">
        <v>3533</v>
      </c>
      <c r="C783" s="34" t="b">
        <v>1</v>
      </c>
      <c r="D783" s="34">
        <v>1</v>
      </c>
      <c r="E783" s="34" t="s">
        <v>3264</v>
      </c>
      <c r="F783" s="33">
        <v>52</v>
      </c>
      <c r="G783" s="33">
        <v>8</v>
      </c>
      <c r="H783" s="34"/>
      <c r="I783" s="34"/>
      <c r="J783" s="34"/>
    </row>
    <row r="784" spans="1:10">
      <c r="A784" s="33">
        <v>35340</v>
      </c>
      <c r="B784" s="33">
        <v>3534</v>
      </c>
      <c r="C784" s="34" t="b">
        <v>1</v>
      </c>
      <c r="D784" s="34">
        <v>1</v>
      </c>
      <c r="E784" s="34" t="s">
        <v>3264</v>
      </c>
      <c r="F784" s="33">
        <v>52</v>
      </c>
      <c r="G784" s="33">
        <v>8</v>
      </c>
      <c r="H784" s="34"/>
      <c r="I784" s="34"/>
      <c r="J784" s="34"/>
    </row>
    <row r="785" spans="1:10">
      <c r="A785" s="33">
        <v>35350</v>
      </c>
      <c r="B785" s="33">
        <v>3535</v>
      </c>
      <c r="C785" s="34" t="b">
        <v>1</v>
      </c>
      <c r="D785" s="34">
        <v>1</v>
      </c>
      <c r="E785" s="34" t="s">
        <v>3264</v>
      </c>
      <c r="F785" s="33">
        <v>52</v>
      </c>
      <c r="G785" s="33">
        <v>8</v>
      </c>
      <c r="H785" s="34"/>
      <c r="I785" s="34"/>
      <c r="J785" s="34"/>
    </row>
    <row r="786" spans="1:10">
      <c r="A786" s="33">
        <v>35360</v>
      </c>
      <c r="B786" s="33">
        <v>3536</v>
      </c>
      <c r="C786" s="34" t="b">
        <v>1</v>
      </c>
      <c r="D786" s="34">
        <v>1</v>
      </c>
      <c r="E786" s="34" t="s">
        <v>3264</v>
      </c>
      <c r="F786" s="33">
        <v>52</v>
      </c>
      <c r="G786" s="33">
        <v>8</v>
      </c>
      <c r="H786" s="34"/>
      <c r="I786" s="34"/>
      <c r="J786" s="34"/>
    </row>
    <row r="787" spans="1:10">
      <c r="A787" s="33">
        <v>35370</v>
      </c>
      <c r="B787" s="33">
        <v>3537</v>
      </c>
      <c r="C787" s="34" t="b">
        <v>1</v>
      </c>
      <c r="D787" s="34">
        <v>1</v>
      </c>
      <c r="E787" s="34" t="s">
        <v>3264</v>
      </c>
      <c r="F787" s="33">
        <v>52</v>
      </c>
      <c r="G787" s="33">
        <v>8</v>
      </c>
      <c r="H787" s="34"/>
      <c r="I787" s="34"/>
      <c r="J787" s="34"/>
    </row>
    <row r="788" spans="1:10">
      <c r="A788" s="33">
        <v>35380</v>
      </c>
      <c r="B788" s="33">
        <v>3538</v>
      </c>
      <c r="C788" s="34" t="b">
        <v>1</v>
      </c>
      <c r="D788" s="34">
        <v>1</v>
      </c>
      <c r="E788" s="34" t="s">
        <v>3264</v>
      </c>
      <c r="F788" s="33">
        <v>52</v>
      </c>
      <c r="G788" s="33">
        <v>8</v>
      </c>
      <c r="H788" s="34"/>
      <c r="I788" s="34"/>
      <c r="J788" s="34"/>
    </row>
    <row r="789" spans="1:10">
      <c r="A789" s="33">
        <v>35390</v>
      </c>
      <c r="B789" s="33">
        <v>3539</v>
      </c>
      <c r="C789" s="34" t="b">
        <v>1</v>
      </c>
      <c r="D789" s="34">
        <v>1</v>
      </c>
      <c r="E789" s="34" t="s">
        <v>3264</v>
      </c>
      <c r="F789" s="33">
        <v>52</v>
      </c>
      <c r="G789" s="33">
        <v>8</v>
      </c>
      <c r="H789" s="34"/>
      <c r="I789" s="34"/>
      <c r="J789" s="34"/>
    </row>
    <row r="790" spans="1:10">
      <c r="A790" s="33">
        <v>35400</v>
      </c>
      <c r="B790" s="33">
        <v>3540</v>
      </c>
      <c r="C790" s="34" t="b">
        <v>1</v>
      </c>
      <c r="D790" s="34">
        <v>1</v>
      </c>
      <c r="E790" s="34" t="s">
        <v>3264</v>
      </c>
      <c r="F790" s="33">
        <v>52</v>
      </c>
      <c r="G790" s="33">
        <v>8</v>
      </c>
      <c r="H790" s="34"/>
      <c r="I790" s="34"/>
      <c r="J790" s="34"/>
    </row>
    <row r="791" spans="1:10">
      <c r="A791" s="33">
        <v>35410</v>
      </c>
      <c r="B791" s="33">
        <v>3541</v>
      </c>
      <c r="C791" s="34" t="b">
        <v>1</v>
      </c>
      <c r="D791" s="34">
        <v>1</v>
      </c>
      <c r="E791" s="34" t="s">
        <v>3264</v>
      </c>
      <c r="F791" s="33">
        <v>52</v>
      </c>
      <c r="G791" s="33">
        <v>8</v>
      </c>
      <c r="H791" s="34"/>
      <c r="I791" s="34"/>
      <c r="J791" s="34"/>
    </row>
    <row r="792" spans="1:10">
      <c r="A792" s="33">
        <v>35420</v>
      </c>
      <c r="B792" s="33">
        <v>3542</v>
      </c>
      <c r="C792" s="34" t="b">
        <v>1</v>
      </c>
      <c r="D792" s="34">
        <v>1</v>
      </c>
      <c r="E792" s="34" t="s">
        <v>3264</v>
      </c>
      <c r="F792" s="33">
        <v>52</v>
      </c>
      <c r="G792" s="33">
        <v>8</v>
      </c>
      <c r="H792" s="34"/>
      <c r="I792" s="34"/>
      <c r="J792" s="34"/>
    </row>
    <row r="793" spans="1:10">
      <c r="A793" s="33">
        <v>35430</v>
      </c>
      <c r="B793" s="33">
        <v>3543</v>
      </c>
      <c r="C793" s="34" t="b">
        <v>1</v>
      </c>
      <c r="D793" s="34">
        <v>1</v>
      </c>
      <c r="E793" s="34" t="s">
        <v>3264</v>
      </c>
      <c r="F793" s="33">
        <v>52</v>
      </c>
      <c r="G793" s="33">
        <v>8</v>
      </c>
      <c r="H793" s="34"/>
      <c r="I793" s="34"/>
      <c r="J793" s="34"/>
    </row>
    <row r="794" spans="1:10">
      <c r="A794" s="33">
        <v>35440</v>
      </c>
      <c r="B794" s="33">
        <v>3544</v>
      </c>
      <c r="C794" s="34" t="b">
        <v>1</v>
      </c>
      <c r="D794" s="34">
        <v>1</v>
      </c>
      <c r="E794" s="34" t="s">
        <v>3264</v>
      </c>
      <c r="F794" s="33">
        <v>52</v>
      </c>
      <c r="G794" s="33">
        <v>8</v>
      </c>
      <c r="H794" s="34"/>
      <c r="I794" s="34"/>
      <c r="J794" s="34"/>
    </row>
    <row r="795" spans="1:10">
      <c r="A795" s="33">
        <v>35450</v>
      </c>
      <c r="B795" s="33">
        <v>3545</v>
      </c>
      <c r="C795" s="34" t="b">
        <v>1</v>
      </c>
      <c r="D795" s="34">
        <v>1</v>
      </c>
      <c r="E795" s="34" t="s">
        <v>3264</v>
      </c>
      <c r="F795" s="33">
        <v>52</v>
      </c>
      <c r="G795" s="33">
        <v>8</v>
      </c>
      <c r="H795" s="34"/>
      <c r="I795" s="34"/>
      <c r="J795" s="34"/>
    </row>
    <row r="796" spans="1:10">
      <c r="A796" s="33">
        <v>35460</v>
      </c>
      <c r="B796" s="33">
        <v>3546</v>
      </c>
      <c r="C796" s="34" t="b">
        <v>1</v>
      </c>
      <c r="D796" s="34">
        <v>1</v>
      </c>
      <c r="E796" s="34" t="s">
        <v>3264</v>
      </c>
      <c r="F796" s="33">
        <v>52</v>
      </c>
      <c r="G796" s="33">
        <v>8</v>
      </c>
      <c r="H796" s="34"/>
      <c r="I796" s="34"/>
      <c r="J796" s="34"/>
    </row>
    <row r="797" spans="1:10">
      <c r="A797" s="33">
        <v>35470</v>
      </c>
      <c r="B797" s="33">
        <v>3547</v>
      </c>
      <c r="C797" s="34" t="b">
        <v>1</v>
      </c>
      <c r="D797" s="34">
        <v>1</v>
      </c>
      <c r="E797" s="34" t="s">
        <v>3264</v>
      </c>
      <c r="F797" s="33">
        <v>52</v>
      </c>
      <c r="G797" s="33">
        <v>8</v>
      </c>
      <c r="H797" s="34"/>
      <c r="I797" s="34"/>
      <c r="J797" s="34"/>
    </row>
    <row r="798" spans="1:10">
      <c r="A798" s="33">
        <v>35480</v>
      </c>
      <c r="B798" s="33">
        <v>3548</v>
      </c>
      <c r="C798" s="34" t="b">
        <v>1</v>
      </c>
      <c r="D798" s="34">
        <v>1</v>
      </c>
      <c r="E798" s="34" t="s">
        <v>3264</v>
      </c>
      <c r="F798" s="33">
        <v>52</v>
      </c>
      <c r="G798" s="33">
        <v>8</v>
      </c>
      <c r="H798" s="34"/>
      <c r="I798" s="34"/>
      <c r="J798" s="34"/>
    </row>
    <row r="799" spans="1:10">
      <c r="A799" s="33">
        <v>35490</v>
      </c>
      <c r="B799" s="33">
        <v>3549</v>
      </c>
      <c r="C799" s="34" t="b">
        <v>1</v>
      </c>
      <c r="D799" s="34">
        <v>1</v>
      </c>
      <c r="E799" s="34" t="s">
        <v>3264</v>
      </c>
      <c r="F799" s="33">
        <v>52</v>
      </c>
      <c r="G799" s="33">
        <v>8</v>
      </c>
      <c r="H799" s="34"/>
      <c r="I799" s="34"/>
      <c r="J799" s="34"/>
    </row>
    <row r="800" spans="1:10">
      <c r="A800" s="33">
        <v>35500</v>
      </c>
      <c r="B800" s="33">
        <v>3550</v>
      </c>
      <c r="C800" s="34" t="b">
        <v>1</v>
      </c>
      <c r="D800" s="34">
        <v>1</v>
      </c>
      <c r="E800" s="34" t="s">
        <v>3264</v>
      </c>
      <c r="F800" s="33">
        <v>52</v>
      </c>
      <c r="G800" s="33">
        <v>8</v>
      </c>
      <c r="H800" s="34"/>
      <c r="I800" s="34"/>
      <c r="J800" s="34"/>
    </row>
    <row r="801" spans="1:10">
      <c r="A801" s="33">
        <v>35510</v>
      </c>
      <c r="B801" s="33">
        <v>3551</v>
      </c>
      <c r="C801" s="34" t="b">
        <v>1</v>
      </c>
      <c r="D801" s="34">
        <v>1</v>
      </c>
      <c r="E801" s="34" t="s">
        <v>3264</v>
      </c>
      <c r="F801" s="33">
        <v>52</v>
      </c>
      <c r="G801" s="33">
        <v>8</v>
      </c>
      <c r="H801" s="34"/>
      <c r="I801" s="34"/>
      <c r="J801" s="34"/>
    </row>
    <row r="802" spans="1:10">
      <c r="A802" s="33">
        <v>35520</v>
      </c>
      <c r="B802" s="33">
        <v>3552</v>
      </c>
      <c r="C802" s="34" t="b">
        <v>1</v>
      </c>
      <c r="D802" s="34">
        <v>1</v>
      </c>
      <c r="E802" s="34" t="s">
        <v>3264</v>
      </c>
      <c r="F802" s="33">
        <v>52</v>
      </c>
      <c r="G802" s="33">
        <v>8</v>
      </c>
      <c r="H802" s="34"/>
      <c r="I802" s="34"/>
      <c r="J802" s="34"/>
    </row>
    <row r="803" spans="1:10">
      <c r="A803" s="33">
        <v>35530</v>
      </c>
      <c r="B803" s="33">
        <v>3553</v>
      </c>
      <c r="C803" s="34" t="b">
        <v>1</v>
      </c>
      <c r="D803" s="34">
        <v>1</v>
      </c>
      <c r="E803" s="34" t="s">
        <v>3264</v>
      </c>
      <c r="F803" s="33">
        <v>52</v>
      </c>
      <c r="G803" s="33">
        <v>8</v>
      </c>
      <c r="H803" s="34"/>
      <c r="I803" s="34"/>
      <c r="J803" s="34"/>
    </row>
    <row r="804" spans="1:10">
      <c r="A804" s="33">
        <v>35540</v>
      </c>
      <c r="B804" s="33">
        <v>3554</v>
      </c>
      <c r="C804" s="34" t="b">
        <v>1</v>
      </c>
      <c r="D804" s="34">
        <v>1</v>
      </c>
      <c r="E804" s="34" t="s">
        <v>3264</v>
      </c>
      <c r="F804" s="33">
        <v>52</v>
      </c>
      <c r="G804" s="33">
        <v>8</v>
      </c>
      <c r="H804" s="34"/>
      <c r="I804" s="34"/>
      <c r="J804" s="34"/>
    </row>
    <row r="805" spans="1:10">
      <c r="A805" s="33">
        <v>35550</v>
      </c>
      <c r="B805" s="33">
        <v>3555</v>
      </c>
      <c r="C805" s="34" t="b">
        <v>1</v>
      </c>
      <c r="D805" s="34">
        <v>1</v>
      </c>
      <c r="E805" s="34" t="s">
        <v>3264</v>
      </c>
      <c r="F805" s="33">
        <v>52</v>
      </c>
      <c r="G805" s="33">
        <v>8</v>
      </c>
      <c r="H805" s="34"/>
      <c r="I805" s="34"/>
      <c r="J805" s="34"/>
    </row>
    <row r="806" spans="1:10">
      <c r="A806" s="33">
        <v>35560</v>
      </c>
      <c r="B806" s="33">
        <v>3556</v>
      </c>
      <c r="C806" s="34" t="b">
        <v>1</v>
      </c>
      <c r="D806" s="34">
        <v>1</v>
      </c>
      <c r="E806" s="34" t="s">
        <v>3264</v>
      </c>
      <c r="F806" s="33">
        <v>52</v>
      </c>
      <c r="G806" s="33">
        <v>8</v>
      </c>
      <c r="H806" s="34"/>
      <c r="I806" s="34"/>
      <c r="J806" s="34"/>
    </row>
    <row r="807" spans="1:10">
      <c r="A807" s="33">
        <v>35570</v>
      </c>
      <c r="B807" s="33">
        <v>3557</v>
      </c>
      <c r="C807" s="34" t="b">
        <v>1</v>
      </c>
      <c r="D807" s="34">
        <v>1</v>
      </c>
      <c r="E807" s="34" t="s">
        <v>3264</v>
      </c>
      <c r="F807" s="33">
        <v>52</v>
      </c>
      <c r="G807" s="33">
        <v>8</v>
      </c>
      <c r="H807" s="34"/>
      <c r="I807" s="34"/>
      <c r="J807" s="34"/>
    </row>
    <row r="808" spans="1:10">
      <c r="A808" s="33">
        <v>35580</v>
      </c>
      <c r="B808" s="33">
        <v>3558</v>
      </c>
      <c r="C808" s="34" t="b">
        <v>1</v>
      </c>
      <c r="D808" s="34">
        <v>1</v>
      </c>
      <c r="E808" s="34" t="s">
        <v>3264</v>
      </c>
      <c r="F808" s="33">
        <v>52</v>
      </c>
      <c r="G808" s="33">
        <v>8</v>
      </c>
      <c r="H808" s="34"/>
      <c r="I808" s="34"/>
      <c r="J808" s="34"/>
    </row>
    <row r="809" spans="1:10">
      <c r="A809" s="33">
        <v>35590</v>
      </c>
      <c r="B809" s="33">
        <v>3559</v>
      </c>
      <c r="C809" s="34" t="b">
        <v>1</v>
      </c>
      <c r="D809" s="34">
        <v>1</v>
      </c>
      <c r="E809" s="34" t="s">
        <v>3264</v>
      </c>
      <c r="F809" s="33">
        <v>52</v>
      </c>
      <c r="G809" s="33">
        <v>8</v>
      </c>
      <c r="H809" s="34"/>
      <c r="I809" s="34"/>
      <c r="J809" s="34"/>
    </row>
    <row r="810" spans="1:10">
      <c r="A810" s="33">
        <v>35600</v>
      </c>
      <c r="B810" s="33">
        <v>3560</v>
      </c>
      <c r="C810" s="34" t="b">
        <v>1</v>
      </c>
      <c r="D810" s="34">
        <v>1</v>
      </c>
      <c r="E810" s="34" t="s">
        <v>3264</v>
      </c>
      <c r="F810" s="33">
        <v>52</v>
      </c>
      <c r="G810" s="33">
        <v>8</v>
      </c>
      <c r="H810" s="34"/>
      <c r="I810" s="34"/>
      <c r="J810" s="34"/>
    </row>
    <row r="811" spans="1:10">
      <c r="A811" s="33">
        <v>35610</v>
      </c>
      <c r="B811" s="33">
        <v>3561</v>
      </c>
      <c r="C811" s="34" t="b">
        <v>1</v>
      </c>
      <c r="D811" s="34">
        <v>1</v>
      </c>
      <c r="E811" s="34" t="s">
        <v>3264</v>
      </c>
      <c r="F811" s="33">
        <v>52</v>
      </c>
      <c r="G811" s="33">
        <v>8</v>
      </c>
      <c r="H811" s="34"/>
      <c r="I811" s="34"/>
      <c r="J811" s="34"/>
    </row>
    <row r="812" spans="1:10">
      <c r="A812" s="33">
        <v>35620</v>
      </c>
      <c r="B812" s="33">
        <v>3562</v>
      </c>
      <c r="C812" s="34" t="b">
        <v>1</v>
      </c>
      <c r="D812" s="34">
        <v>1</v>
      </c>
      <c r="E812" s="34" t="s">
        <v>3264</v>
      </c>
      <c r="F812" s="33">
        <v>52</v>
      </c>
      <c r="G812" s="33">
        <v>8</v>
      </c>
      <c r="H812" s="34"/>
      <c r="I812" s="34"/>
      <c r="J812" s="34"/>
    </row>
    <row r="813" spans="1:10">
      <c r="A813" s="33">
        <v>35630</v>
      </c>
      <c r="B813" s="33">
        <v>3563</v>
      </c>
      <c r="C813" s="34" t="b">
        <v>1</v>
      </c>
      <c r="D813" s="34">
        <v>1</v>
      </c>
      <c r="E813" s="34" t="s">
        <v>3264</v>
      </c>
      <c r="F813" s="33">
        <v>52</v>
      </c>
      <c r="G813" s="33">
        <v>8</v>
      </c>
      <c r="H813" s="34"/>
      <c r="I813" s="34"/>
      <c r="J813" s="34"/>
    </row>
    <row r="814" spans="1:10">
      <c r="A814" s="33">
        <v>35640</v>
      </c>
      <c r="B814" s="33">
        <v>3564</v>
      </c>
      <c r="C814" s="34" t="b">
        <v>1</v>
      </c>
      <c r="D814" s="34">
        <v>1</v>
      </c>
      <c r="E814" s="34" t="s">
        <v>3264</v>
      </c>
      <c r="F814" s="33">
        <v>52</v>
      </c>
      <c r="G814" s="33">
        <v>8</v>
      </c>
      <c r="H814" s="34"/>
      <c r="I814" s="34"/>
      <c r="J814" s="34"/>
    </row>
    <row r="815" spans="1:10">
      <c r="A815" s="33">
        <v>35650</v>
      </c>
      <c r="B815" s="33">
        <v>3565</v>
      </c>
      <c r="C815" s="34" t="b">
        <v>1</v>
      </c>
      <c r="D815" s="34">
        <v>1</v>
      </c>
      <c r="E815" s="34" t="s">
        <v>3264</v>
      </c>
      <c r="F815" s="33">
        <v>52</v>
      </c>
      <c r="G815" s="33">
        <v>8</v>
      </c>
      <c r="H815" s="34"/>
      <c r="I815" s="34"/>
      <c r="J815" s="34"/>
    </row>
    <row r="816" spans="1:10">
      <c r="A816" s="33">
        <v>35660</v>
      </c>
      <c r="B816" s="33">
        <v>3566</v>
      </c>
      <c r="C816" s="34" t="b">
        <v>1</v>
      </c>
      <c r="D816" s="34">
        <v>1</v>
      </c>
      <c r="E816" s="34" t="s">
        <v>3264</v>
      </c>
      <c r="F816" s="33">
        <v>52</v>
      </c>
      <c r="G816" s="33">
        <v>8</v>
      </c>
      <c r="H816" s="34"/>
      <c r="I816" s="34"/>
      <c r="J816" s="34"/>
    </row>
    <row r="817" spans="1:10">
      <c r="A817" s="33">
        <v>35670</v>
      </c>
      <c r="B817" s="33">
        <v>3567</v>
      </c>
      <c r="C817" s="34" t="b">
        <v>1</v>
      </c>
      <c r="D817" s="34">
        <v>1</v>
      </c>
      <c r="E817" s="34" t="s">
        <v>3264</v>
      </c>
      <c r="F817" s="33">
        <v>52</v>
      </c>
      <c r="G817" s="33">
        <v>8</v>
      </c>
      <c r="H817" s="34"/>
      <c r="I817" s="34"/>
      <c r="J817" s="34"/>
    </row>
    <row r="818" spans="1:10">
      <c r="A818" s="33">
        <v>35680</v>
      </c>
      <c r="B818" s="33">
        <v>3568</v>
      </c>
      <c r="C818" s="34" t="b">
        <v>1</v>
      </c>
      <c r="D818" s="34">
        <v>1</v>
      </c>
      <c r="E818" s="34" t="s">
        <v>3264</v>
      </c>
      <c r="F818" s="33">
        <v>52</v>
      </c>
      <c r="G818" s="33">
        <v>8</v>
      </c>
      <c r="H818" s="34"/>
      <c r="I818" s="34"/>
      <c r="J818" s="34"/>
    </row>
    <row r="819" spans="1:10">
      <c r="A819" s="33">
        <v>35690</v>
      </c>
      <c r="B819" s="33">
        <v>3569</v>
      </c>
      <c r="C819" s="34" t="b">
        <v>1</v>
      </c>
      <c r="D819" s="34">
        <v>1</v>
      </c>
      <c r="E819" s="34" t="s">
        <v>3264</v>
      </c>
      <c r="F819" s="33">
        <v>52</v>
      </c>
      <c r="G819" s="33">
        <v>8</v>
      </c>
      <c r="H819" s="34"/>
      <c r="I819" s="34"/>
      <c r="J819" s="34"/>
    </row>
    <row r="820" spans="1:10">
      <c r="A820" s="33">
        <v>35700</v>
      </c>
      <c r="B820" s="33">
        <v>3570</v>
      </c>
      <c r="C820" s="34" t="b">
        <v>1</v>
      </c>
      <c r="D820" s="34">
        <v>1</v>
      </c>
      <c r="E820" s="34" t="s">
        <v>3264</v>
      </c>
      <c r="F820" s="33">
        <v>52</v>
      </c>
      <c r="G820" s="33">
        <v>8</v>
      </c>
      <c r="H820" s="34"/>
      <c r="I820" s="34"/>
      <c r="J820" s="34"/>
    </row>
    <row r="821" spans="1:10">
      <c r="A821" s="33">
        <v>35710</v>
      </c>
      <c r="B821" s="33">
        <v>3571</v>
      </c>
      <c r="C821" s="34" t="b">
        <v>1</v>
      </c>
      <c r="D821" s="34">
        <v>1</v>
      </c>
      <c r="E821" s="34" t="s">
        <v>3264</v>
      </c>
      <c r="F821" s="33">
        <v>52</v>
      </c>
      <c r="G821" s="33">
        <v>8</v>
      </c>
      <c r="H821" s="34"/>
      <c r="I821" s="34"/>
      <c r="J821" s="34"/>
    </row>
    <row r="822" spans="1:10">
      <c r="A822" s="33">
        <v>35720</v>
      </c>
      <c r="B822" s="33">
        <v>3572</v>
      </c>
      <c r="C822" s="34" t="b">
        <v>1</v>
      </c>
      <c r="D822" s="34">
        <v>1</v>
      </c>
      <c r="E822" s="34" t="s">
        <v>3264</v>
      </c>
      <c r="F822" s="33">
        <v>52</v>
      </c>
      <c r="G822" s="33">
        <v>8</v>
      </c>
      <c r="H822" s="34"/>
      <c r="I822" s="34"/>
      <c r="J822" s="34"/>
    </row>
    <row r="823" spans="1:10">
      <c r="A823" s="33">
        <v>35730</v>
      </c>
      <c r="B823" s="33">
        <v>3573</v>
      </c>
      <c r="C823" s="34" t="b">
        <v>1</v>
      </c>
      <c r="D823" s="34">
        <v>1</v>
      </c>
      <c r="E823" s="34" t="s">
        <v>3264</v>
      </c>
      <c r="F823" s="33">
        <v>52</v>
      </c>
      <c r="G823" s="33">
        <v>8</v>
      </c>
      <c r="H823" s="34"/>
      <c r="I823" s="34"/>
      <c r="J823" s="34"/>
    </row>
    <row r="824" spans="1:10">
      <c r="A824" s="33">
        <v>35740</v>
      </c>
      <c r="B824" s="33">
        <v>3574</v>
      </c>
      <c r="C824" s="34" t="b">
        <v>1</v>
      </c>
      <c r="D824" s="34">
        <v>1</v>
      </c>
      <c r="E824" s="34" t="s">
        <v>3264</v>
      </c>
      <c r="F824" s="33">
        <v>52</v>
      </c>
      <c r="G824" s="33">
        <v>8</v>
      </c>
      <c r="H824" s="34"/>
      <c r="I824" s="34"/>
      <c r="J824" s="34"/>
    </row>
    <row r="825" spans="1:10">
      <c r="A825" s="33">
        <v>35750</v>
      </c>
      <c r="B825" s="33">
        <v>3575</v>
      </c>
      <c r="C825" s="34" t="b">
        <v>1</v>
      </c>
      <c r="D825" s="34">
        <v>1</v>
      </c>
      <c r="E825" s="34" t="s">
        <v>3264</v>
      </c>
      <c r="F825" s="33">
        <v>52</v>
      </c>
      <c r="G825" s="33">
        <v>8</v>
      </c>
      <c r="H825" s="34"/>
      <c r="I825" s="34"/>
      <c r="J825" s="34"/>
    </row>
    <row r="826" spans="1:10">
      <c r="A826" s="33">
        <v>35760</v>
      </c>
      <c r="B826" s="33">
        <v>3576</v>
      </c>
      <c r="C826" s="34" t="b">
        <v>1</v>
      </c>
      <c r="D826" s="34">
        <v>1</v>
      </c>
      <c r="E826" s="34" t="s">
        <v>3264</v>
      </c>
      <c r="F826" s="33">
        <v>52</v>
      </c>
      <c r="G826" s="33">
        <v>8</v>
      </c>
      <c r="H826" s="34"/>
      <c r="I826" s="34"/>
      <c r="J826" s="34"/>
    </row>
    <row r="827" spans="1:10">
      <c r="A827" s="33">
        <v>35770</v>
      </c>
      <c r="B827" s="33">
        <v>3577</v>
      </c>
      <c r="C827" s="34" t="b">
        <v>1</v>
      </c>
      <c r="D827" s="34">
        <v>1</v>
      </c>
      <c r="E827" s="34" t="s">
        <v>3264</v>
      </c>
      <c r="F827" s="33">
        <v>52</v>
      </c>
      <c r="G827" s="33">
        <v>8</v>
      </c>
      <c r="H827" s="34"/>
      <c r="I827" s="34"/>
      <c r="J827" s="34"/>
    </row>
    <row r="828" spans="1:10">
      <c r="A828" s="33">
        <v>35780</v>
      </c>
      <c r="B828" s="33">
        <v>3578</v>
      </c>
      <c r="C828" s="34" t="b">
        <v>1</v>
      </c>
      <c r="D828" s="34">
        <v>1</v>
      </c>
      <c r="E828" s="34" t="s">
        <v>3264</v>
      </c>
      <c r="F828" s="33">
        <v>52</v>
      </c>
      <c r="G828" s="33">
        <v>8</v>
      </c>
      <c r="H828" s="34"/>
      <c r="I828" s="34"/>
      <c r="J828" s="34"/>
    </row>
    <row r="829" spans="1:10">
      <c r="A829" s="33">
        <v>35790</v>
      </c>
      <c r="B829" s="33">
        <v>3579</v>
      </c>
      <c r="C829" s="34" t="b">
        <v>1</v>
      </c>
      <c r="D829" s="34">
        <v>1</v>
      </c>
      <c r="E829" s="34" t="s">
        <v>3264</v>
      </c>
      <c r="F829" s="33">
        <v>52</v>
      </c>
      <c r="G829" s="33">
        <v>8</v>
      </c>
      <c r="H829" s="34"/>
      <c r="I829" s="34"/>
      <c r="J829" s="34"/>
    </row>
    <row r="830" spans="1:10">
      <c r="A830" s="33">
        <v>35800</v>
      </c>
      <c r="B830" s="33">
        <v>3580</v>
      </c>
      <c r="C830" s="34" t="b">
        <v>1</v>
      </c>
      <c r="D830" s="34">
        <v>1</v>
      </c>
      <c r="E830" s="34" t="s">
        <v>3264</v>
      </c>
      <c r="F830" s="33">
        <v>52</v>
      </c>
      <c r="G830" s="33">
        <v>8</v>
      </c>
      <c r="H830" s="34"/>
      <c r="I830" s="34"/>
      <c r="J830" s="34"/>
    </row>
    <row r="831" spans="1:10">
      <c r="A831" s="33">
        <v>35810</v>
      </c>
      <c r="B831" s="33">
        <v>3581</v>
      </c>
      <c r="C831" s="34" t="b">
        <v>1</v>
      </c>
      <c r="D831" s="34">
        <v>1</v>
      </c>
      <c r="E831" s="34" t="s">
        <v>3264</v>
      </c>
      <c r="F831" s="33">
        <v>52</v>
      </c>
      <c r="G831" s="33">
        <v>8</v>
      </c>
      <c r="H831" s="34"/>
      <c r="I831" s="34"/>
      <c r="J831" s="34"/>
    </row>
    <row r="832" spans="1:10">
      <c r="A832" s="33">
        <v>35820</v>
      </c>
      <c r="B832" s="33">
        <v>3582</v>
      </c>
      <c r="C832" s="34" t="b">
        <v>1</v>
      </c>
      <c r="D832" s="34">
        <v>1</v>
      </c>
      <c r="E832" s="34" t="s">
        <v>3264</v>
      </c>
      <c r="F832" s="33">
        <v>52</v>
      </c>
      <c r="G832" s="33">
        <v>8</v>
      </c>
      <c r="H832" s="34"/>
      <c r="I832" s="34"/>
      <c r="J832" s="34"/>
    </row>
    <row r="833" spans="1:10">
      <c r="A833" s="33">
        <v>35830</v>
      </c>
      <c r="B833" s="33">
        <v>3583</v>
      </c>
      <c r="C833" s="34" t="b">
        <v>1</v>
      </c>
      <c r="D833" s="34">
        <v>1</v>
      </c>
      <c r="E833" s="34" t="s">
        <v>3264</v>
      </c>
      <c r="F833" s="33">
        <v>52</v>
      </c>
      <c r="G833" s="33">
        <v>8</v>
      </c>
      <c r="H833" s="34"/>
      <c r="I833" s="34"/>
      <c r="J833" s="34"/>
    </row>
    <row r="834" spans="1:10">
      <c r="A834" s="33">
        <v>35840</v>
      </c>
      <c r="B834" s="33">
        <v>3584</v>
      </c>
      <c r="C834" s="34" t="b">
        <v>1</v>
      </c>
      <c r="D834" s="34">
        <v>1</v>
      </c>
      <c r="E834" s="34" t="s">
        <v>3264</v>
      </c>
      <c r="F834" s="33">
        <v>52</v>
      </c>
      <c r="G834" s="33">
        <v>8</v>
      </c>
      <c r="H834" s="34"/>
      <c r="I834" s="34"/>
      <c r="J834" s="34"/>
    </row>
    <row r="835" spans="1:10">
      <c r="A835" s="33">
        <v>35850</v>
      </c>
      <c r="B835" s="33">
        <v>3585</v>
      </c>
      <c r="C835" s="34" t="b">
        <v>1</v>
      </c>
      <c r="D835" s="34">
        <v>1</v>
      </c>
      <c r="E835" s="34" t="s">
        <v>3264</v>
      </c>
      <c r="F835" s="33">
        <v>52</v>
      </c>
      <c r="G835" s="33">
        <v>8</v>
      </c>
      <c r="H835" s="34"/>
      <c r="I835" s="34"/>
      <c r="J835" s="34"/>
    </row>
    <row r="836" spans="1:10">
      <c r="A836" s="33">
        <v>35860</v>
      </c>
      <c r="B836" s="33">
        <v>3586</v>
      </c>
      <c r="C836" s="34" t="b">
        <v>1</v>
      </c>
      <c r="D836" s="34">
        <v>1</v>
      </c>
      <c r="E836" s="34" t="s">
        <v>3264</v>
      </c>
      <c r="F836" s="33">
        <v>52</v>
      </c>
      <c r="G836" s="33">
        <v>8</v>
      </c>
      <c r="H836" s="34"/>
      <c r="I836" s="34"/>
      <c r="J836" s="34"/>
    </row>
    <row r="837" spans="1:10">
      <c r="A837" s="33">
        <v>35870</v>
      </c>
      <c r="B837" s="33">
        <v>3587</v>
      </c>
      <c r="C837" s="34" t="b">
        <v>1</v>
      </c>
      <c r="D837" s="34">
        <v>1</v>
      </c>
      <c r="E837" s="34" t="s">
        <v>3264</v>
      </c>
      <c r="F837" s="33">
        <v>52</v>
      </c>
      <c r="G837" s="33">
        <v>8</v>
      </c>
      <c r="H837" s="34"/>
      <c r="I837" s="34"/>
      <c r="J837" s="34"/>
    </row>
    <row r="838" spans="1:10">
      <c r="A838" s="33">
        <v>35880</v>
      </c>
      <c r="B838" s="33">
        <v>3588</v>
      </c>
      <c r="C838" s="34" t="b">
        <v>1</v>
      </c>
      <c r="D838" s="34">
        <v>1</v>
      </c>
      <c r="E838" s="34" t="s">
        <v>3264</v>
      </c>
      <c r="F838" s="33">
        <v>52</v>
      </c>
      <c r="G838" s="33">
        <v>8</v>
      </c>
      <c r="H838" s="34"/>
      <c r="I838" s="34"/>
      <c r="J838" s="34"/>
    </row>
    <row r="839" spans="1:10">
      <c r="A839" s="33">
        <v>35890</v>
      </c>
      <c r="B839" s="33">
        <v>3589</v>
      </c>
      <c r="C839" s="34" t="b">
        <v>1</v>
      </c>
      <c r="D839" s="34">
        <v>1</v>
      </c>
      <c r="E839" s="34" t="s">
        <v>3264</v>
      </c>
      <c r="F839" s="33">
        <v>52</v>
      </c>
      <c r="G839" s="33">
        <v>8</v>
      </c>
      <c r="H839" s="34"/>
      <c r="I839" s="34"/>
      <c r="J839" s="34"/>
    </row>
    <row r="840" spans="1:10">
      <c r="A840" s="33">
        <v>35900</v>
      </c>
      <c r="B840" s="33">
        <v>3590</v>
      </c>
      <c r="C840" s="34" t="b">
        <v>1</v>
      </c>
      <c r="D840" s="34">
        <v>1</v>
      </c>
      <c r="E840" s="34" t="s">
        <v>3264</v>
      </c>
      <c r="F840" s="33">
        <v>52</v>
      </c>
      <c r="G840" s="33">
        <v>8</v>
      </c>
      <c r="H840" s="34"/>
      <c r="I840" s="34"/>
      <c r="J840" s="34"/>
    </row>
    <row r="841" spans="1:10">
      <c r="A841" s="33">
        <v>35910</v>
      </c>
      <c r="B841" s="33">
        <v>3591</v>
      </c>
      <c r="C841" s="34" t="b">
        <v>1</v>
      </c>
      <c r="D841" s="34">
        <v>1</v>
      </c>
      <c r="E841" s="34" t="s">
        <v>3264</v>
      </c>
      <c r="F841" s="33">
        <v>52</v>
      </c>
      <c r="G841" s="33">
        <v>8</v>
      </c>
      <c r="H841" s="34"/>
      <c r="I841" s="34"/>
      <c r="J841" s="34"/>
    </row>
    <row r="842" spans="1:10">
      <c r="A842" s="33">
        <v>35920</v>
      </c>
      <c r="B842" s="33">
        <v>3592</v>
      </c>
      <c r="C842" s="34" t="b">
        <v>1</v>
      </c>
      <c r="D842" s="34">
        <v>1</v>
      </c>
      <c r="E842" s="34" t="s">
        <v>3264</v>
      </c>
      <c r="F842" s="33">
        <v>52</v>
      </c>
      <c r="G842" s="33">
        <v>8</v>
      </c>
      <c r="H842" s="34"/>
      <c r="I842" s="34"/>
      <c r="J842" s="34"/>
    </row>
    <row r="843" spans="1:10">
      <c r="A843" s="33">
        <v>35930</v>
      </c>
      <c r="B843" s="33">
        <v>3593</v>
      </c>
      <c r="C843" s="34" t="b">
        <v>1</v>
      </c>
      <c r="D843" s="34">
        <v>1</v>
      </c>
      <c r="E843" s="34" t="s">
        <v>3264</v>
      </c>
      <c r="F843" s="33">
        <v>52</v>
      </c>
      <c r="G843" s="33">
        <v>8</v>
      </c>
      <c r="H843" s="34"/>
      <c r="I843" s="34"/>
      <c r="J843" s="34"/>
    </row>
    <row r="844" spans="1:10">
      <c r="A844" s="33">
        <v>35940</v>
      </c>
      <c r="B844" s="33">
        <v>3594</v>
      </c>
      <c r="C844" s="34" t="b">
        <v>1</v>
      </c>
      <c r="D844" s="34">
        <v>1</v>
      </c>
      <c r="E844" s="34" t="s">
        <v>3264</v>
      </c>
      <c r="F844" s="33">
        <v>52</v>
      </c>
      <c r="G844" s="33">
        <v>8</v>
      </c>
      <c r="H844" s="34"/>
      <c r="I844" s="34"/>
      <c r="J844" s="34"/>
    </row>
    <row r="845" spans="1:10">
      <c r="A845" s="33">
        <v>35950</v>
      </c>
      <c r="B845" s="33">
        <v>3595</v>
      </c>
      <c r="C845" s="34" t="b">
        <v>1</v>
      </c>
      <c r="D845" s="34">
        <v>1</v>
      </c>
      <c r="E845" s="34" t="s">
        <v>3264</v>
      </c>
      <c r="F845" s="33">
        <v>52</v>
      </c>
      <c r="G845" s="33">
        <v>8</v>
      </c>
      <c r="H845" s="34"/>
      <c r="I845" s="34"/>
      <c r="J845" s="34"/>
    </row>
    <row r="846" spans="1:10">
      <c r="A846" s="33">
        <v>35960</v>
      </c>
      <c r="B846" s="33">
        <v>3596</v>
      </c>
      <c r="C846" s="34" t="b">
        <v>1</v>
      </c>
      <c r="D846" s="34">
        <v>1</v>
      </c>
      <c r="E846" s="34" t="s">
        <v>3264</v>
      </c>
      <c r="F846" s="33">
        <v>52</v>
      </c>
      <c r="G846" s="33">
        <v>8</v>
      </c>
      <c r="H846" s="34"/>
      <c r="I846" s="34"/>
      <c r="J846" s="34"/>
    </row>
    <row r="847" spans="1:10">
      <c r="A847" s="33">
        <v>35970</v>
      </c>
      <c r="B847" s="33">
        <v>3597</v>
      </c>
      <c r="C847" s="34" t="b">
        <v>1</v>
      </c>
      <c r="D847" s="34">
        <v>1</v>
      </c>
      <c r="E847" s="34" t="s">
        <v>3264</v>
      </c>
      <c r="F847" s="33">
        <v>52</v>
      </c>
      <c r="G847" s="33">
        <v>8</v>
      </c>
      <c r="H847" s="34"/>
      <c r="I847" s="34"/>
      <c r="J847" s="34"/>
    </row>
    <row r="848" spans="1:10">
      <c r="A848" s="33">
        <v>35980</v>
      </c>
      <c r="B848" s="33">
        <v>3598</v>
      </c>
      <c r="C848" s="34" t="b">
        <v>1</v>
      </c>
      <c r="D848" s="34">
        <v>1</v>
      </c>
      <c r="E848" s="34" t="s">
        <v>3264</v>
      </c>
      <c r="F848" s="33">
        <v>52</v>
      </c>
      <c r="G848" s="33">
        <v>8</v>
      </c>
      <c r="H848" s="34"/>
      <c r="I848" s="34"/>
      <c r="J848" s="34"/>
    </row>
    <row r="849" spans="1:10">
      <c r="A849" s="33">
        <v>35990</v>
      </c>
      <c r="B849" s="33">
        <v>3599</v>
      </c>
      <c r="C849" s="34" t="b">
        <v>1</v>
      </c>
      <c r="D849" s="34">
        <v>1</v>
      </c>
      <c r="E849" s="34" t="s">
        <v>3264</v>
      </c>
      <c r="F849" s="33">
        <v>52</v>
      </c>
      <c r="G849" s="33">
        <v>8</v>
      </c>
      <c r="H849" s="34"/>
      <c r="I849" s="34"/>
      <c r="J849" s="34"/>
    </row>
    <row r="850" spans="1:10">
      <c r="A850" s="33">
        <v>36000</v>
      </c>
      <c r="B850" s="33">
        <v>3600</v>
      </c>
      <c r="C850" s="34" t="b">
        <v>1</v>
      </c>
      <c r="D850" s="34">
        <v>1</v>
      </c>
      <c r="E850" s="34" t="s">
        <v>3264</v>
      </c>
      <c r="F850" s="33">
        <v>52</v>
      </c>
      <c r="G850" s="33">
        <v>8</v>
      </c>
      <c r="H850" s="34"/>
      <c r="I850" s="34"/>
      <c r="J850" s="34"/>
    </row>
    <row r="851" spans="1:10">
      <c r="A851" s="33">
        <v>36010</v>
      </c>
      <c r="B851" s="33">
        <v>3601</v>
      </c>
      <c r="C851" s="34" t="b">
        <v>1</v>
      </c>
      <c r="D851" s="34">
        <v>1</v>
      </c>
      <c r="E851" s="34" t="s">
        <v>3264</v>
      </c>
      <c r="F851" s="33">
        <v>52</v>
      </c>
      <c r="G851" s="33">
        <v>8</v>
      </c>
      <c r="H851" s="34"/>
      <c r="I851" s="34"/>
      <c r="J851" s="34"/>
    </row>
    <row r="852" spans="1:10">
      <c r="A852" s="33">
        <v>36020</v>
      </c>
      <c r="B852" s="33">
        <v>3602</v>
      </c>
      <c r="C852" s="34" t="b">
        <v>1</v>
      </c>
      <c r="D852" s="34">
        <v>1</v>
      </c>
      <c r="E852" s="34" t="s">
        <v>3264</v>
      </c>
      <c r="F852" s="33">
        <v>52</v>
      </c>
      <c r="G852" s="33">
        <v>8</v>
      </c>
      <c r="H852" s="34"/>
      <c r="I852" s="34"/>
      <c r="J852" s="34"/>
    </row>
    <row r="853" spans="1:10">
      <c r="A853" s="33">
        <v>36030</v>
      </c>
      <c r="B853" s="33">
        <v>3603</v>
      </c>
      <c r="C853" s="34" t="b">
        <v>1</v>
      </c>
      <c r="D853" s="34">
        <v>1</v>
      </c>
      <c r="E853" s="34" t="s">
        <v>3264</v>
      </c>
      <c r="F853" s="33">
        <v>52</v>
      </c>
      <c r="G853" s="33">
        <v>8</v>
      </c>
      <c r="H853" s="34"/>
      <c r="I853" s="34"/>
      <c r="J853" s="34"/>
    </row>
    <row r="854" spans="1:10">
      <c r="A854" s="33">
        <v>36040</v>
      </c>
      <c r="B854" s="33">
        <v>3604</v>
      </c>
      <c r="C854" s="34" t="b">
        <v>1</v>
      </c>
      <c r="D854" s="34">
        <v>1</v>
      </c>
      <c r="E854" s="34" t="s">
        <v>3264</v>
      </c>
      <c r="F854" s="33">
        <v>52</v>
      </c>
      <c r="G854" s="33">
        <v>8</v>
      </c>
      <c r="H854" s="34"/>
      <c r="I854" s="34"/>
      <c r="J854" s="34"/>
    </row>
    <row r="855" spans="1:10">
      <c r="A855" s="33">
        <v>36050</v>
      </c>
      <c r="B855" s="33">
        <v>3605</v>
      </c>
      <c r="C855" s="34" t="b">
        <v>1</v>
      </c>
      <c r="D855" s="34">
        <v>1</v>
      </c>
      <c r="E855" s="34" t="s">
        <v>3264</v>
      </c>
      <c r="F855" s="33">
        <v>52</v>
      </c>
      <c r="G855" s="33">
        <v>8</v>
      </c>
      <c r="H855" s="34"/>
      <c r="I855" s="34"/>
      <c r="J855" s="34"/>
    </row>
    <row r="856" spans="1:10">
      <c r="A856" s="33">
        <v>36060</v>
      </c>
      <c r="B856" s="33">
        <v>3606</v>
      </c>
      <c r="C856" s="34" t="b">
        <v>1</v>
      </c>
      <c r="D856" s="34">
        <v>1</v>
      </c>
      <c r="E856" s="34" t="s">
        <v>3264</v>
      </c>
      <c r="F856" s="33">
        <v>52</v>
      </c>
      <c r="G856" s="33">
        <v>8</v>
      </c>
      <c r="H856" s="34"/>
      <c r="I856" s="34"/>
      <c r="J856" s="34"/>
    </row>
    <row r="857" spans="1:10">
      <c r="A857" s="33">
        <v>36070</v>
      </c>
      <c r="B857" s="33">
        <v>3607</v>
      </c>
      <c r="C857" s="34" t="b">
        <v>1</v>
      </c>
      <c r="D857" s="34">
        <v>1</v>
      </c>
      <c r="E857" s="34" t="s">
        <v>3264</v>
      </c>
      <c r="F857" s="33">
        <v>52</v>
      </c>
      <c r="G857" s="33">
        <v>8</v>
      </c>
      <c r="H857" s="34"/>
      <c r="I857" s="34"/>
      <c r="J857" s="34"/>
    </row>
    <row r="858" spans="1:10">
      <c r="A858" s="33">
        <v>36080</v>
      </c>
      <c r="B858" s="33">
        <v>3608</v>
      </c>
      <c r="C858" s="34" t="b">
        <v>1</v>
      </c>
      <c r="D858" s="34">
        <v>1</v>
      </c>
      <c r="E858" s="34" t="s">
        <v>3264</v>
      </c>
      <c r="F858" s="33">
        <v>52</v>
      </c>
      <c r="G858" s="33">
        <v>8</v>
      </c>
      <c r="H858" s="34"/>
      <c r="I858" s="34"/>
      <c r="J858" s="34"/>
    </row>
    <row r="859" spans="1:10">
      <c r="A859" s="33">
        <v>36090</v>
      </c>
      <c r="B859" s="33">
        <v>3609</v>
      </c>
      <c r="C859" s="34" t="b">
        <v>1</v>
      </c>
      <c r="D859" s="34">
        <v>1</v>
      </c>
      <c r="E859" s="34" t="s">
        <v>3264</v>
      </c>
      <c r="F859" s="33">
        <v>52</v>
      </c>
      <c r="G859" s="33">
        <v>8</v>
      </c>
      <c r="H859" s="34"/>
      <c r="I859" s="34"/>
      <c r="J859" s="34"/>
    </row>
    <row r="860" spans="1:10">
      <c r="A860" s="33">
        <v>36100</v>
      </c>
      <c r="B860" s="33">
        <v>3610</v>
      </c>
      <c r="C860" s="34" t="b">
        <v>1</v>
      </c>
      <c r="D860" s="34">
        <v>1</v>
      </c>
      <c r="E860" s="34" t="s">
        <v>3264</v>
      </c>
      <c r="F860" s="33">
        <v>52</v>
      </c>
      <c r="G860" s="33">
        <v>8</v>
      </c>
      <c r="H860" s="34"/>
      <c r="I860" s="34"/>
      <c r="J860" s="34"/>
    </row>
    <row r="861" spans="1:10">
      <c r="A861" s="33">
        <v>36110</v>
      </c>
      <c r="B861" s="33">
        <v>3611</v>
      </c>
      <c r="C861" s="34" t="b">
        <v>1</v>
      </c>
      <c r="D861" s="34">
        <v>1</v>
      </c>
      <c r="E861" s="34" t="s">
        <v>3264</v>
      </c>
      <c r="F861" s="33">
        <v>52</v>
      </c>
      <c r="G861" s="33">
        <v>8</v>
      </c>
      <c r="H861" s="34"/>
      <c r="I861" s="34"/>
      <c r="J861" s="34"/>
    </row>
    <row r="862" spans="1:10">
      <c r="A862" s="33">
        <v>36120</v>
      </c>
      <c r="B862" s="33">
        <v>3612</v>
      </c>
      <c r="C862" s="34" t="b">
        <v>1</v>
      </c>
      <c r="D862" s="34">
        <v>1</v>
      </c>
      <c r="E862" s="34" t="s">
        <v>3264</v>
      </c>
      <c r="F862" s="33">
        <v>52</v>
      </c>
      <c r="G862" s="33">
        <v>8</v>
      </c>
      <c r="H862" s="34"/>
      <c r="I862" s="34"/>
      <c r="J862" s="34"/>
    </row>
    <row r="863" spans="1:10">
      <c r="A863" s="33">
        <v>36130</v>
      </c>
      <c r="B863" s="33">
        <v>3613</v>
      </c>
      <c r="C863" s="34" t="b">
        <v>1</v>
      </c>
      <c r="D863" s="34">
        <v>1</v>
      </c>
      <c r="E863" s="34" t="s">
        <v>3264</v>
      </c>
      <c r="F863" s="33">
        <v>52</v>
      </c>
      <c r="G863" s="33">
        <v>8</v>
      </c>
      <c r="H863" s="34"/>
      <c r="I863" s="34"/>
      <c r="J863" s="34"/>
    </row>
    <row r="864" spans="1:10">
      <c r="A864" s="33">
        <v>36140</v>
      </c>
      <c r="B864" s="33">
        <v>3614</v>
      </c>
      <c r="C864" s="34" t="b">
        <v>1</v>
      </c>
      <c r="D864" s="34">
        <v>1</v>
      </c>
      <c r="E864" s="34" t="s">
        <v>3264</v>
      </c>
      <c r="F864" s="33">
        <v>52</v>
      </c>
      <c r="G864" s="33">
        <v>8</v>
      </c>
      <c r="H864" s="34"/>
      <c r="I864" s="34"/>
      <c r="J864" s="34"/>
    </row>
    <row r="865" spans="1:10">
      <c r="A865" s="33">
        <v>36150</v>
      </c>
      <c r="B865" s="33">
        <v>3615</v>
      </c>
      <c r="C865" s="34" t="b">
        <v>1</v>
      </c>
      <c r="D865" s="34">
        <v>1</v>
      </c>
      <c r="E865" s="34" t="s">
        <v>3264</v>
      </c>
      <c r="F865" s="33">
        <v>52</v>
      </c>
      <c r="G865" s="33">
        <v>8</v>
      </c>
      <c r="H865" s="34"/>
      <c r="I865" s="34"/>
      <c r="J865" s="34"/>
    </row>
    <row r="866" spans="1:10">
      <c r="A866" s="33">
        <v>36160</v>
      </c>
      <c r="B866" s="33">
        <v>3616</v>
      </c>
      <c r="C866" s="34" t="b">
        <v>1</v>
      </c>
      <c r="D866" s="34">
        <v>1</v>
      </c>
      <c r="E866" s="34" t="s">
        <v>3264</v>
      </c>
      <c r="F866" s="33">
        <v>52</v>
      </c>
      <c r="G866" s="33">
        <v>8</v>
      </c>
      <c r="H866" s="34"/>
      <c r="I866" s="34"/>
      <c r="J866" s="34"/>
    </row>
    <row r="867" spans="1:10">
      <c r="A867" s="33">
        <v>36170</v>
      </c>
      <c r="B867" s="33">
        <v>3617</v>
      </c>
      <c r="C867" s="34" t="b">
        <v>1</v>
      </c>
      <c r="D867" s="34">
        <v>1</v>
      </c>
      <c r="E867" s="34" t="s">
        <v>3264</v>
      </c>
      <c r="F867" s="33">
        <v>52</v>
      </c>
      <c r="G867" s="33">
        <v>8</v>
      </c>
      <c r="H867" s="34"/>
      <c r="I867" s="34"/>
      <c r="J867" s="34"/>
    </row>
    <row r="868" spans="1:10">
      <c r="A868" s="33">
        <v>36180</v>
      </c>
      <c r="B868" s="33">
        <v>3618</v>
      </c>
      <c r="C868" s="34" t="b">
        <v>1</v>
      </c>
      <c r="D868" s="34">
        <v>1</v>
      </c>
      <c r="E868" s="34" t="s">
        <v>3264</v>
      </c>
      <c r="F868" s="33">
        <v>52</v>
      </c>
      <c r="G868" s="33">
        <v>8</v>
      </c>
      <c r="H868" s="34"/>
      <c r="I868" s="34"/>
      <c r="J868" s="34"/>
    </row>
    <row r="869" spans="1:10">
      <c r="A869" s="33">
        <v>36190</v>
      </c>
      <c r="B869" s="33">
        <v>3619</v>
      </c>
      <c r="C869" s="34" t="b">
        <v>1</v>
      </c>
      <c r="D869" s="34">
        <v>1</v>
      </c>
      <c r="E869" s="34" t="s">
        <v>3264</v>
      </c>
      <c r="F869" s="33">
        <v>52</v>
      </c>
      <c r="G869" s="33">
        <v>8</v>
      </c>
      <c r="H869" s="34"/>
      <c r="I869" s="34"/>
      <c r="J869" s="34"/>
    </row>
    <row r="870" spans="1:10">
      <c r="A870" s="33">
        <v>36200</v>
      </c>
      <c r="B870" s="33">
        <v>3620</v>
      </c>
      <c r="C870" s="34" t="b">
        <v>1</v>
      </c>
      <c r="D870" s="34">
        <v>1</v>
      </c>
      <c r="E870" s="34" t="s">
        <v>3264</v>
      </c>
      <c r="F870" s="33">
        <v>52</v>
      </c>
      <c r="G870" s="33">
        <v>8</v>
      </c>
      <c r="H870" s="34"/>
      <c r="I870" s="34"/>
      <c r="J870" s="34"/>
    </row>
    <row r="871" spans="1:10">
      <c r="A871" s="33">
        <v>36210</v>
      </c>
      <c r="B871" s="33">
        <v>3621</v>
      </c>
      <c r="C871" s="34" t="b">
        <v>1</v>
      </c>
      <c r="D871" s="34">
        <v>1</v>
      </c>
      <c r="E871" s="34" t="s">
        <v>3264</v>
      </c>
      <c r="F871" s="33">
        <v>52</v>
      </c>
      <c r="G871" s="33">
        <v>8</v>
      </c>
      <c r="H871" s="34"/>
      <c r="I871" s="34"/>
      <c r="J871" s="34"/>
    </row>
    <row r="872" spans="1:10">
      <c r="A872" s="33">
        <v>36220</v>
      </c>
      <c r="B872" s="33">
        <v>3622</v>
      </c>
      <c r="C872" s="34" t="b">
        <v>1</v>
      </c>
      <c r="D872" s="34">
        <v>1</v>
      </c>
      <c r="E872" s="34" t="s">
        <v>3264</v>
      </c>
      <c r="F872" s="33">
        <v>52</v>
      </c>
      <c r="G872" s="33">
        <v>8</v>
      </c>
      <c r="H872" s="34"/>
      <c r="I872" s="34"/>
      <c r="J872" s="34"/>
    </row>
    <row r="873" spans="1:10">
      <c r="A873" s="33">
        <v>36230</v>
      </c>
      <c r="B873" s="33">
        <v>3623</v>
      </c>
      <c r="C873" s="34" t="b">
        <v>1</v>
      </c>
      <c r="D873" s="34">
        <v>1</v>
      </c>
      <c r="E873" s="34" t="s">
        <v>3264</v>
      </c>
      <c r="F873" s="33">
        <v>52</v>
      </c>
      <c r="G873" s="33">
        <v>8</v>
      </c>
      <c r="H873" s="34"/>
      <c r="I873" s="34"/>
      <c r="J873" s="34"/>
    </row>
    <row r="874" spans="1:10">
      <c r="A874" s="33">
        <v>36240</v>
      </c>
      <c r="B874" s="33">
        <v>3624</v>
      </c>
      <c r="C874" s="34" t="b">
        <v>1</v>
      </c>
      <c r="D874" s="34">
        <v>1</v>
      </c>
      <c r="E874" s="34" t="s">
        <v>3264</v>
      </c>
      <c r="F874" s="33">
        <v>52</v>
      </c>
      <c r="G874" s="33">
        <v>8</v>
      </c>
      <c r="H874" s="34"/>
      <c r="I874" s="34"/>
      <c r="J874" s="34"/>
    </row>
    <row r="875" spans="1:10">
      <c r="A875" s="33">
        <v>36250</v>
      </c>
      <c r="B875" s="33">
        <v>3625</v>
      </c>
      <c r="C875" s="34" t="b">
        <v>1</v>
      </c>
      <c r="D875" s="34">
        <v>1</v>
      </c>
      <c r="E875" s="34" t="s">
        <v>3264</v>
      </c>
      <c r="F875" s="33">
        <v>52</v>
      </c>
      <c r="G875" s="33">
        <v>8</v>
      </c>
      <c r="H875" s="34"/>
      <c r="I875" s="34"/>
      <c r="J875" s="34"/>
    </row>
    <row r="876" spans="1:10">
      <c r="A876" s="33">
        <v>36260</v>
      </c>
      <c r="B876" s="33">
        <v>3626</v>
      </c>
      <c r="C876" s="34" t="b">
        <v>1</v>
      </c>
      <c r="D876" s="34">
        <v>1</v>
      </c>
      <c r="E876" s="34" t="s">
        <v>3264</v>
      </c>
      <c r="F876" s="33">
        <v>52</v>
      </c>
      <c r="G876" s="33">
        <v>8</v>
      </c>
      <c r="H876" s="34"/>
      <c r="I876" s="34"/>
      <c r="J876" s="34"/>
    </row>
    <row r="877" spans="1:10">
      <c r="A877" s="33">
        <v>36270</v>
      </c>
      <c r="B877" s="33">
        <v>3627</v>
      </c>
      <c r="C877" s="34" t="b">
        <v>1</v>
      </c>
      <c r="D877" s="34">
        <v>1</v>
      </c>
      <c r="E877" s="34" t="s">
        <v>3264</v>
      </c>
      <c r="F877" s="33">
        <v>52</v>
      </c>
      <c r="G877" s="33">
        <v>8</v>
      </c>
      <c r="H877" s="34"/>
      <c r="I877" s="34"/>
      <c r="J877" s="34"/>
    </row>
    <row r="878" spans="1:10">
      <c r="A878" s="33">
        <v>36280</v>
      </c>
      <c r="B878" s="33">
        <v>3628</v>
      </c>
      <c r="C878" s="34" t="b">
        <v>1</v>
      </c>
      <c r="D878" s="34">
        <v>1</v>
      </c>
      <c r="E878" s="34" t="s">
        <v>3264</v>
      </c>
      <c r="F878" s="33">
        <v>52</v>
      </c>
      <c r="G878" s="33">
        <v>8</v>
      </c>
      <c r="H878" s="34"/>
      <c r="I878" s="34"/>
      <c r="J878" s="34"/>
    </row>
    <row r="879" spans="1:10">
      <c r="A879" s="33">
        <v>36290</v>
      </c>
      <c r="B879" s="33">
        <v>3629</v>
      </c>
      <c r="C879" s="34" t="b">
        <v>1</v>
      </c>
      <c r="D879" s="34">
        <v>1</v>
      </c>
      <c r="E879" s="34" t="s">
        <v>3264</v>
      </c>
      <c r="F879" s="33">
        <v>52</v>
      </c>
      <c r="G879" s="33">
        <v>8</v>
      </c>
      <c r="H879" s="34"/>
      <c r="I879" s="34"/>
      <c r="J879" s="34"/>
    </row>
    <row r="880" spans="1:10">
      <c r="A880" s="33">
        <v>36300</v>
      </c>
      <c r="B880" s="33">
        <v>3630</v>
      </c>
      <c r="C880" s="34" t="b">
        <v>1</v>
      </c>
      <c r="D880" s="34">
        <v>1</v>
      </c>
      <c r="E880" s="34" t="s">
        <v>3264</v>
      </c>
      <c r="F880" s="33">
        <v>52</v>
      </c>
      <c r="G880" s="33">
        <v>8</v>
      </c>
      <c r="H880" s="34"/>
      <c r="I880" s="34"/>
      <c r="J880" s="34"/>
    </row>
    <row r="881" spans="1:10">
      <c r="A881" s="33">
        <v>36310</v>
      </c>
      <c r="B881" s="33">
        <v>3631</v>
      </c>
      <c r="C881" s="34" t="b">
        <v>1</v>
      </c>
      <c r="D881" s="34">
        <v>1</v>
      </c>
      <c r="E881" s="34" t="s">
        <v>3264</v>
      </c>
      <c r="F881" s="33">
        <v>52</v>
      </c>
      <c r="G881" s="33">
        <v>8</v>
      </c>
      <c r="H881" s="34"/>
      <c r="I881" s="34"/>
      <c r="J881" s="34"/>
    </row>
    <row r="882" spans="1:10">
      <c r="A882" s="33">
        <v>36320</v>
      </c>
      <c r="B882" s="33">
        <v>3632</v>
      </c>
      <c r="C882" s="34" t="b">
        <v>1</v>
      </c>
      <c r="D882" s="34">
        <v>1</v>
      </c>
      <c r="E882" s="34" t="s">
        <v>3264</v>
      </c>
      <c r="F882" s="33">
        <v>52</v>
      </c>
      <c r="G882" s="33">
        <v>8</v>
      </c>
      <c r="H882" s="34"/>
      <c r="I882" s="34"/>
      <c r="J882" s="34"/>
    </row>
    <row r="883" spans="1:10">
      <c r="A883" s="33">
        <v>36330</v>
      </c>
      <c r="B883" s="33">
        <v>3633</v>
      </c>
      <c r="C883" s="34" t="b">
        <v>1</v>
      </c>
      <c r="D883" s="34">
        <v>1</v>
      </c>
      <c r="E883" s="34" t="s">
        <v>3264</v>
      </c>
      <c r="F883" s="33">
        <v>52</v>
      </c>
      <c r="G883" s="33">
        <v>8</v>
      </c>
      <c r="H883" s="34"/>
      <c r="I883" s="34"/>
      <c r="J883" s="34"/>
    </row>
    <row r="884" spans="1:10">
      <c r="A884" s="33">
        <v>36340</v>
      </c>
      <c r="B884" s="33">
        <v>3634</v>
      </c>
      <c r="C884" s="34" t="b">
        <v>1</v>
      </c>
      <c r="D884" s="34">
        <v>1</v>
      </c>
      <c r="E884" s="34" t="s">
        <v>3264</v>
      </c>
      <c r="F884" s="33">
        <v>52</v>
      </c>
      <c r="G884" s="33">
        <v>8</v>
      </c>
      <c r="H884" s="34"/>
      <c r="I884" s="34"/>
      <c r="J884" s="34"/>
    </row>
    <row r="885" spans="1:10">
      <c r="A885" s="33">
        <v>36350</v>
      </c>
      <c r="B885" s="33">
        <v>3635</v>
      </c>
      <c r="C885" s="34" t="b">
        <v>1</v>
      </c>
      <c r="D885" s="34">
        <v>1</v>
      </c>
      <c r="E885" s="34" t="s">
        <v>3264</v>
      </c>
      <c r="F885" s="33">
        <v>52</v>
      </c>
      <c r="G885" s="33">
        <v>8</v>
      </c>
      <c r="H885" s="34"/>
      <c r="I885" s="34"/>
      <c r="J885" s="34"/>
    </row>
    <row r="886" spans="1:10">
      <c r="A886" s="33">
        <v>36360</v>
      </c>
      <c r="B886" s="33">
        <v>3636</v>
      </c>
      <c r="C886" s="34" t="b">
        <v>1</v>
      </c>
      <c r="D886" s="34">
        <v>1</v>
      </c>
      <c r="E886" s="34" t="s">
        <v>3264</v>
      </c>
      <c r="F886" s="33">
        <v>52</v>
      </c>
      <c r="G886" s="33">
        <v>8</v>
      </c>
      <c r="H886" s="34"/>
      <c r="I886" s="34"/>
      <c r="J886" s="34"/>
    </row>
    <row r="887" spans="1:10">
      <c r="A887" s="33">
        <v>36370</v>
      </c>
      <c r="B887" s="33">
        <v>3637</v>
      </c>
      <c r="C887" s="34" t="b">
        <v>1</v>
      </c>
      <c r="D887" s="34">
        <v>1</v>
      </c>
      <c r="E887" s="34" t="s">
        <v>3264</v>
      </c>
      <c r="F887" s="33">
        <v>52</v>
      </c>
      <c r="G887" s="33">
        <v>8</v>
      </c>
      <c r="H887" s="34"/>
      <c r="I887" s="34"/>
      <c r="J887" s="34"/>
    </row>
    <row r="888" spans="1:10">
      <c r="A888" s="33">
        <v>36380</v>
      </c>
      <c r="B888" s="33">
        <v>3638</v>
      </c>
      <c r="C888" s="34" t="b">
        <v>1</v>
      </c>
      <c r="D888" s="34">
        <v>1</v>
      </c>
      <c r="E888" s="34" t="s">
        <v>3264</v>
      </c>
      <c r="F888" s="33">
        <v>52</v>
      </c>
      <c r="G888" s="33">
        <v>8</v>
      </c>
      <c r="H888" s="34"/>
      <c r="I888" s="34"/>
      <c r="J888" s="34"/>
    </row>
    <row r="889" spans="1:10">
      <c r="A889" s="33">
        <v>36390</v>
      </c>
      <c r="B889" s="33">
        <v>3639</v>
      </c>
      <c r="C889" s="34" t="b">
        <v>1</v>
      </c>
      <c r="D889" s="34">
        <v>1</v>
      </c>
      <c r="E889" s="34" t="s">
        <v>3264</v>
      </c>
      <c r="F889" s="33">
        <v>52</v>
      </c>
      <c r="G889" s="33">
        <v>8</v>
      </c>
      <c r="H889" s="34"/>
      <c r="I889" s="34"/>
      <c r="J889" s="34"/>
    </row>
    <row r="890" spans="1:10">
      <c r="A890" s="33">
        <v>36400</v>
      </c>
      <c r="B890" s="33">
        <v>3640</v>
      </c>
      <c r="C890" s="34" t="b">
        <v>1</v>
      </c>
      <c r="D890" s="34">
        <v>1</v>
      </c>
      <c r="E890" s="34" t="s">
        <v>3264</v>
      </c>
      <c r="F890" s="33">
        <v>52</v>
      </c>
      <c r="G890" s="33">
        <v>8</v>
      </c>
      <c r="H890" s="34"/>
      <c r="I890" s="34"/>
      <c r="J890" s="34"/>
    </row>
    <row r="891" spans="1:10">
      <c r="A891" s="33">
        <v>36410</v>
      </c>
      <c r="B891" s="33">
        <v>3641</v>
      </c>
      <c r="C891" s="34" t="b">
        <v>1</v>
      </c>
      <c r="D891" s="34">
        <v>1</v>
      </c>
      <c r="E891" s="34" t="s">
        <v>3264</v>
      </c>
      <c r="F891" s="33">
        <v>52</v>
      </c>
      <c r="G891" s="33">
        <v>8</v>
      </c>
      <c r="H891" s="34"/>
      <c r="I891" s="34"/>
      <c r="J891" s="34"/>
    </row>
    <row r="892" spans="1:10">
      <c r="A892" s="33">
        <v>36420</v>
      </c>
      <c r="B892" s="33">
        <v>3642</v>
      </c>
      <c r="C892" s="34" t="b">
        <v>1</v>
      </c>
      <c r="D892" s="34">
        <v>1</v>
      </c>
      <c r="E892" s="34" t="s">
        <v>3264</v>
      </c>
      <c r="F892" s="33">
        <v>52</v>
      </c>
      <c r="G892" s="33">
        <v>8</v>
      </c>
      <c r="H892" s="34"/>
      <c r="I892" s="34"/>
      <c r="J892" s="34"/>
    </row>
    <row r="893" spans="1:10">
      <c r="A893" s="33">
        <v>36430</v>
      </c>
      <c r="B893" s="33">
        <v>3643</v>
      </c>
      <c r="C893" s="34" t="b">
        <v>1</v>
      </c>
      <c r="D893" s="34">
        <v>1</v>
      </c>
      <c r="E893" s="34" t="s">
        <v>3264</v>
      </c>
      <c r="F893" s="33">
        <v>52</v>
      </c>
      <c r="G893" s="33">
        <v>8</v>
      </c>
      <c r="H893" s="34"/>
      <c r="I893" s="34"/>
      <c r="J893" s="34"/>
    </row>
    <row r="894" spans="1:10">
      <c r="A894" s="33">
        <v>36440</v>
      </c>
      <c r="B894" s="33">
        <v>3644</v>
      </c>
      <c r="C894" s="34" t="b">
        <v>1</v>
      </c>
      <c r="D894" s="34">
        <v>1</v>
      </c>
      <c r="E894" s="34" t="s">
        <v>3264</v>
      </c>
      <c r="F894" s="33">
        <v>52</v>
      </c>
      <c r="G894" s="33">
        <v>8</v>
      </c>
      <c r="H894" s="34"/>
      <c r="I894" s="34"/>
      <c r="J894" s="34"/>
    </row>
    <row r="895" spans="1:10">
      <c r="A895" s="33">
        <v>36450</v>
      </c>
      <c r="B895" s="33">
        <v>3645</v>
      </c>
      <c r="C895" s="34" t="b">
        <v>1</v>
      </c>
      <c r="D895" s="34">
        <v>1</v>
      </c>
      <c r="E895" s="34" t="s">
        <v>3264</v>
      </c>
      <c r="F895" s="33">
        <v>52</v>
      </c>
      <c r="G895" s="33">
        <v>8</v>
      </c>
      <c r="H895" s="34"/>
      <c r="I895" s="34"/>
      <c r="J895" s="34"/>
    </row>
    <row r="896" spans="1:10">
      <c r="A896" s="33">
        <v>36460</v>
      </c>
      <c r="B896" s="33">
        <v>3646</v>
      </c>
      <c r="C896" s="34" t="b">
        <v>1</v>
      </c>
      <c r="D896" s="34">
        <v>1</v>
      </c>
      <c r="E896" s="34" t="s">
        <v>3264</v>
      </c>
      <c r="F896" s="33">
        <v>52</v>
      </c>
      <c r="G896" s="33">
        <v>8</v>
      </c>
      <c r="H896" s="34"/>
      <c r="I896" s="34"/>
      <c r="J896" s="34"/>
    </row>
    <row r="897" spans="1:10">
      <c r="A897" s="33">
        <v>36470</v>
      </c>
      <c r="B897" s="33">
        <v>3647</v>
      </c>
      <c r="C897" s="34" t="b">
        <v>1</v>
      </c>
      <c r="D897" s="34">
        <v>1</v>
      </c>
      <c r="E897" s="34" t="s">
        <v>3264</v>
      </c>
      <c r="F897" s="33">
        <v>52</v>
      </c>
      <c r="G897" s="33">
        <v>8</v>
      </c>
      <c r="H897" s="34"/>
      <c r="I897" s="34"/>
      <c r="J897" s="34"/>
    </row>
    <row r="898" spans="1:10">
      <c r="A898" s="33">
        <v>36480</v>
      </c>
      <c r="B898" s="33">
        <v>3648</v>
      </c>
      <c r="C898" s="34" t="b">
        <v>1</v>
      </c>
      <c r="D898" s="34">
        <v>1</v>
      </c>
      <c r="E898" s="34" t="s">
        <v>3264</v>
      </c>
      <c r="F898" s="33">
        <v>52</v>
      </c>
      <c r="G898" s="33">
        <v>8</v>
      </c>
      <c r="H898" s="34"/>
      <c r="I898" s="34"/>
      <c r="J898" s="34"/>
    </row>
    <row r="899" spans="1:10">
      <c r="A899" s="33">
        <v>36490</v>
      </c>
      <c r="B899" s="33">
        <v>3649</v>
      </c>
      <c r="C899" s="34" t="b">
        <v>1</v>
      </c>
      <c r="D899" s="34">
        <v>1</v>
      </c>
      <c r="E899" s="34" t="s">
        <v>3264</v>
      </c>
      <c r="F899" s="33">
        <v>52</v>
      </c>
      <c r="G899" s="33">
        <v>8</v>
      </c>
      <c r="H899" s="34"/>
      <c r="I899" s="34"/>
      <c r="J899" s="34"/>
    </row>
    <row r="900" spans="1:10">
      <c r="A900" s="33">
        <v>36500</v>
      </c>
      <c r="B900" s="33">
        <v>3650</v>
      </c>
      <c r="C900" s="34" t="b">
        <v>1</v>
      </c>
      <c r="D900" s="34">
        <v>1</v>
      </c>
      <c r="E900" s="34" t="s">
        <v>3264</v>
      </c>
      <c r="F900" s="33">
        <v>52</v>
      </c>
      <c r="G900" s="33">
        <v>8</v>
      </c>
      <c r="H900" s="34"/>
      <c r="I900" s="34"/>
      <c r="J900" s="34"/>
    </row>
    <row r="901" spans="1:10">
      <c r="A901" s="33">
        <v>36510</v>
      </c>
      <c r="B901" s="33">
        <v>3651</v>
      </c>
      <c r="C901" s="34" t="b">
        <v>1</v>
      </c>
      <c r="D901" s="34">
        <v>1</v>
      </c>
      <c r="E901" s="34" t="s">
        <v>3264</v>
      </c>
      <c r="F901" s="33">
        <v>52</v>
      </c>
      <c r="G901" s="33">
        <v>8</v>
      </c>
      <c r="H901" s="34"/>
      <c r="I901" s="34"/>
      <c r="J901" s="34"/>
    </row>
    <row r="902" spans="1:10">
      <c r="A902" s="33">
        <v>36520</v>
      </c>
      <c r="B902" s="33">
        <v>3652</v>
      </c>
      <c r="C902" s="34" t="b">
        <v>1</v>
      </c>
      <c r="D902" s="34">
        <v>1</v>
      </c>
      <c r="E902" s="34" t="s">
        <v>3264</v>
      </c>
      <c r="F902" s="33">
        <v>52</v>
      </c>
      <c r="G902" s="33">
        <v>8</v>
      </c>
      <c r="H902" s="34"/>
      <c r="I902" s="34"/>
      <c r="J902" s="34"/>
    </row>
    <row r="903" spans="1:10">
      <c r="A903" s="33">
        <v>36530</v>
      </c>
      <c r="B903" s="33">
        <v>3653</v>
      </c>
      <c r="C903" s="34" t="b">
        <v>1</v>
      </c>
      <c r="D903" s="34">
        <v>1</v>
      </c>
      <c r="E903" s="34" t="s">
        <v>3264</v>
      </c>
      <c r="F903" s="33">
        <v>52</v>
      </c>
      <c r="G903" s="33">
        <v>8</v>
      </c>
      <c r="H903" s="34"/>
      <c r="I903" s="34"/>
      <c r="J903" s="34"/>
    </row>
    <row r="904" spans="1:10">
      <c r="A904" s="33">
        <v>36540</v>
      </c>
      <c r="B904" s="33">
        <v>3654</v>
      </c>
      <c r="C904" s="34" t="b">
        <v>1</v>
      </c>
      <c r="D904" s="34">
        <v>1</v>
      </c>
      <c r="E904" s="34" t="s">
        <v>3264</v>
      </c>
      <c r="F904" s="33">
        <v>52</v>
      </c>
      <c r="G904" s="33">
        <v>8</v>
      </c>
      <c r="H904" s="34"/>
      <c r="I904" s="34"/>
      <c r="J904" s="34"/>
    </row>
    <row r="905" spans="1:10">
      <c r="A905" s="33">
        <v>36550</v>
      </c>
      <c r="B905" s="33">
        <v>3655</v>
      </c>
      <c r="C905" s="34" t="b">
        <v>1</v>
      </c>
      <c r="D905" s="34">
        <v>1</v>
      </c>
      <c r="E905" s="34" t="s">
        <v>3264</v>
      </c>
      <c r="F905" s="33">
        <v>52</v>
      </c>
      <c r="G905" s="33">
        <v>8</v>
      </c>
      <c r="H905" s="34"/>
      <c r="I905" s="34"/>
      <c r="J905" s="34"/>
    </row>
    <row r="906" spans="1:10">
      <c r="A906" s="33">
        <v>36560</v>
      </c>
      <c r="B906" s="33">
        <v>3656</v>
      </c>
      <c r="C906" s="34" t="b">
        <v>1</v>
      </c>
      <c r="D906" s="34">
        <v>1</v>
      </c>
      <c r="E906" s="34" t="s">
        <v>3264</v>
      </c>
      <c r="F906" s="33">
        <v>52</v>
      </c>
      <c r="G906" s="33">
        <v>8</v>
      </c>
      <c r="H906" s="34"/>
      <c r="I906" s="34"/>
      <c r="J906" s="34"/>
    </row>
    <row r="907" spans="1:10">
      <c r="A907" s="33">
        <v>36570</v>
      </c>
      <c r="B907" s="33">
        <v>3657</v>
      </c>
      <c r="C907" s="34" t="b">
        <v>1</v>
      </c>
      <c r="D907" s="34">
        <v>1</v>
      </c>
      <c r="E907" s="34" t="s">
        <v>3264</v>
      </c>
      <c r="F907" s="33">
        <v>52</v>
      </c>
      <c r="G907" s="33">
        <v>8</v>
      </c>
      <c r="H907" s="34"/>
      <c r="I907" s="34"/>
      <c r="J907" s="34"/>
    </row>
    <row r="908" spans="1:10">
      <c r="A908" s="33">
        <v>36580</v>
      </c>
      <c r="B908" s="33">
        <v>3658</v>
      </c>
      <c r="C908" s="34" t="b">
        <v>1</v>
      </c>
      <c r="D908" s="34">
        <v>1</v>
      </c>
      <c r="E908" s="34" t="s">
        <v>3264</v>
      </c>
      <c r="F908" s="33">
        <v>52</v>
      </c>
      <c r="G908" s="33">
        <v>8</v>
      </c>
      <c r="H908" s="34"/>
      <c r="I908" s="34"/>
      <c r="J908" s="34"/>
    </row>
    <row r="909" spans="1:10">
      <c r="A909" s="33">
        <v>36590</v>
      </c>
      <c r="B909" s="33">
        <v>3659</v>
      </c>
      <c r="C909" s="34" t="b">
        <v>1</v>
      </c>
      <c r="D909" s="34">
        <v>1</v>
      </c>
      <c r="E909" s="34" t="s">
        <v>3264</v>
      </c>
      <c r="F909" s="33">
        <v>52</v>
      </c>
      <c r="G909" s="33">
        <v>8</v>
      </c>
      <c r="H909" s="34"/>
      <c r="I909" s="34"/>
      <c r="J909" s="34"/>
    </row>
    <row r="910" spans="1:10">
      <c r="A910" s="33">
        <v>36600</v>
      </c>
      <c r="B910" s="33">
        <v>3660</v>
      </c>
      <c r="C910" s="34" t="b">
        <v>1</v>
      </c>
      <c r="D910" s="34">
        <v>1</v>
      </c>
      <c r="E910" s="34" t="s">
        <v>3264</v>
      </c>
      <c r="F910" s="33">
        <v>52</v>
      </c>
      <c r="G910" s="33">
        <v>8</v>
      </c>
      <c r="H910" s="34"/>
      <c r="I910" s="34"/>
      <c r="J910" s="34"/>
    </row>
    <row r="911" spans="1:10">
      <c r="A911" s="33">
        <v>36610</v>
      </c>
      <c r="B911" s="33">
        <v>3661</v>
      </c>
      <c r="C911" s="34" t="b">
        <v>1</v>
      </c>
      <c r="D911" s="34">
        <v>1</v>
      </c>
      <c r="E911" s="34" t="s">
        <v>3264</v>
      </c>
      <c r="F911" s="33">
        <v>52</v>
      </c>
      <c r="G911" s="33">
        <v>8</v>
      </c>
      <c r="H911" s="34"/>
      <c r="I911" s="34"/>
      <c r="J911" s="34"/>
    </row>
    <row r="912" spans="1:10">
      <c r="A912" s="33">
        <v>36620</v>
      </c>
      <c r="B912" s="33">
        <v>3662</v>
      </c>
      <c r="C912" s="34" t="b">
        <v>1</v>
      </c>
      <c r="D912" s="34">
        <v>1</v>
      </c>
      <c r="E912" s="34" t="s">
        <v>3264</v>
      </c>
      <c r="F912" s="33">
        <v>52</v>
      </c>
      <c r="G912" s="33">
        <v>8</v>
      </c>
      <c r="H912" s="34"/>
      <c r="I912" s="34"/>
      <c r="J912" s="34"/>
    </row>
    <row r="913" spans="1:10">
      <c r="A913" s="33">
        <v>36630</v>
      </c>
      <c r="B913" s="33">
        <v>3663</v>
      </c>
      <c r="C913" s="34" t="b">
        <v>1</v>
      </c>
      <c r="D913" s="34">
        <v>1</v>
      </c>
      <c r="E913" s="34" t="s">
        <v>3264</v>
      </c>
      <c r="F913" s="33">
        <v>52</v>
      </c>
      <c r="G913" s="33">
        <v>8</v>
      </c>
      <c r="H913" s="34"/>
      <c r="I913" s="34"/>
      <c r="J913" s="34"/>
    </row>
    <row r="914" spans="1:10">
      <c r="A914" s="33">
        <v>36640</v>
      </c>
      <c r="B914" s="33">
        <v>3664</v>
      </c>
      <c r="C914" s="34" t="b">
        <v>1</v>
      </c>
      <c r="D914" s="34">
        <v>1</v>
      </c>
      <c r="E914" s="34" t="s">
        <v>3264</v>
      </c>
      <c r="F914" s="33">
        <v>52</v>
      </c>
      <c r="G914" s="33">
        <v>8</v>
      </c>
      <c r="H914" s="34"/>
      <c r="I914" s="34"/>
      <c r="J914" s="34"/>
    </row>
    <row r="915" spans="1:10">
      <c r="A915" s="33">
        <v>36650</v>
      </c>
      <c r="B915" s="33">
        <v>3665</v>
      </c>
      <c r="C915" s="34" t="b">
        <v>1</v>
      </c>
      <c r="D915" s="34">
        <v>1</v>
      </c>
      <c r="E915" s="34" t="s">
        <v>3264</v>
      </c>
      <c r="F915" s="33">
        <v>52</v>
      </c>
      <c r="G915" s="33">
        <v>8</v>
      </c>
      <c r="H915" s="34"/>
      <c r="I915" s="34"/>
      <c r="J915" s="34"/>
    </row>
    <row r="916" spans="1:10">
      <c r="A916" s="33">
        <v>36660</v>
      </c>
      <c r="B916" s="33">
        <v>3666</v>
      </c>
      <c r="C916" s="34" t="b">
        <v>1</v>
      </c>
      <c r="D916" s="34">
        <v>1</v>
      </c>
      <c r="E916" s="34" t="s">
        <v>3264</v>
      </c>
      <c r="F916" s="33">
        <v>52</v>
      </c>
      <c r="G916" s="33">
        <v>8</v>
      </c>
      <c r="H916" s="34"/>
      <c r="I916" s="34"/>
      <c r="J916" s="34"/>
    </row>
    <row r="917" spans="1:10">
      <c r="A917" s="33">
        <v>36670</v>
      </c>
      <c r="B917" s="33">
        <v>3667</v>
      </c>
      <c r="C917" s="34" t="b">
        <v>1</v>
      </c>
      <c r="D917" s="34">
        <v>1</v>
      </c>
      <c r="E917" s="34" t="s">
        <v>3264</v>
      </c>
      <c r="F917" s="33">
        <v>52</v>
      </c>
      <c r="G917" s="33">
        <v>8</v>
      </c>
      <c r="H917" s="34"/>
      <c r="I917" s="34"/>
      <c r="J917" s="34"/>
    </row>
    <row r="918" spans="1:10">
      <c r="A918" s="33">
        <v>36680</v>
      </c>
      <c r="B918" s="33">
        <v>3668</v>
      </c>
      <c r="C918" s="34" t="b">
        <v>1</v>
      </c>
      <c r="D918" s="34">
        <v>1</v>
      </c>
      <c r="E918" s="34" t="s">
        <v>3264</v>
      </c>
      <c r="F918" s="33">
        <v>52</v>
      </c>
      <c r="G918" s="33">
        <v>8</v>
      </c>
      <c r="H918" s="34"/>
      <c r="I918" s="34"/>
      <c r="J918" s="34"/>
    </row>
    <row r="919" spans="1:10">
      <c r="A919" s="33">
        <v>36690</v>
      </c>
      <c r="B919" s="33">
        <v>3669</v>
      </c>
      <c r="C919" s="34" t="b">
        <v>1</v>
      </c>
      <c r="D919" s="34">
        <v>1</v>
      </c>
      <c r="E919" s="34" t="s">
        <v>3264</v>
      </c>
      <c r="F919" s="33">
        <v>52</v>
      </c>
      <c r="G919" s="33">
        <v>8</v>
      </c>
      <c r="H919" s="34"/>
      <c r="I919" s="34"/>
      <c r="J919" s="34"/>
    </row>
    <row r="920" spans="1:10">
      <c r="A920" s="33">
        <v>36700</v>
      </c>
      <c r="B920" s="33">
        <v>3670</v>
      </c>
      <c r="C920" s="34" t="b">
        <v>1</v>
      </c>
      <c r="D920" s="34">
        <v>1</v>
      </c>
      <c r="E920" s="34" t="s">
        <v>3264</v>
      </c>
      <c r="F920" s="33">
        <v>52</v>
      </c>
      <c r="G920" s="33">
        <v>8</v>
      </c>
      <c r="H920" s="34"/>
      <c r="I920" s="34"/>
      <c r="J920" s="34"/>
    </row>
    <row r="921" spans="1:10">
      <c r="A921" s="33">
        <v>36710</v>
      </c>
      <c r="B921" s="33">
        <v>3671</v>
      </c>
      <c r="C921" s="34" t="b">
        <v>1</v>
      </c>
      <c r="D921" s="34">
        <v>1</v>
      </c>
      <c r="E921" s="34" t="s">
        <v>3264</v>
      </c>
      <c r="F921" s="33">
        <v>52</v>
      </c>
      <c r="G921" s="33">
        <v>8</v>
      </c>
      <c r="H921" s="34"/>
      <c r="I921" s="34"/>
      <c r="J921" s="34"/>
    </row>
    <row r="922" spans="1:10">
      <c r="A922" s="33">
        <v>36720</v>
      </c>
      <c r="B922" s="33">
        <v>3672</v>
      </c>
      <c r="C922" s="34" t="b">
        <v>1</v>
      </c>
      <c r="D922" s="34">
        <v>1</v>
      </c>
      <c r="E922" s="34" t="s">
        <v>3264</v>
      </c>
      <c r="F922" s="33">
        <v>52</v>
      </c>
      <c r="G922" s="33">
        <v>8</v>
      </c>
      <c r="H922" s="34"/>
      <c r="I922" s="34"/>
      <c r="J922" s="34"/>
    </row>
    <row r="923" spans="1:10">
      <c r="A923" s="33">
        <v>36730</v>
      </c>
      <c r="B923" s="33">
        <v>3673</v>
      </c>
      <c r="C923" s="34" t="b">
        <v>1</v>
      </c>
      <c r="D923" s="34">
        <v>1</v>
      </c>
      <c r="E923" s="34" t="s">
        <v>3264</v>
      </c>
      <c r="F923" s="33">
        <v>52</v>
      </c>
      <c r="G923" s="33">
        <v>8</v>
      </c>
      <c r="H923" s="34"/>
      <c r="I923" s="34"/>
      <c r="J923" s="34"/>
    </row>
    <row r="924" spans="1:10">
      <c r="A924" s="33">
        <v>36740</v>
      </c>
      <c r="B924" s="33">
        <v>3674</v>
      </c>
      <c r="C924" s="34" t="b">
        <v>1</v>
      </c>
      <c r="D924" s="34">
        <v>1</v>
      </c>
      <c r="E924" s="34" t="s">
        <v>3264</v>
      </c>
      <c r="F924" s="33">
        <v>52</v>
      </c>
      <c r="G924" s="33">
        <v>8</v>
      </c>
      <c r="H924" s="34"/>
      <c r="I924" s="34"/>
      <c r="J924" s="34"/>
    </row>
    <row r="925" spans="1:10">
      <c r="A925" s="33">
        <v>36750</v>
      </c>
      <c r="B925" s="33">
        <v>3675</v>
      </c>
      <c r="C925" s="34" t="b">
        <v>1</v>
      </c>
      <c r="D925" s="34">
        <v>1</v>
      </c>
      <c r="E925" s="34" t="s">
        <v>3264</v>
      </c>
      <c r="F925" s="33">
        <v>52</v>
      </c>
      <c r="G925" s="33">
        <v>8</v>
      </c>
      <c r="H925" s="34"/>
      <c r="I925" s="34"/>
      <c r="J925" s="34"/>
    </row>
    <row r="926" spans="1:10">
      <c r="A926" s="33">
        <v>36760</v>
      </c>
      <c r="B926" s="33">
        <v>3676</v>
      </c>
      <c r="C926" s="34" t="b">
        <v>1</v>
      </c>
      <c r="D926" s="34">
        <v>1</v>
      </c>
      <c r="E926" s="34" t="s">
        <v>3264</v>
      </c>
      <c r="F926" s="33">
        <v>52</v>
      </c>
      <c r="G926" s="33">
        <v>8</v>
      </c>
      <c r="H926" s="34"/>
      <c r="I926" s="34"/>
      <c r="J926" s="34"/>
    </row>
    <row r="927" spans="1:10">
      <c r="A927" s="33">
        <v>36770</v>
      </c>
      <c r="B927" s="33">
        <v>3677</v>
      </c>
      <c r="C927" s="34" t="b">
        <v>1</v>
      </c>
      <c r="D927" s="34">
        <v>1</v>
      </c>
      <c r="E927" s="34" t="s">
        <v>3264</v>
      </c>
      <c r="F927" s="33">
        <v>52</v>
      </c>
      <c r="G927" s="33">
        <v>8</v>
      </c>
      <c r="H927" s="34"/>
      <c r="I927" s="34"/>
      <c r="J927" s="34"/>
    </row>
    <row r="928" spans="1:10">
      <c r="A928" s="33">
        <v>36780</v>
      </c>
      <c r="B928" s="33">
        <v>3678</v>
      </c>
      <c r="C928" s="34" t="b">
        <v>1</v>
      </c>
      <c r="D928" s="34">
        <v>1</v>
      </c>
      <c r="E928" s="34" t="s">
        <v>3264</v>
      </c>
      <c r="F928" s="33">
        <v>52</v>
      </c>
      <c r="G928" s="33">
        <v>8</v>
      </c>
      <c r="H928" s="34"/>
      <c r="I928" s="34"/>
      <c r="J928" s="34"/>
    </row>
    <row r="929" spans="1:10">
      <c r="A929" s="33">
        <v>36790</v>
      </c>
      <c r="B929" s="33">
        <v>3679</v>
      </c>
      <c r="C929" s="34" t="b">
        <v>1</v>
      </c>
      <c r="D929" s="34">
        <v>1</v>
      </c>
      <c r="E929" s="34" t="s">
        <v>3264</v>
      </c>
      <c r="F929" s="33">
        <v>52</v>
      </c>
      <c r="G929" s="33">
        <v>8</v>
      </c>
      <c r="H929" s="34"/>
      <c r="I929" s="34"/>
      <c r="J929" s="34"/>
    </row>
    <row r="930" spans="1:10">
      <c r="A930" s="33">
        <v>36800</v>
      </c>
      <c r="B930" s="33">
        <v>3680</v>
      </c>
      <c r="C930" s="34" t="b">
        <v>1</v>
      </c>
      <c r="D930" s="34">
        <v>1</v>
      </c>
      <c r="E930" s="34" t="s">
        <v>3264</v>
      </c>
      <c r="F930" s="33">
        <v>52</v>
      </c>
      <c r="G930" s="33">
        <v>8</v>
      </c>
      <c r="H930" s="34"/>
      <c r="I930" s="34"/>
      <c r="J930" s="34"/>
    </row>
    <row r="931" spans="1:10">
      <c r="A931" s="33">
        <v>36810</v>
      </c>
      <c r="B931" s="33">
        <v>3681</v>
      </c>
      <c r="C931" s="34" t="b">
        <v>1</v>
      </c>
      <c r="D931" s="34">
        <v>1</v>
      </c>
      <c r="E931" s="34" t="s">
        <v>3264</v>
      </c>
      <c r="F931" s="33">
        <v>52</v>
      </c>
      <c r="G931" s="33">
        <v>8</v>
      </c>
      <c r="H931" s="34"/>
      <c r="I931" s="34"/>
      <c r="J931" s="34"/>
    </row>
    <row r="932" spans="1:10">
      <c r="A932" s="33">
        <v>36820</v>
      </c>
      <c r="B932" s="33">
        <v>3682</v>
      </c>
      <c r="C932" s="34" t="b">
        <v>1</v>
      </c>
      <c r="D932" s="34">
        <v>1</v>
      </c>
      <c r="E932" s="34" t="s">
        <v>3264</v>
      </c>
      <c r="F932" s="33">
        <v>52</v>
      </c>
      <c r="G932" s="33">
        <v>8</v>
      </c>
      <c r="H932" s="34"/>
      <c r="I932" s="34"/>
      <c r="J932" s="34"/>
    </row>
    <row r="933" spans="1:10">
      <c r="A933" s="33">
        <v>36830</v>
      </c>
      <c r="B933" s="33">
        <v>3683</v>
      </c>
      <c r="C933" s="34" t="b">
        <v>1</v>
      </c>
      <c r="D933" s="34">
        <v>1</v>
      </c>
      <c r="E933" s="34" t="s">
        <v>3264</v>
      </c>
      <c r="F933" s="33">
        <v>52</v>
      </c>
      <c r="G933" s="33">
        <v>8</v>
      </c>
      <c r="H933" s="34"/>
      <c r="I933" s="34"/>
      <c r="J933" s="34"/>
    </row>
    <row r="934" spans="1:10">
      <c r="A934" s="33">
        <v>36840</v>
      </c>
      <c r="B934" s="33">
        <v>3684</v>
      </c>
      <c r="C934" s="34" t="b">
        <v>1</v>
      </c>
      <c r="D934" s="34">
        <v>1</v>
      </c>
      <c r="E934" s="34" t="s">
        <v>3264</v>
      </c>
      <c r="F934" s="33">
        <v>52</v>
      </c>
      <c r="G934" s="33">
        <v>8</v>
      </c>
      <c r="H934" s="34"/>
      <c r="I934" s="34"/>
      <c r="J934" s="34"/>
    </row>
    <row r="935" spans="1:10">
      <c r="A935" s="33">
        <v>36850</v>
      </c>
      <c r="B935" s="33">
        <v>3685</v>
      </c>
      <c r="C935" s="34" t="b">
        <v>1</v>
      </c>
      <c r="D935" s="34">
        <v>1</v>
      </c>
      <c r="E935" s="34" t="s">
        <v>3264</v>
      </c>
      <c r="F935" s="33">
        <v>52</v>
      </c>
      <c r="G935" s="33">
        <v>8</v>
      </c>
      <c r="H935" s="34"/>
      <c r="I935" s="34"/>
      <c r="J935" s="34"/>
    </row>
    <row r="936" spans="1:10">
      <c r="A936" s="33">
        <v>36860</v>
      </c>
      <c r="B936" s="33">
        <v>3686</v>
      </c>
      <c r="C936" s="34" t="b">
        <v>1</v>
      </c>
      <c r="D936" s="34">
        <v>1</v>
      </c>
      <c r="E936" s="34" t="s">
        <v>3264</v>
      </c>
      <c r="F936" s="33">
        <v>52</v>
      </c>
      <c r="G936" s="33">
        <v>8</v>
      </c>
      <c r="H936" s="34"/>
      <c r="I936" s="34"/>
      <c r="J936" s="34"/>
    </row>
    <row r="937" spans="1:10">
      <c r="A937" s="33">
        <v>36870</v>
      </c>
      <c r="B937" s="33">
        <v>3687</v>
      </c>
      <c r="C937" s="34" t="b">
        <v>1</v>
      </c>
      <c r="D937" s="34">
        <v>1</v>
      </c>
      <c r="E937" s="34" t="s">
        <v>3264</v>
      </c>
      <c r="F937" s="33">
        <v>52</v>
      </c>
      <c r="G937" s="33">
        <v>8</v>
      </c>
      <c r="H937" s="34"/>
      <c r="I937" s="34"/>
      <c r="J937" s="34"/>
    </row>
    <row r="938" spans="1:10">
      <c r="A938" s="33">
        <v>36880</v>
      </c>
      <c r="B938" s="33">
        <v>3688</v>
      </c>
      <c r="C938" s="34" t="b">
        <v>1</v>
      </c>
      <c r="D938" s="34">
        <v>1</v>
      </c>
      <c r="E938" s="34" t="s">
        <v>3264</v>
      </c>
      <c r="F938" s="33">
        <v>52</v>
      </c>
      <c r="G938" s="33">
        <v>8</v>
      </c>
      <c r="H938" s="34"/>
      <c r="I938" s="34"/>
      <c r="J938" s="34"/>
    </row>
    <row r="939" spans="1:10">
      <c r="A939" s="33">
        <v>36890</v>
      </c>
      <c r="B939" s="33">
        <v>3689</v>
      </c>
      <c r="C939" s="34" t="b">
        <v>1</v>
      </c>
      <c r="D939" s="34">
        <v>1</v>
      </c>
      <c r="E939" s="34" t="s">
        <v>3264</v>
      </c>
      <c r="F939" s="33">
        <v>52</v>
      </c>
      <c r="G939" s="33">
        <v>8</v>
      </c>
      <c r="H939" s="34"/>
      <c r="I939" s="34"/>
      <c r="J939" s="34"/>
    </row>
    <row r="940" spans="1:10">
      <c r="A940" s="33">
        <v>36900</v>
      </c>
      <c r="B940" s="33">
        <v>3690</v>
      </c>
      <c r="C940" s="34" t="b">
        <v>1</v>
      </c>
      <c r="D940" s="34">
        <v>1</v>
      </c>
      <c r="E940" s="34" t="s">
        <v>3264</v>
      </c>
      <c r="F940" s="33">
        <v>52</v>
      </c>
      <c r="G940" s="33">
        <v>8</v>
      </c>
      <c r="H940" s="34"/>
      <c r="I940" s="34"/>
      <c r="J940" s="34"/>
    </row>
    <row r="941" spans="1:10">
      <c r="A941" s="33">
        <v>36910</v>
      </c>
      <c r="B941" s="33">
        <v>3691</v>
      </c>
      <c r="C941" s="34" t="b">
        <v>1</v>
      </c>
      <c r="D941" s="34">
        <v>1</v>
      </c>
      <c r="E941" s="34" t="s">
        <v>3264</v>
      </c>
      <c r="F941" s="33">
        <v>52</v>
      </c>
      <c r="G941" s="33">
        <v>8</v>
      </c>
      <c r="H941" s="34"/>
      <c r="I941" s="34"/>
      <c r="J941" s="34"/>
    </row>
    <row r="942" spans="1:10">
      <c r="A942" s="33">
        <v>36920</v>
      </c>
      <c r="B942" s="33">
        <v>3692</v>
      </c>
      <c r="C942" s="34" t="b">
        <v>1</v>
      </c>
      <c r="D942" s="34">
        <v>1</v>
      </c>
      <c r="E942" s="34" t="s">
        <v>3264</v>
      </c>
      <c r="F942" s="33">
        <v>52</v>
      </c>
      <c r="G942" s="33">
        <v>8</v>
      </c>
      <c r="H942" s="34"/>
      <c r="I942" s="34"/>
      <c r="J942" s="34"/>
    </row>
    <row r="943" spans="1:10">
      <c r="A943" s="33">
        <v>36930</v>
      </c>
      <c r="B943" s="33">
        <v>3693</v>
      </c>
      <c r="C943" s="34" t="b">
        <v>1</v>
      </c>
      <c r="D943" s="34">
        <v>1</v>
      </c>
      <c r="E943" s="34" t="s">
        <v>3264</v>
      </c>
      <c r="F943" s="33">
        <v>52</v>
      </c>
      <c r="G943" s="33">
        <v>8</v>
      </c>
      <c r="H943" s="34"/>
      <c r="I943" s="34"/>
      <c r="J943" s="34"/>
    </row>
    <row r="944" spans="1:10">
      <c r="A944" s="33">
        <v>36940</v>
      </c>
      <c r="B944" s="33">
        <v>3694</v>
      </c>
      <c r="C944" s="34" t="b">
        <v>1</v>
      </c>
      <c r="D944" s="34">
        <v>1</v>
      </c>
      <c r="E944" s="34" t="s">
        <v>3264</v>
      </c>
      <c r="F944" s="33">
        <v>52</v>
      </c>
      <c r="G944" s="33">
        <v>8</v>
      </c>
      <c r="H944" s="34"/>
      <c r="I944" s="34"/>
      <c r="J944" s="34"/>
    </row>
    <row r="945" spans="1:10">
      <c r="A945" s="33">
        <v>36950</v>
      </c>
      <c r="B945" s="33">
        <v>3695</v>
      </c>
      <c r="C945" s="34" t="b">
        <v>1</v>
      </c>
      <c r="D945" s="34">
        <v>1</v>
      </c>
      <c r="E945" s="34" t="s">
        <v>3264</v>
      </c>
      <c r="F945" s="33">
        <v>52</v>
      </c>
      <c r="G945" s="33">
        <v>8</v>
      </c>
      <c r="H945" s="34"/>
      <c r="I945" s="34"/>
      <c r="J945" s="34"/>
    </row>
    <row r="946" spans="1:10">
      <c r="A946" s="33">
        <v>36960</v>
      </c>
      <c r="B946" s="33">
        <v>3696</v>
      </c>
      <c r="C946" s="34" t="b">
        <v>1</v>
      </c>
      <c r="D946" s="34">
        <v>1</v>
      </c>
      <c r="E946" s="34" t="s">
        <v>3264</v>
      </c>
      <c r="F946" s="33">
        <v>52</v>
      </c>
      <c r="G946" s="33">
        <v>8</v>
      </c>
      <c r="H946" s="34"/>
      <c r="I946" s="34"/>
      <c r="J946" s="34"/>
    </row>
    <row r="947" spans="1:10">
      <c r="A947" s="33">
        <v>36970</v>
      </c>
      <c r="B947" s="33">
        <v>3697</v>
      </c>
      <c r="C947" s="34" t="b">
        <v>1</v>
      </c>
      <c r="D947" s="34">
        <v>1</v>
      </c>
      <c r="E947" s="34" t="s">
        <v>3264</v>
      </c>
      <c r="F947" s="33">
        <v>52</v>
      </c>
      <c r="G947" s="33">
        <v>8</v>
      </c>
      <c r="H947" s="34"/>
      <c r="I947" s="34"/>
      <c r="J947" s="34"/>
    </row>
    <row r="948" spans="1:10">
      <c r="A948" s="33">
        <v>36980</v>
      </c>
      <c r="B948" s="33">
        <v>3698</v>
      </c>
      <c r="C948" s="34" t="b">
        <v>1</v>
      </c>
      <c r="D948" s="34">
        <v>1</v>
      </c>
      <c r="E948" s="34" t="s">
        <v>3264</v>
      </c>
      <c r="F948" s="33">
        <v>52</v>
      </c>
      <c r="G948" s="33">
        <v>8</v>
      </c>
      <c r="H948" s="34"/>
      <c r="I948" s="34"/>
      <c r="J948" s="34"/>
    </row>
    <row r="949" spans="1:10">
      <c r="A949" s="33">
        <v>36990</v>
      </c>
      <c r="B949" s="33">
        <v>3699</v>
      </c>
      <c r="C949" s="34" t="b">
        <v>1</v>
      </c>
      <c r="D949" s="34">
        <v>1</v>
      </c>
      <c r="E949" s="34" t="s">
        <v>3264</v>
      </c>
      <c r="F949" s="33">
        <v>52</v>
      </c>
      <c r="G949" s="33">
        <v>8</v>
      </c>
      <c r="H949" s="34"/>
      <c r="I949" s="34"/>
      <c r="J949" s="34"/>
    </row>
    <row r="950" spans="1:10">
      <c r="A950" s="33">
        <v>37000</v>
      </c>
      <c r="B950" s="33">
        <v>3700</v>
      </c>
      <c r="C950" s="34" t="b">
        <v>1</v>
      </c>
      <c r="D950" s="34">
        <v>1</v>
      </c>
      <c r="E950" s="34" t="s">
        <v>3264</v>
      </c>
      <c r="F950" s="33">
        <v>52</v>
      </c>
      <c r="G950" s="33">
        <v>8</v>
      </c>
      <c r="H950" s="34"/>
      <c r="I950" s="34"/>
      <c r="J950" s="34"/>
    </row>
    <row r="951" spans="1:10">
      <c r="A951" s="33">
        <v>37010</v>
      </c>
      <c r="B951" s="33">
        <v>3701</v>
      </c>
      <c r="C951" s="34" t="b">
        <v>1</v>
      </c>
      <c r="D951" s="34">
        <v>1</v>
      </c>
      <c r="E951" s="34" t="s">
        <v>3264</v>
      </c>
      <c r="F951" s="33">
        <v>52</v>
      </c>
      <c r="G951" s="33">
        <v>8</v>
      </c>
      <c r="H951" s="34"/>
      <c r="I951" s="34"/>
      <c r="J951" s="34"/>
    </row>
    <row r="952" spans="1:10">
      <c r="A952" s="33">
        <v>37020</v>
      </c>
      <c r="B952" s="33">
        <v>3702</v>
      </c>
      <c r="C952" s="34" t="b">
        <v>1</v>
      </c>
      <c r="D952" s="34">
        <v>1</v>
      </c>
      <c r="E952" s="34" t="s">
        <v>3264</v>
      </c>
      <c r="F952" s="33">
        <v>52</v>
      </c>
      <c r="G952" s="33">
        <v>8</v>
      </c>
      <c r="H952" s="34"/>
      <c r="I952" s="34"/>
      <c r="J952" s="34"/>
    </row>
    <row r="953" spans="1:10">
      <c r="A953" s="33">
        <v>37030</v>
      </c>
      <c r="B953" s="33">
        <v>3703</v>
      </c>
      <c r="C953" s="34" t="b">
        <v>1</v>
      </c>
      <c r="D953" s="34">
        <v>1</v>
      </c>
      <c r="E953" s="34" t="s">
        <v>3264</v>
      </c>
      <c r="F953" s="33">
        <v>52</v>
      </c>
      <c r="G953" s="33">
        <v>8</v>
      </c>
      <c r="H953" s="34"/>
      <c r="I953" s="34"/>
      <c r="J953" s="34"/>
    </row>
    <row r="954" spans="1:10">
      <c r="A954" s="33">
        <v>37040</v>
      </c>
      <c r="B954" s="33">
        <v>3704</v>
      </c>
      <c r="C954" s="34" t="b">
        <v>1</v>
      </c>
      <c r="D954" s="34">
        <v>1</v>
      </c>
      <c r="E954" s="34" t="s">
        <v>3264</v>
      </c>
      <c r="F954" s="33">
        <v>52</v>
      </c>
      <c r="G954" s="33">
        <v>8</v>
      </c>
      <c r="H954" s="34"/>
      <c r="I954" s="34"/>
      <c r="J954" s="34"/>
    </row>
    <row r="955" spans="1:10">
      <c r="A955" s="33">
        <v>37050</v>
      </c>
      <c r="B955" s="33">
        <v>3705</v>
      </c>
      <c r="C955" s="34" t="b">
        <v>1</v>
      </c>
      <c r="D955" s="34">
        <v>1</v>
      </c>
      <c r="E955" s="34" t="s">
        <v>3264</v>
      </c>
      <c r="F955" s="33">
        <v>52</v>
      </c>
      <c r="G955" s="33">
        <v>8</v>
      </c>
      <c r="H955" s="34"/>
      <c r="I955" s="34"/>
      <c r="J955" s="34"/>
    </row>
    <row r="956" spans="1:10">
      <c r="A956" s="33">
        <v>37060</v>
      </c>
      <c r="B956" s="33">
        <v>3706</v>
      </c>
      <c r="C956" s="34" t="b">
        <v>1</v>
      </c>
      <c r="D956" s="34">
        <v>1</v>
      </c>
      <c r="E956" s="34" t="s">
        <v>3264</v>
      </c>
      <c r="F956" s="33">
        <v>52</v>
      </c>
      <c r="G956" s="33">
        <v>8</v>
      </c>
      <c r="H956" s="34"/>
      <c r="I956" s="34"/>
      <c r="J956" s="34"/>
    </row>
    <row r="957" spans="1:10">
      <c r="A957" s="33">
        <v>37070</v>
      </c>
      <c r="B957" s="33">
        <v>3707</v>
      </c>
      <c r="C957" s="34" t="b">
        <v>1</v>
      </c>
      <c r="D957" s="34">
        <v>1</v>
      </c>
      <c r="E957" s="34" t="s">
        <v>3264</v>
      </c>
      <c r="F957" s="33">
        <v>52</v>
      </c>
      <c r="G957" s="33">
        <v>8</v>
      </c>
      <c r="H957" s="34"/>
      <c r="I957" s="34"/>
      <c r="J957" s="34"/>
    </row>
    <row r="958" spans="1:10">
      <c r="A958" s="33">
        <v>37080</v>
      </c>
      <c r="B958" s="33">
        <v>3708</v>
      </c>
      <c r="C958" s="34" t="b">
        <v>1</v>
      </c>
      <c r="D958" s="34">
        <v>1</v>
      </c>
      <c r="E958" s="34" t="s">
        <v>3264</v>
      </c>
      <c r="F958" s="33">
        <v>52</v>
      </c>
      <c r="G958" s="33">
        <v>8</v>
      </c>
      <c r="H958" s="34"/>
      <c r="I958" s="34"/>
      <c r="J958" s="34"/>
    </row>
    <row r="959" spans="1:10">
      <c r="A959" s="33">
        <v>37090</v>
      </c>
      <c r="B959" s="33">
        <v>3709</v>
      </c>
      <c r="C959" s="34" t="b">
        <v>1</v>
      </c>
      <c r="D959" s="34">
        <v>1</v>
      </c>
      <c r="E959" s="34" t="s">
        <v>3264</v>
      </c>
      <c r="F959" s="33">
        <v>52</v>
      </c>
      <c r="G959" s="33">
        <v>8</v>
      </c>
      <c r="H959" s="34"/>
      <c r="I959" s="34"/>
      <c r="J959" s="34"/>
    </row>
    <row r="960" spans="1:10">
      <c r="A960" s="33">
        <v>37100</v>
      </c>
      <c r="B960" s="33">
        <v>3710</v>
      </c>
      <c r="C960" s="34" t="b">
        <v>1</v>
      </c>
      <c r="D960" s="34">
        <v>1</v>
      </c>
      <c r="E960" s="34" t="s">
        <v>3264</v>
      </c>
      <c r="F960" s="33">
        <v>52</v>
      </c>
      <c r="G960" s="33">
        <v>8</v>
      </c>
      <c r="H960" s="34"/>
      <c r="I960" s="34"/>
      <c r="J960" s="34"/>
    </row>
    <row r="961" spans="1:10">
      <c r="A961" s="33">
        <v>37110</v>
      </c>
      <c r="B961" s="33">
        <v>3711</v>
      </c>
      <c r="C961" s="34" t="b">
        <v>1</v>
      </c>
      <c r="D961" s="34">
        <v>1</v>
      </c>
      <c r="E961" s="34" t="s">
        <v>3264</v>
      </c>
      <c r="F961" s="33">
        <v>52</v>
      </c>
      <c r="G961" s="33">
        <v>8</v>
      </c>
      <c r="H961" s="34"/>
      <c r="I961" s="34"/>
      <c r="J961" s="34"/>
    </row>
    <row r="962" spans="1:10">
      <c r="A962" s="33">
        <v>37120</v>
      </c>
      <c r="B962" s="33">
        <v>3712</v>
      </c>
      <c r="C962" s="34" t="b">
        <v>1</v>
      </c>
      <c r="D962" s="34">
        <v>1</v>
      </c>
      <c r="E962" s="34" t="s">
        <v>3264</v>
      </c>
      <c r="F962" s="33">
        <v>52</v>
      </c>
      <c r="G962" s="33">
        <v>8</v>
      </c>
      <c r="H962" s="34"/>
      <c r="I962" s="34"/>
      <c r="J962" s="34"/>
    </row>
    <row r="963" spans="1:10">
      <c r="A963" s="33">
        <v>37130</v>
      </c>
      <c r="B963" s="33">
        <v>3713</v>
      </c>
      <c r="C963" s="34" t="b">
        <v>1</v>
      </c>
      <c r="D963" s="34">
        <v>1</v>
      </c>
      <c r="E963" s="34" t="s">
        <v>3264</v>
      </c>
      <c r="F963" s="33">
        <v>52</v>
      </c>
      <c r="G963" s="33">
        <v>8</v>
      </c>
      <c r="H963" s="34"/>
      <c r="I963" s="34"/>
      <c r="J963" s="34"/>
    </row>
    <row r="964" spans="1:10">
      <c r="A964" s="33">
        <v>37140</v>
      </c>
      <c r="B964" s="33">
        <v>3714</v>
      </c>
      <c r="C964" s="34" t="b">
        <v>1</v>
      </c>
      <c r="D964" s="34">
        <v>1</v>
      </c>
      <c r="E964" s="34" t="s">
        <v>3264</v>
      </c>
      <c r="F964" s="33">
        <v>52</v>
      </c>
      <c r="G964" s="33">
        <v>8</v>
      </c>
      <c r="H964" s="34"/>
      <c r="I964" s="34"/>
      <c r="J964" s="34"/>
    </row>
    <row r="965" spans="1:10">
      <c r="A965" s="33">
        <v>37150</v>
      </c>
      <c r="B965" s="33">
        <v>3715</v>
      </c>
      <c r="C965" s="34" t="b">
        <v>1</v>
      </c>
      <c r="D965" s="34">
        <v>1</v>
      </c>
      <c r="E965" s="34" t="s">
        <v>3264</v>
      </c>
      <c r="F965" s="33">
        <v>52</v>
      </c>
      <c r="G965" s="33">
        <v>8</v>
      </c>
      <c r="H965" s="34"/>
      <c r="I965" s="34"/>
      <c r="J965" s="34"/>
    </row>
    <row r="966" spans="1:10">
      <c r="A966" s="33">
        <v>37160</v>
      </c>
      <c r="B966" s="33">
        <v>3716</v>
      </c>
      <c r="C966" s="34" t="b">
        <v>1</v>
      </c>
      <c r="D966" s="34">
        <v>1</v>
      </c>
      <c r="E966" s="34" t="s">
        <v>3264</v>
      </c>
      <c r="F966" s="33">
        <v>52</v>
      </c>
      <c r="G966" s="33">
        <v>8</v>
      </c>
      <c r="H966" s="34"/>
      <c r="I966" s="34"/>
      <c r="J966" s="34"/>
    </row>
    <row r="967" spans="1:10">
      <c r="A967" s="33">
        <v>37170</v>
      </c>
      <c r="B967" s="33">
        <v>3717</v>
      </c>
      <c r="C967" s="34" t="b">
        <v>1</v>
      </c>
      <c r="D967" s="34">
        <v>1</v>
      </c>
      <c r="E967" s="34" t="s">
        <v>3264</v>
      </c>
      <c r="F967" s="33">
        <v>52</v>
      </c>
      <c r="G967" s="33">
        <v>8</v>
      </c>
      <c r="H967" s="34"/>
      <c r="I967" s="34"/>
      <c r="J967" s="34"/>
    </row>
    <row r="968" spans="1:10">
      <c r="A968" s="33">
        <v>37180</v>
      </c>
      <c r="B968" s="33">
        <v>3718</v>
      </c>
      <c r="C968" s="34" t="b">
        <v>1</v>
      </c>
      <c r="D968" s="34">
        <v>1</v>
      </c>
      <c r="E968" s="34" t="s">
        <v>3264</v>
      </c>
      <c r="F968" s="33">
        <v>52</v>
      </c>
      <c r="G968" s="33">
        <v>8</v>
      </c>
      <c r="H968" s="34"/>
      <c r="I968" s="34"/>
      <c r="J968" s="34"/>
    </row>
    <row r="969" spans="1:10">
      <c r="A969" s="33">
        <v>37190</v>
      </c>
      <c r="B969" s="33">
        <v>3719</v>
      </c>
      <c r="C969" s="34" t="b">
        <v>1</v>
      </c>
      <c r="D969" s="34">
        <v>1</v>
      </c>
      <c r="E969" s="34" t="s">
        <v>3264</v>
      </c>
      <c r="F969" s="33">
        <v>52</v>
      </c>
      <c r="G969" s="33">
        <v>8</v>
      </c>
      <c r="H969" s="34"/>
      <c r="I969" s="34"/>
      <c r="J969" s="34"/>
    </row>
    <row r="970" spans="1:10">
      <c r="A970" s="33">
        <v>37200</v>
      </c>
      <c r="B970" s="33">
        <v>3720</v>
      </c>
      <c r="C970" s="34" t="b">
        <v>1</v>
      </c>
      <c r="D970" s="34">
        <v>1</v>
      </c>
      <c r="E970" s="34" t="s">
        <v>3264</v>
      </c>
      <c r="F970" s="33">
        <v>52</v>
      </c>
      <c r="G970" s="33">
        <v>8</v>
      </c>
      <c r="H970" s="34"/>
      <c r="I970" s="34"/>
      <c r="J970" s="34"/>
    </row>
    <row r="971" spans="1:10">
      <c r="A971" s="33">
        <v>37210</v>
      </c>
      <c r="B971" s="33">
        <v>3721</v>
      </c>
      <c r="C971" s="34" t="b">
        <v>1</v>
      </c>
      <c r="D971" s="34">
        <v>1</v>
      </c>
      <c r="E971" s="34" t="s">
        <v>3264</v>
      </c>
      <c r="F971" s="33">
        <v>52</v>
      </c>
      <c r="G971" s="33">
        <v>8</v>
      </c>
      <c r="H971" s="34"/>
      <c r="I971" s="34"/>
      <c r="J971" s="34"/>
    </row>
    <row r="972" spans="1:10">
      <c r="A972" s="33">
        <v>37220</v>
      </c>
      <c r="B972" s="33">
        <v>3722</v>
      </c>
      <c r="C972" s="34" t="b">
        <v>1</v>
      </c>
      <c r="D972" s="34">
        <v>1</v>
      </c>
      <c r="E972" s="34" t="s">
        <v>3264</v>
      </c>
      <c r="F972" s="33">
        <v>52</v>
      </c>
      <c r="G972" s="33">
        <v>8</v>
      </c>
      <c r="H972" s="34"/>
      <c r="I972" s="34"/>
      <c r="J972" s="34"/>
    </row>
    <row r="973" spans="1:10">
      <c r="A973" s="33">
        <v>37230</v>
      </c>
      <c r="B973" s="33">
        <v>3723</v>
      </c>
      <c r="C973" s="34" t="b">
        <v>1</v>
      </c>
      <c r="D973" s="34">
        <v>1</v>
      </c>
      <c r="E973" s="34" t="s">
        <v>3264</v>
      </c>
      <c r="F973" s="33">
        <v>52</v>
      </c>
      <c r="G973" s="33">
        <v>8</v>
      </c>
      <c r="H973" s="34"/>
      <c r="I973" s="34"/>
      <c r="J973" s="34"/>
    </row>
    <row r="974" spans="1:10">
      <c r="A974" s="33">
        <v>37240</v>
      </c>
      <c r="B974" s="33">
        <v>3724</v>
      </c>
      <c r="C974" s="34" t="b">
        <v>1</v>
      </c>
      <c r="D974" s="34">
        <v>1</v>
      </c>
      <c r="E974" s="34" t="s">
        <v>3264</v>
      </c>
      <c r="F974" s="33">
        <v>52</v>
      </c>
      <c r="G974" s="33">
        <v>8</v>
      </c>
      <c r="H974" s="34"/>
      <c r="I974" s="34"/>
      <c r="J974" s="34"/>
    </row>
    <row r="975" spans="1:10">
      <c r="A975" s="33">
        <v>37250</v>
      </c>
      <c r="B975" s="33">
        <v>3725</v>
      </c>
      <c r="C975" s="34" t="b">
        <v>1</v>
      </c>
      <c r="D975" s="34">
        <v>1</v>
      </c>
      <c r="E975" s="34" t="s">
        <v>3264</v>
      </c>
      <c r="F975" s="33">
        <v>52</v>
      </c>
      <c r="G975" s="33">
        <v>8</v>
      </c>
      <c r="H975" s="34"/>
      <c r="I975" s="34"/>
      <c r="J975" s="34"/>
    </row>
    <row r="976" spans="1:10">
      <c r="A976" s="33">
        <v>37260</v>
      </c>
      <c r="B976" s="33">
        <v>3726</v>
      </c>
      <c r="C976" s="34" t="b">
        <v>1</v>
      </c>
      <c r="D976" s="34">
        <v>1</v>
      </c>
      <c r="E976" s="34" t="s">
        <v>3264</v>
      </c>
      <c r="F976" s="33">
        <v>52</v>
      </c>
      <c r="G976" s="33">
        <v>8</v>
      </c>
      <c r="H976" s="34"/>
      <c r="I976" s="34"/>
      <c r="J976" s="34"/>
    </row>
    <row r="977" spans="1:10">
      <c r="A977" s="33">
        <v>37270</v>
      </c>
      <c r="B977" s="33">
        <v>3727</v>
      </c>
      <c r="C977" s="34" t="b">
        <v>1</v>
      </c>
      <c r="D977" s="34">
        <v>1</v>
      </c>
      <c r="E977" s="34" t="s">
        <v>3264</v>
      </c>
      <c r="F977" s="33">
        <v>52</v>
      </c>
      <c r="G977" s="33">
        <v>8</v>
      </c>
      <c r="H977" s="34"/>
      <c r="I977" s="34"/>
      <c r="J977" s="34"/>
    </row>
    <row r="978" spans="1:10">
      <c r="A978" s="33">
        <v>37280</v>
      </c>
      <c r="B978" s="33">
        <v>3728</v>
      </c>
      <c r="C978" s="34" t="b">
        <v>1</v>
      </c>
      <c r="D978" s="34">
        <v>1</v>
      </c>
      <c r="E978" s="34" t="s">
        <v>3264</v>
      </c>
      <c r="F978" s="33">
        <v>52</v>
      </c>
      <c r="G978" s="33">
        <v>8</v>
      </c>
      <c r="H978" s="34"/>
      <c r="I978" s="34"/>
      <c r="J978" s="34"/>
    </row>
    <row r="979" spans="1:10">
      <c r="A979" s="33">
        <v>37290</v>
      </c>
      <c r="B979" s="33">
        <v>3729</v>
      </c>
      <c r="C979" s="34" t="b">
        <v>1</v>
      </c>
      <c r="D979" s="34">
        <v>1</v>
      </c>
      <c r="E979" s="34" t="s">
        <v>3264</v>
      </c>
      <c r="F979" s="33">
        <v>52</v>
      </c>
      <c r="G979" s="33">
        <v>8</v>
      </c>
      <c r="H979" s="34"/>
      <c r="I979" s="34"/>
      <c r="J979" s="34"/>
    </row>
    <row r="980" spans="1:10">
      <c r="A980" s="33">
        <v>37300</v>
      </c>
      <c r="B980" s="33">
        <v>3730</v>
      </c>
      <c r="C980" s="34" t="b">
        <v>1</v>
      </c>
      <c r="D980" s="34">
        <v>1</v>
      </c>
      <c r="E980" s="34" t="s">
        <v>3264</v>
      </c>
      <c r="F980" s="33">
        <v>52</v>
      </c>
      <c r="G980" s="33">
        <v>8</v>
      </c>
      <c r="H980" s="34"/>
      <c r="I980" s="34"/>
      <c r="J980" s="34"/>
    </row>
    <row r="981" spans="1:10">
      <c r="A981" s="33">
        <v>37310</v>
      </c>
      <c r="B981" s="33">
        <v>3731</v>
      </c>
      <c r="C981" s="34" t="b">
        <v>1</v>
      </c>
      <c r="D981" s="34">
        <v>1</v>
      </c>
      <c r="E981" s="34" t="s">
        <v>3264</v>
      </c>
      <c r="F981" s="33">
        <v>52</v>
      </c>
      <c r="G981" s="33">
        <v>8</v>
      </c>
      <c r="H981" s="34"/>
      <c r="I981" s="34"/>
      <c r="J981" s="34"/>
    </row>
    <row r="982" spans="1:10">
      <c r="A982" s="33">
        <v>37320</v>
      </c>
      <c r="B982" s="33">
        <v>3732</v>
      </c>
      <c r="C982" s="34" t="b">
        <v>1</v>
      </c>
      <c r="D982" s="34">
        <v>1</v>
      </c>
      <c r="E982" s="34" t="s">
        <v>3264</v>
      </c>
      <c r="F982" s="33">
        <v>52</v>
      </c>
      <c r="G982" s="33">
        <v>8</v>
      </c>
      <c r="H982" s="34"/>
      <c r="I982" s="34"/>
      <c r="J982" s="34"/>
    </row>
    <row r="983" spans="1:10">
      <c r="A983" s="33">
        <v>37330</v>
      </c>
      <c r="B983" s="33">
        <v>3733</v>
      </c>
      <c r="C983" s="34" t="b">
        <v>1</v>
      </c>
      <c r="D983" s="34">
        <v>1</v>
      </c>
      <c r="E983" s="34" t="s">
        <v>3264</v>
      </c>
      <c r="F983" s="33">
        <v>52</v>
      </c>
      <c r="G983" s="33">
        <v>8</v>
      </c>
      <c r="H983" s="34"/>
      <c r="I983" s="34"/>
      <c r="J983" s="34"/>
    </row>
    <row r="984" spans="1:10">
      <c r="A984" s="33">
        <v>37340</v>
      </c>
      <c r="B984" s="33">
        <v>3734</v>
      </c>
      <c r="C984" s="34" t="b">
        <v>1</v>
      </c>
      <c r="D984" s="34">
        <v>1</v>
      </c>
      <c r="E984" s="34" t="s">
        <v>3264</v>
      </c>
      <c r="F984" s="33">
        <v>52</v>
      </c>
      <c r="G984" s="33">
        <v>8</v>
      </c>
      <c r="H984" s="34"/>
      <c r="I984" s="34"/>
      <c r="J984" s="34"/>
    </row>
    <row r="985" spans="1:10">
      <c r="A985" s="33">
        <v>37350</v>
      </c>
      <c r="B985" s="33">
        <v>3735</v>
      </c>
      <c r="C985" s="34" t="b">
        <v>1</v>
      </c>
      <c r="D985" s="34">
        <v>1</v>
      </c>
      <c r="E985" s="34" t="s">
        <v>3264</v>
      </c>
      <c r="F985" s="33">
        <v>52</v>
      </c>
      <c r="G985" s="33">
        <v>8</v>
      </c>
      <c r="H985" s="34"/>
      <c r="I985" s="34"/>
      <c r="J985" s="34"/>
    </row>
    <row r="986" spans="1:10">
      <c r="A986" s="33">
        <v>37360</v>
      </c>
      <c r="B986" s="33">
        <v>3736</v>
      </c>
      <c r="C986" s="34" t="b">
        <v>1</v>
      </c>
      <c r="D986" s="34">
        <v>1</v>
      </c>
      <c r="E986" s="34" t="s">
        <v>3264</v>
      </c>
      <c r="F986" s="33">
        <v>52</v>
      </c>
      <c r="G986" s="33">
        <v>8</v>
      </c>
      <c r="H986" s="34"/>
      <c r="I986" s="34"/>
      <c r="J986" s="34"/>
    </row>
    <row r="987" spans="1:10">
      <c r="A987" s="33">
        <v>37370</v>
      </c>
      <c r="B987" s="33">
        <v>3737</v>
      </c>
      <c r="C987" s="34" t="b">
        <v>1</v>
      </c>
      <c r="D987" s="34">
        <v>1</v>
      </c>
      <c r="E987" s="34" t="s">
        <v>3264</v>
      </c>
      <c r="F987" s="33">
        <v>52</v>
      </c>
      <c r="G987" s="33">
        <v>8</v>
      </c>
      <c r="H987" s="34"/>
      <c r="I987" s="34"/>
      <c r="J987" s="34"/>
    </row>
    <row r="988" spans="1:10">
      <c r="A988" s="33">
        <v>37380</v>
      </c>
      <c r="B988" s="33">
        <v>3738</v>
      </c>
      <c r="C988" s="34" t="b">
        <v>1</v>
      </c>
      <c r="D988" s="34">
        <v>1</v>
      </c>
      <c r="E988" s="34" t="s">
        <v>3264</v>
      </c>
      <c r="F988" s="33">
        <v>52</v>
      </c>
      <c r="G988" s="33">
        <v>8</v>
      </c>
      <c r="H988" s="34"/>
      <c r="I988" s="34"/>
      <c r="J988" s="34"/>
    </row>
    <row r="989" spans="1:10">
      <c r="A989" s="33">
        <v>37390</v>
      </c>
      <c r="B989" s="33">
        <v>3739</v>
      </c>
      <c r="C989" s="34" t="b">
        <v>1</v>
      </c>
      <c r="D989" s="34">
        <v>1</v>
      </c>
      <c r="E989" s="34" t="s">
        <v>3264</v>
      </c>
      <c r="F989" s="33">
        <v>52</v>
      </c>
      <c r="G989" s="33">
        <v>8</v>
      </c>
      <c r="H989" s="34"/>
      <c r="I989" s="34"/>
      <c r="J989" s="34"/>
    </row>
    <row r="990" spans="1:10">
      <c r="A990" s="33">
        <v>37400</v>
      </c>
      <c r="B990" s="33">
        <v>3740</v>
      </c>
      <c r="C990" s="34" t="b">
        <v>1</v>
      </c>
      <c r="D990" s="34">
        <v>1</v>
      </c>
      <c r="E990" s="34" t="s">
        <v>3264</v>
      </c>
      <c r="F990" s="33">
        <v>52</v>
      </c>
      <c r="G990" s="33">
        <v>8</v>
      </c>
      <c r="H990" s="34"/>
      <c r="I990" s="34"/>
      <c r="J990" s="34"/>
    </row>
    <row r="991" spans="1:10">
      <c r="A991" s="33">
        <v>37410</v>
      </c>
      <c r="B991" s="33">
        <v>3741</v>
      </c>
      <c r="C991" s="34" t="b">
        <v>1</v>
      </c>
      <c r="D991" s="34">
        <v>1</v>
      </c>
      <c r="E991" s="34" t="s">
        <v>3264</v>
      </c>
      <c r="F991" s="33">
        <v>52</v>
      </c>
      <c r="G991" s="33">
        <v>8</v>
      </c>
      <c r="H991" s="34"/>
      <c r="I991" s="34"/>
      <c r="J991" s="34"/>
    </row>
    <row r="992" spans="1:10">
      <c r="A992" s="33">
        <v>37420</v>
      </c>
      <c r="B992" s="33">
        <v>3742</v>
      </c>
      <c r="C992" s="34" t="b">
        <v>1</v>
      </c>
      <c r="D992" s="34">
        <v>1</v>
      </c>
      <c r="E992" s="34" t="s">
        <v>3264</v>
      </c>
      <c r="F992" s="33">
        <v>52</v>
      </c>
      <c r="G992" s="33">
        <v>8</v>
      </c>
      <c r="H992" s="34"/>
      <c r="I992" s="34"/>
      <c r="J992" s="34"/>
    </row>
    <row r="993" spans="1:10">
      <c r="A993" s="33">
        <v>37430</v>
      </c>
      <c r="B993" s="33">
        <v>3743</v>
      </c>
      <c r="C993" s="34" t="b">
        <v>1</v>
      </c>
      <c r="D993" s="34">
        <v>1</v>
      </c>
      <c r="E993" s="34" t="s">
        <v>3264</v>
      </c>
      <c r="F993" s="33">
        <v>52</v>
      </c>
      <c r="G993" s="33">
        <v>8</v>
      </c>
      <c r="H993" s="34"/>
      <c r="I993" s="34"/>
      <c r="J993" s="34"/>
    </row>
    <row r="994" spans="1:10">
      <c r="A994" s="33">
        <v>37440</v>
      </c>
      <c r="B994" s="33">
        <v>3744</v>
      </c>
      <c r="C994" s="34" t="b">
        <v>1</v>
      </c>
      <c r="D994" s="34">
        <v>1</v>
      </c>
      <c r="E994" s="34" t="s">
        <v>3264</v>
      </c>
      <c r="F994" s="33">
        <v>52</v>
      </c>
      <c r="G994" s="33">
        <v>8</v>
      </c>
      <c r="H994" s="34"/>
      <c r="I994" s="34"/>
      <c r="J994" s="34"/>
    </row>
    <row r="995" spans="1:10">
      <c r="A995" s="33">
        <v>37450</v>
      </c>
      <c r="B995" s="33">
        <v>3745</v>
      </c>
      <c r="C995" s="34" t="b">
        <v>1</v>
      </c>
      <c r="D995" s="34">
        <v>1</v>
      </c>
      <c r="E995" s="34" t="s">
        <v>3264</v>
      </c>
      <c r="F995" s="33">
        <v>52</v>
      </c>
      <c r="G995" s="33">
        <v>8</v>
      </c>
      <c r="H995" s="34"/>
      <c r="I995" s="34"/>
      <c r="J995" s="34"/>
    </row>
    <row r="996" spans="1:10">
      <c r="A996" s="33">
        <v>37460</v>
      </c>
      <c r="B996" s="33">
        <v>3746</v>
      </c>
      <c r="C996" s="34" t="b">
        <v>1</v>
      </c>
      <c r="D996" s="34">
        <v>1</v>
      </c>
      <c r="E996" s="34" t="s">
        <v>3264</v>
      </c>
      <c r="F996" s="33">
        <v>52</v>
      </c>
      <c r="G996" s="33">
        <v>8</v>
      </c>
      <c r="H996" s="34"/>
      <c r="I996" s="34"/>
      <c r="J996" s="34"/>
    </row>
    <row r="997" spans="1:10">
      <c r="A997" s="33">
        <v>37470</v>
      </c>
      <c r="B997" s="33">
        <v>3747</v>
      </c>
      <c r="C997" s="34" t="b">
        <v>1</v>
      </c>
      <c r="D997" s="34">
        <v>1</v>
      </c>
      <c r="E997" s="34" t="s">
        <v>3264</v>
      </c>
      <c r="F997" s="33">
        <v>52</v>
      </c>
      <c r="G997" s="33">
        <v>8</v>
      </c>
      <c r="H997" s="34"/>
      <c r="I997" s="34"/>
      <c r="J997" s="34"/>
    </row>
    <row r="998" spans="1:10">
      <c r="A998" s="33">
        <v>37480</v>
      </c>
      <c r="B998" s="33">
        <v>3748</v>
      </c>
      <c r="C998" s="34" t="b">
        <v>1</v>
      </c>
      <c r="D998" s="34">
        <v>1</v>
      </c>
      <c r="E998" s="34" t="s">
        <v>3264</v>
      </c>
      <c r="F998" s="33">
        <v>52</v>
      </c>
      <c r="G998" s="33">
        <v>8</v>
      </c>
      <c r="H998" s="34"/>
      <c r="I998" s="34"/>
      <c r="J998" s="34"/>
    </row>
    <row r="999" spans="1:10">
      <c r="A999" s="33">
        <v>37490</v>
      </c>
      <c r="B999" s="33">
        <v>3749</v>
      </c>
      <c r="C999" s="34" t="b">
        <v>1</v>
      </c>
      <c r="D999" s="34">
        <v>1</v>
      </c>
      <c r="E999" s="34" t="s">
        <v>3264</v>
      </c>
      <c r="F999" s="33">
        <v>52</v>
      </c>
      <c r="G999" s="33">
        <v>8</v>
      </c>
      <c r="H999" s="34"/>
      <c r="I999" s="34"/>
      <c r="J999" s="34"/>
    </row>
    <row r="1000" spans="1:10">
      <c r="A1000" s="33">
        <v>37500</v>
      </c>
      <c r="B1000" s="33">
        <v>3750</v>
      </c>
      <c r="C1000" s="34" t="b">
        <v>1</v>
      </c>
      <c r="D1000" s="34">
        <v>1</v>
      </c>
      <c r="E1000" s="34" t="s">
        <v>3264</v>
      </c>
      <c r="F1000" s="33">
        <v>52</v>
      </c>
      <c r="G1000" s="33">
        <v>8</v>
      </c>
      <c r="H1000" s="34"/>
      <c r="I1000" s="34"/>
      <c r="J1000" s="34"/>
    </row>
    <row r="1001" spans="1:10">
      <c r="A1001" s="33">
        <v>37510</v>
      </c>
      <c r="B1001" s="33">
        <v>3751</v>
      </c>
      <c r="C1001" s="34" t="b">
        <v>1</v>
      </c>
      <c r="D1001" s="34">
        <v>1</v>
      </c>
      <c r="E1001" s="34" t="s">
        <v>3264</v>
      </c>
      <c r="F1001" s="33">
        <v>52</v>
      </c>
      <c r="G1001" s="33">
        <v>8</v>
      </c>
      <c r="H1001" s="34"/>
      <c r="I1001" s="34"/>
      <c r="J1001" s="34"/>
    </row>
    <row r="1002" spans="1:10">
      <c r="A1002" s="33">
        <v>37520</v>
      </c>
      <c r="B1002" s="33">
        <v>3752</v>
      </c>
      <c r="C1002" s="34" t="b">
        <v>1</v>
      </c>
      <c r="D1002" s="34">
        <v>1</v>
      </c>
      <c r="E1002" s="34" t="s">
        <v>3264</v>
      </c>
      <c r="F1002" s="33">
        <v>52</v>
      </c>
      <c r="G1002" s="33">
        <v>8</v>
      </c>
      <c r="H1002" s="34"/>
      <c r="I1002" s="34"/>
      <c r="J1002" s="34"/>
    </row>
    <row r="1003" spans="1:10">
      <c r="A1003" s="33">
        <v>37530</v>
      </c>
      <c r="B1003" s="33">
        <v>3753</v>
      </c>
      <c r="C1003" s="34" t="b">
        <v>1</v>
      </c>
      <c r="D1003" s="34">
        <v>1</v>
      </c>
      <c r="E1003" s="34" t="s">
        <v>3264</v>
      </c>
      <c r="F1003" s="33">
        <v>52</v>
      </c>
      <c r="G1003" s="33">
        <v>8</v>
      </c>
      <c r="H1003" s="34"/>
      <c r="I1003" s="34"/>
      <c r="J1003" s="34"/>
    </row>
    <row r="1004" spans="1:10">
      <c r="A1004" s="33">
        <v>37540</v>
      </c>
      <c r="B1004" s="33">
        <v>3754</v>
      </c>
      <c r="C1004" s="34" t="b">
        <v>1</v>
      </c>
      <c r="D1004" s="34">
        <v>1</v>
      </c>
      <c r="E1004" s="34" t="s">
        <v>3264</v>
      </c>
      <c r="F1004" s="33">
        <v>52</v>
      </c>
      <c r="G1004" s="33">
        <v>8</v>
      </c>
      <c r="H1004" s="34"/>
      <c r="I1004" s="34"/>
      <c r="J1004" s="34"/>
    </row>
    <row r="1005" spans="1:10">
      <c r="A1005" s="33">
        <v>37550</v>
      </c>
      <c r="B1005" s="33">
        <v>3755</v>
      </c>
      <c r="C1005" s="34" t="b">
        <v>1</v>
      </c>
      <c r="D1005" s="34">
        <v>1</v>
      </c>
      <c r="E1005" s="34" t="s">
        <v>3264</v>
      </c>
      <c r="F1005" s="33">
        <v>52</v>
      </c>
      <c r="G1005" s="33">
        <v>8</v>
      </c>
      <c r="H1005" s="34"/>
      <c r="I1005" s="34"/>
      <c r="J1005" s="34"/>
    </row>
    <row r="1006" spans="1:10">
      <c r="A1006" s="33">
        <v>37560</v>
      </c>
      <c r="B1006" s="33">
        <v>3756</v>
      </c>
      <c r="C1006" s="34" t="b">
        <v>1</v>
      </c>
      <c r="D1006" s="34">
        <v>1</v>
      </c>
      <c r="E1006" s="34" t="s">
        <v>3264</v>
      </c>
      <c r="F1006" s="33">
        <v>52</v>
      </c>
      <c r="G1006" s="33">
        <v>8</v>
      </c>
      <c r="H1006" s="34"/>
      <c r="I1006" s="34"/>
      <c r="J1006" s="34"/>
    </row>
    <row r="1007" spans="1:10">
      <c r="A1007" s="33">
        <v>37570</v>
      </c>
      <c r="B1007" s="33">
        <v>3757</v>
      </c>
      <c r="C1007" s="34" t="b">
        <v>1</v>
      </c>
      <c r="D1007" s="34">
        <v>1</v>
      </c>
      <c r="E1007" s="34" t="s">
        <v>3264</v>
      </c>
      <c r="F1007" s="33">
        <v>52</v>
      </c>
      <c r="G1007" s="33">
        <v>8</v>
      </c>
      <c r="H1007" s="34"/>
      <c r="I1007" s="34"/>
      <c r="J1007" s="34"/>
    </row>
    <row r="1008" spans="1:10">
      <c r="A1008" s="33">
        <v>37580</v>
      </c>
      <c r="B1008" s="33">
        <v>3758</v>
      </c>
      <c r="C1008" s="34" t="b">
        <v>1</v>
      </c>
      <c r="D1008" s="34">
        <v>1</v>
      </c>
      <c r="E1008" s="34" t="s">
        <v>3264</v>
      </c>
      <c r="F1008" s="33">
        <v>52</v>
      </c>
      <c r="G1008" s="33">
        <v>8</v>
      </c>
      <c r="H1008" s="34"/>
      <c r="I1008" s="34"/>
      <c r="J1008" s="34"/>
    </row>
    <row r="1009" spans="1:10">
      <c r="A1009" s="33">
        <v>37590</v>
      </c>
      <c r="B1009" s="33">
        <v>3759</v>
      </c>
      <c r="C1009" s="34" t="b">
        <v>1</v>
      </c>
      <c r="D1009" s="34">
        <v>1</v>
      </c>
      <c r="E1009" s="34" t="s">
        <v>3264</v>
      </c>
      <c r="F1009" s="33">
        <v>52</v>
      </c>
      <c r="G1009" s="33">
        <v>8</v>
      </c>
      <c r="H1009" s="34"/>
      <c r="I1009" s="34"/>
      <c r="J1009" s="34"/>
    </row>
    <row r="1010" spans="1:10">
      <c r="A1010" s="33">
        <v>37600</v>
      </c>
      <c r="B1010" s="33">
        <v>3760</v>
      </c>
      <c r="C1010" s="34" t="b">
        <v>1</v>
      </c>
      <c r="D1010" s="34">
        <v>1</v>
      </c>
      <c r="E1010" s="34" t="s">
        <v>3264</v>
      </c>
      <c r="F1010" s="33">
        <v>52</v>
      </c>
      <c r="G1010" s="33">
        <v>8</v>
      </c>
      <c r="H1010" s="34"/>
      <c r="I1010" s="34"/>
      <c r="J1010" s="34"/>
    </row>
    <row r="1011" spans="1:10">
      <c r="A1011" s="33">
        <v>37610</v>
      </c>
      <c r="B1011" s="33">
        <v>3761</v>
      </c>
      <c r="C1011" s="34" t="b">
        <v>1</v>
      </c>
      <c r="D1011" s="34">
        <v>1</v>
      </c>
      <c r="E1011" s="34" t="s">
        <v>3264</v>
      </c>
      <c r="F1011" s="33">
        <v>52</v>
      </c>
      <c r="G1011" s="33">
        <v>8</v>
      </c>
      <c r="H1011" s="34"/>
      <c r="I1011" s="34"/>
      <c r="J1011" s="34"/>
    </row>
    <row r="1012" spans="1:10">
      <c r="A1012" s="33">
        <v>37620</v>
      </c>
      <c r="B1012" s="33">
        <v>3762</v>
      </c>
      <c r="C1012" s="34" t="b">
        <v>1</v>
      </c>
      <c r="D1012" s="34">
        <v>1</v>
      </c>
      <c r="E1012" s="34" t="s">
        <v>3264</v>
      </c>
      <c r="F1012" s="33">
        <v>52</v>
      </c>
      <c r="G1012" s="33">
        <v>8</v>
      </c>
      <c r="H1012" s="34"/>
      <c r="I1012" s="34"/>
      <c r="J1012" s="34"/>
    </row>
    <row r="1013" spans="1:10">
      <c r="A1013" s="33">
        <v>37630</v>
      </c>
      <c r="B1013" s="33">
        <v>3763</v>
      </c>
      <c r="C1013" s="34" t="b">
        <v>1</v>
      </c>
      <c r="D1013" s="34">
        <v>1</v>
      </c>
      <c r="E1013" s="34" t="s">
        <v>3264</v>
      </c>
      <c r="F1013" s="33">
        <v>52</v>
      </c>
      <c r="G1013" s="33">
        <v>8</v>
      </c>
      <c r="H1013" s="34"/>
      <c r="I1013" s="34"/>
      <c r="J1013" s="34"/>
    </row>
    <row r="1014" spans="1:10">
      <c r="A1014" s="33">
        <v>37640</v>
      </c>
      <c r="B1014" s="33">
        <v>3764</v>
      </c>
      <c r="C1014" s="34" t="b">
        <v>1</v>
      </c>
      <c r="D1014" s="34">
        <v>1</v>
      </c>
      <c r="E1014" s="34" t="s">
        <v>3264</v>
      </c>
      <c r="F1014" s="33">
        <v>52</v>
      </c>
      <c r="G1014" s="33">
        <v>8</v>
      </c>
      <c r="H1014" s="34"/>
      <c r="I1014" s="34"/>
      <c r="J1014" s="34"/>
    </row>
    <row r="1015" spans="1:10">
      <c r="A1015" s="33">
        <v>37650</v>
      </c>
      <c r="B1015" s="33">
        <v>3765</v>
      </c>
      <c r="C1015" s="34" t="b">
        <v>1</v>
      </c>
      <c r="D1015" s="34">
        <v>1</v>
      </c>
      <c r="E1015" s="34" t="s">
        <v>3264</v>
      </c>
      <c r="F1015" s="33">
        <v>52</v>
      </c>
      <c r="G1015" s="33">
        <v>8</v>
      </c>
      <c r="H1015" s="34"/>
      <c r="I1015" s="34"/>
      <c r="J1015" s="34"/>
    </row>
    <row r="1016" spans="1:10">
      <c r="A1016" s="33">
        <v>37660</v>
      </c>
      <c r="B1016" s="33">
        <v>3766</v>
      </c>
      <c r="C1016" s="34" t="b">
        <v>1</v>
      </c>
      <c r="D1016" s="34">
        <v>1</v>
      </c>
      <c r="E1016" s="34" t="s">
        <v>3264</v>
      </c>
      <c r="F1016" s="33">
        <v>52</v>
      </c>
      <c r="G1016" s="33">
        <v>8</v>
      </c>
      <c r="H1016" s="34"/>
      <c r="I1016" s="34"/>
      <c r="J1016" s="34"/>
    </row>
    <row r="1017" spans="1:10">
      <c r="A1017" s="33">
        <v>37670</v>
      </c>
      <c r="B1017" s="33">
        <v>3767</v>
      </c>
      <c r="C1017" s="34" t="b">
        <v>1</v>
      </c>
      <c r="D1017" s="34">
        <v>1</v>
      </c>
      <c r="E1017" s="34" t="s">
        <v>3264</v>
      </c>
      <c r="F1017" s="33">
        <v>52</v>
      </c>
      <c r="G1017" s="33">
        <v>8</v>
      </c>
      <c r="H1017" s="34"/>
      <c r="I1017" s="34"/>
      <c r="J1017" s="34"/>
    </row>
    <row r="1018" spans="1:10">
      <c r="A1018" s="33">
        <v>37680</v>
      </c>
      <c r="B1018" s="33">
        <v>3768</v>
      </c>
      <c r="C1018" s="34" t="b">
        <v>1</v>
      </c>
      <c r="D1018" s="34">
        <v>1</v>
      </c>
      <c r="E1018" s="34" t="s">
        <v>3264</v>
      </c>
      <c r="F1018" s="33">
        <v>52</v>
      </c>
      <c r="G1018" s="33">
        <v>8</v>
      </c>
      <c r="H1018" s="34"/>
      <c r="I1018" s="34"/>
      <c r="J1018" s="34"/>
    </row>
    <row r="1019" spans="1:10">
      <c r="A1019" s="33">
        <v>37690</v>
      </c>
      <c r="B1019" s="33">
        <v>3769</v>
      </c>
      <c r="C1019" s="34" t="b">
        <v>1</v>
      </c>
      <c r="D1019" s="34">
        <v>1</v>
      </c>
      <c r="E1019" s="34" t="s">
        <v>3264</v>
      </c>
      <c r="F1019" s="33">
        <v>52</v>
      </c>
      <c r="G1019" s="33">
        <v>8</v>
      </c>
      <c r="H1019" s="34"/>
      <c r="I1019" s="34"/>
      <c r="J1019" s="34"/>
    </row>
    <row r="1020" spans="1:10">
      <c r="A1020" s="33">
        <v>37700</v>
      </c>
      <c r="B1020" s="33">
        <v>3770</v>
      </c>
      <c r="C1020" s="34" t="b">
        <v>1</v>
      </c>
      <c r="D1020" s="34">
        <v>1</v>
      </c>
      <c r="E1020" s="34" t="s">
        <v>3264</v>
      </c>
      <c r="F1020" s="33">
        <v>52</v>
      </c>
      <c r="G1020" s="33">
        <v>8</v>
      </c>
      <c r="H1020" s="34"/>
      <c r="I1020" s="34"/>
      <c r="J1020" s="34"/>
    </row>
    <row r="1021" spans="1:10">
      <c r="A1021" s="33">
        <v>37710</v>
      </c>
      <c r="B1021" s="33">
        <v>3771</v>
      </c>
      <c r="C1021" s="34" t="b">
        <v>1</v>
      </c>
      <c r="D1021" s="34">
        <v>1</v>
      </c>
      <c r="E1021" s="34" t="s">
        <v>3264</v>
      </c>
      <c r="F1021" s="33">
        <v>52</v>
      </c>
      <c r="G1021" s="33">
        <v>8</v>
      </c>
      <c r="H1021" s="34"/>
      <c r="I1021" s="34"/>
      <c r="J1021" s="34"/>
    </row>
    <row r="1022" spans="1:10">
      <c r="A1022" s="33">
        <v>37720</v>
      </c>
      <c r="B1022" s="33">
        <v>3772</v>
      </c>
      <c r="C1022" s="34" t="b">
        <v>1</v>
      </c>
      <c r="D1022" s="34">
        <v>1</v>
      </c>
      <c r="E1022" s="34" t="s">
        <v>3264</v>
      </c>
      <c r="F1022" s="33">
        <v>52</v>
      </c>
      <c r="G1022" s="33">
        <v>8</v>
      </c>
      <c r="H1022" s="34"/>
      <c r="I1022" s="34"/>
      <c r="J1022" s="34"/>
    </row>
    <row r="1023" spans="1:10">
      <c r="A1023" s="33">
        <v>37730</v>
      </c>
      <c r="B1023" s="33">
        <v>3773</v>
      </c>
      <c r="C1023" s="34" t="b">
        <v>1</v>
      </c>
      <c r="D1023" s="34">
        <v>1</v>
      </c>
      <c r="E1023" s="34" t="s">
        <v>3264</v>
      </c>
      <c r="F1023" s="33">
        <v>52</v>
      </c>
      <c r="G1023" s="33">
        <v>8</v>
      </c>
      <c r="H1023" s="34"/>
      <c r="I1023" s="34"/>
      <c r="J1023" s="34"/>
    </row>
    <row r="1024" spans="1:10">
      <c r="A1024" s="33">
        <v>37740</v>
      </c>
      <c r="B1024" s="33">
        <v>3774</v>
      </c>
      <c r="C1024" s="34" t="b">
        <v>1</v>
      </c>
      <c r="D1024" s="34">
        <v>1</v>
      </c>
      <c r="E1024" s="34" t="s">
        <v>3264</v>
      </c>
      <c r="F1024" s="33">
        <v>52</v>
      </c>
      <c r="G1024" s="33">
        <v>8</v>
      </c>
      <c r="H1024" s="34"/>
      <c r="I1024" s="34"/>
      <c r="J1024" s="34"/>
    </row>
    <row r="1025" spans="1:10">
      <c r="A1025" s="33">
        <v>37750</v>
      </c>
      <c r="B1025" s="33">
        <v>3775</v>
      </c>
      <c r="C1025" s="34" t="b">
        <v>1</v>
      </c>
      <c r="D1025" s="34">
        <v>1</v>
      </c>
      <c r="E1025" s="34" t="s">
        <v>3264</v>
      </c>
      <c r="F1025" s="33">
        <v>52</v>
      </c>
      <c r="G1025" s="33">
        <v>8</v>
      </c>
      <c r="H1025" s="34"/>
      <c r="I1025" s="34"/>
      <c r="J1025" s="34"/>
    </row>
    <row r="1026" spans="1:10">
      <c r="A1026" s="33">
        <v>37760</v>
      </c>
      <c r="B1026" s="33">
        <v>3776</v>
      </c>
      <c r="C1026" s="34" t="b">
        <v>1</v>
      </c>
      <c r="D1026" s="34">
        <v>1</v>
      </c>
      <c r="E1026" s="34" t="s">
        <v>3264</v>
      </c>
      <c r="F1026" s="33">
        <v>52</v>
      </c>
      <c r="G1026" s="33">
        <v>8</v>
      </c>
      <c r="H1026" s="34"/>
      <c r="I1026" s="34"/>
      <c r="J1026" s="34"/>
    </row>
    <row r="1027" spans="1:10">
      <c r="A1027" s="33">
        <v>37770</v>
      </c>
      <c r="B1027" s="33">
        <v>3777</v>
      </c>
      <c r="C1027" s="34" t="b">
        <v>1</v>
      </c>
      <c r="D1027" s="34">
        <v>1</v>
      </c>
      <c r="E1027" s="34" t="s">
        <v>3264</v>
      </c>
      <c r="F1027" s="33">
        <v>52</v>
      </c>
      <c r="G1027" s="33">
        <v>8</v>
      </c>
      <c r="H1027" s="34"/>
      <c r="I1027" s="34"/>
      <c r="J1027" s="34"/>
    </row>
    <row r="1028" spans="1:10">
      <c r="A1028" s="33">
        <v>37780</v>
      </c>
      <c r="B1028" s="33">
        <v>3778</v>
      </c>
      <c r="C1028" s="34" t="b">
        <v>1</v>
      </c>
      <c r="D1028" s="34">
        <v>1</v>
      </c>
      <c r="E1028" s="34" t="s">
        <v>3264</v>
      </c>
      <c r="F1028" s="33">
        <v>52</v>
      </c>
      <c r="G1028" s="33">
        <v>8</v>
      </c>
      <c r="H1028" s="34"/>
      <c r="I1028" s="34"/>
      <c r="J1028" s="34"/>
    </row>
    <row r="1029" spans="1:10">
      <c r="A1029" s="33">
        <v>37790</v>
      </c>
      <c r="B1029" s="33">
        <v>3779</v>
      </c>
      <c r="C1029" s="34" t="b">
        <v>1</v>
      </c>
      <c r="D1029" s="34">
        <v>1</v>
      </c>
      <c r="E1029" s="34" t="s">
        <v>3264</v>
      </c>
      <c r="F1029" s="33">
        <v>52</v>
      </c>
      <c r="G1029" s="33">
        <v>8</v>
      </c>
      <c r="H1029" s="34"/>
      <c r="I1029" s="34"/>
      <c r="J1029" s="34"/>
    </row>
    <row r="1030" spans="1:10">
      <c r="A1030" s="33">
        <v>37800</v>
      </c>
      <c r="B1030" s="33">
        <v>3780</v>
      </c>
      <c r="C1030" s="34" t="b">
        <v>1</v>
      </c>
      <c r="D1030" s="34">
        <v>1</v>
      </c>
      <c r="E1030" s="34" t="s">
        <v>3264</v>
      </c>
      <c r="F1030" s="33">
        <v>52</v>
      </c>
      <c r="G1030" s="33">
        <v>8</v>
      </c>
      <c r="H1030" s="34"/>
      <c r="I1030" s="34"/>
      <c r="J1030" s="34"/>
    </row>
    <row r="1031" spans="1:10">
      <c r="A1031" s="33">
        <v>37810</v>
      </c>
      <c r="B1031" s="33">
        <v>3781</v>
      </c>
      <c r="C1031" s="34" t="b">
        <v>1</v>
      </c>
      <c r="D1031" s="34">
        <v>1</v>
      </c>
      <c r="E1031" s="34" t="s">
        <v>3264</v>
      </c>
      <c r="F1031" s="33">
        <v>52</v>
      </c>
      <c r="G1031" s="33">
        <v>8</v>
      </c>
      <c r="H1031" s="34"/>
      <c r="I1031" s="34"/>
      <c r="J1031" s="34"/>
    </row>
    <row r="1032" spans="1:10">
      <c r="A1032" s="33">
        <v>37820</v>
      </c>
      <c r="B1032" s="33">
        <v>3782</v>
      </c>
      <c r="C1032" s="34" t="b">
        <v>1</v>
      </c>
      <c r="D1032" s="34">
        <v>1</v>
      </c>
      <c r="E1032" s="34" t="s">
        <v>3264</v>
      </c>
      <c r="F1032" s="33">
        <v>52</v>
      </c>
      <c r="G1032" s="33">
        <v>8</v>
      </c>
      <c r="H1032" s="34"/>
      <c r="I1032" s="34"/>
      <c r="J1032" s="34"/>
    </row>
    <row r="1033" spans="1:10">
      <c r="A1033" s="33">
        <v>37830</v>
      </c>
      <c r="B1033" s="33">
        <v>3783</v>
      </c>
      <c r="C1033" s="34" t="b">
        <v>1</v>
      </c>
      <c r="D1033" s="34">
        <v>1</v>
      </c>
      <c r="E1033" s="34" t="s">
        <v>3264</v>
      </c>
      <c r="F1033" s="33">
        <v>52</v>
      </c>
      <c r="G1033" s="33">
        <v>8</v>
      </c>
      <c r="H1033" s="34"/>
      <c r="I1033" s="34"/>
      <c r="J1033" s="34"/>
    </row>
    <row r="1034" spans="1:10">
      <c r="A1034" s="33">
        <v>37840</v>
      </c>
      <c r="B1034" s="33">
        <v>3784</v>
      </c>
      <c r="C1034" s="34" t="b">
        <v>1</v>
      </c>
      <c r="D1034" s="34">
        <v>1</v>
      </c>
      <c r="E1034" s="34" t="s">
        <v>3264</v>
      </c>
      <c r="F1034" s="33">
        <v>52</v>
      </c>
      <c r="G1034" s="33">
        <v>8</v>
      </c>
      <c r="H1034" s="34"/>
      <c r="I1034" s="34"/>
      <c r="J1034" s="34"/>
    </row>
    <row r="1035" spans="1:10">
      <c r="A1035" s="33">
        <v>37850</v>
      </c>
      <c r="B1035" s="33">
        <v>3785</v>
      </c>
      <c r="C1035" s="34" t="b">
        <v>1</v>
      </c>
      <c r="D1035" s="34">
        <v>1</v>
      </c>
      <c r="E1035" s="34" t="s">
        <v>3264</v>
      </c>
      <c r="F1035" s="33">
        <v>52</v>
      </c>
      <c r="G1035" s="33">
        <v>8</v>
      </c>
      <c r="H1035" s="34"/>
      <c r="I1035" s="34"/>
      <c r="J1035" s="34"/>
    </row>
    <row r="1036" spans="1:10">
      <c r="A1036" s="33">
        <v>37860</v>
      </c>
      <c r="B1036" s="33">
        <v>3786</v>
      </c>
      <c r="C1036" s="34" t="b">
        <v>1</v>
      </c>
      <c r="D1036" s="34">
        <v>1</v>
      </c>
      <c r="E1036" s="34" t="s">
        <v>3264</v>
      </c>
      <c r="F1036" s="33">
        <v>52</v>
      </c>
      <c r="G1036" s="33">
        <v>8</v>
      </c>
      <c r="H1036" s="34"/>
      <c r="I1036" s="34"/>
      <c r="J1036" s="34"/>
    </row>
    <row r="1037" spans="1:10">
      <c r="A1037" s="33">
        <v>37870</v>
      </c>
      <c r="B1037" s="33">
        <v>3787</v>
      </c>
      <c r="C1037" s="34" t="b">
        <v>1</v>
      </c>
      <c r="D1037" s="34">
        <v>1</v>
      </c>
      <c r="E1037" s="34" t="s">
        <v>3264</v>
      </c>
      <c r="F1037" s="33">
        <v>52</v>
      </c>
      <c r="G1037" s="33">
        <v>8</v>
      </c>
      <c r="H1037" s="34"/>
      <c r="I1037" s="34"/>
      <c r="J1037" s="34"/>
    </row>
    <row r="1038" spans="1:10">
      <c r="A1038" s="33">
        <v>37880</v>
      </c>
      <c r="B1038" s="33">
        <v>3788</v>
      </c>
      <c r="C1038" s="34" t="b">
        <v>1</v>
      </c>
      <c r="D1038" s="34">
        <v>1</v>
      </c>
      <c r="E1038" s="34" t="s">
        <v>3264</v>
      </c>
      <c r="F1038" s="33">
        <v>52</v>
      </c>
      <c r="G1038" s="33">
        <v>8</v>
      </c>
      <c r="H1038" s="34"/>
      <c r="I1038" s="34"/>
      <c r="J1038" s="34"/>
    </row>
    <row r="1039" spans="1:10">
      <c r="A1039" s="33">
        <v>37890</v>
      </c>
      <c r="B1039" s="33">
        <v>3789</v>
      </c>
      <c r="C1039" s="34" t="b">
        <v>1</v>
      </c>
      <c r="D1039" s="34">
        <v>1</v>
      </c>
      <c r="E1039" s="34" t="s">
        <v>3264</v>
      </c>
      <c r="F1039" s="33">
        <v>52</v>
      </c>
      <c r="G1039" s="33">
        <v>8</v>
      </c>
      <c r="H1039" s="34"/>
      <c r="I1039" s="34"/>
      <c r="J1039" s="34"/>
    </row>
    <row r="1040" spans="1:10">
      <c r="A1040" s="33">
        <v>37900</v>
      </c>
      <c r="B1040" s="33">
        <v>3790</v>
      </c>
      <c r="C1040" s="34" t="b">
        <v>1</v>
      </c>
      <c r="D1040" s="34">
        <v>1</v>
      </c>
      <c r="E1040" s="34" t="s">
        <v>3264</v>
      </c>
      <c r="F1040" s="33">
        <v>52</v>
      </c>
      <c r="G1040" s="33">
        <v>8</v>
      </c>
      <c r="H1040" s="34"/>
      <c r="I1040" s="34"/>
      <c r="J1040" s="34"/>
    </row>
    <row r="1041" spans="1:10">
      <c r="A1041" s="33">
        <v>37910</v>
      </c>
      <c r="B1041" s="33">
        <v>3791</v>
      </c>
      <c r="C1041" s="34" t="b">
        <v>1</v>
      </c>
      <c r="D1041" s="34">
        <v>1</v>
      </c>
      <c r="E1041" s="34" t="s">
        <v>3264</v>
      </c>
      <c r="F1041" s="33">
        <v>52</v>
      </c>
      <c r="G1041" s="33">
        <v>8</v>
      </c>
      <c r="H1041" s="34"/>
      <c r="I1041" s="34"/>
      <c r="J1041" s="34"/>
    </row>
    <row r="1042" spans="1:10">
      <c r="A1042" s="33">
        <v>37920</v>
      </c>
      <c r="B1042" s="33">
        <v>3792</v>
      </c>
      <c r="C1042" s="34" t="b">
        <v>1</v>
      </c>
      <c r="D1042" s="34">
        <v>1</v>
      </c>
      <c r="E1042" s="34" t="s">
        <v>3264</v>
      </c>
      <c r="F1042" s="33">
        <v>52</v>
      </c>
      <c r="G1042" s="33">
        <v>8</v>
      </c>
      <c r="H1042" s="34"/>
      <c r="I1042" s="34"/>
      <c r="J1042" s="34"/>
    </row>
    <row r="1043" spans="1:10">
      <c r="A1043" s="33">
        <v>37930</v>
      </c>
      <c r="B1043" s="33">
        <v>3793</v>
      </c>
      <c r="C1043" s="34" t="b">
        <v>1</v>
      </c>
      <c r="D1043" s="34">
        <v>1</v>
      </c>
      <c r="E1043" s="34" t="s">
        <v>3264</v>
      </c>
      <c r="F1043" s="33">
        <v>52</v>
      </c>
      <c r="G1043" s="33">
        <v>8</v>
      </c>
      <c r="H1043" s="34"/>
      <c r="I1043" s="34"/>
      <c r="J1043" s="34"/>
    </row>
    <row r="1044" spans="1:10">
      <c r="A1044" s="33">
        <v>37940</v>
      </c>
      <c r="B1044" s="33">
        <v>3794</v>
      </c>
      <c r="C1044" s="34" t="b">
        <v>1</v>
      </c>
      <c r="D1044" s="34">
        <v>1</v>
      </c>
      <c r="E1044" s="34" t="s">
        <v>3264</v>
      </c>
      <c r="F1044" s="33">
        <v>52</v>
      </c>
      <c r="G1044" s="33">
        <v>8</v>
      </c>
      <c r="H1044" s="34"/>
      <c r="I1044" s="34"/>
      <c r="J1044" s="34"/>
    </row>
    <row r="1045" spans="1:10">
      <c r="A1045" s="33">
        <v>37950</v>
      </c>
      <c r="B1045" s="33">
        <v>3795</v>
      </c>
      <c r="C1045" s="34" t="b">
        <v>1</v>
      </c>
      <c r="D1045" s="34">
        <v>1</v>
      </c>
      <c r="E1045" s="34" t="s">
        <v>3264</v>
      </c>
      <c r="F1045" s="33">
        <v>52</v>
      </c>
      <c r="G1045" s="33">
        <v>8</v>
      </c>
      <c r="H1045" s="34"/>
      <c r="I1045" s="34"/>
      <c r="J1045" s="34"/>
    </row>
    <row r="1046" spans="1:10">
      <c r="A1046" s="33">
        <v>37960</v>
      </c>
      <c r="B1046" s="33">
        <v>3796</v>
      </c>
      <c r="C1046" s="34" t="b">
        <v>1</v>
      </c>
      <c r="D1046" s="34">
        <v>1</v>
      </c>
      <c r="E1046" s="34" t="s">
        <v>3264</v>
      </c>
      <c r="F1046" s="33">
        <v>52</v>
      </c>
      <c r="G1046" s="33">
        <v>8</v>
      </c>
      <c r="H1046" s="34"/>
      <c r="I1046" s="34"/>
      <c r="J1046" s="34"/>
    </row>
    <row r="1047" spans="1:10">
      <c r="A1047" s="33">
        <v>37970</v>
      </c>
      <c r="B1047" s="33">
        <v>3797</v>
      </c>
      <c r="C1047" s="34" t="b">
        <v>1</v>
      </c>
      <c r="D1047" s="34">
        <v>1</v>
      </c>
      <c r="E1047" s="34" t="s">
        <v>3264</v>
      </c>
      <c r="F1047" s="33">
        <v>52</v>
      </c>
      <c r="G1047" s="33">
        <v>8</v>
      </c>
      <c r="H1047" s="34"/>
      <c r="I1047" s="34"/>
      <c r="J1047" s="34"/>
    </row>
    <row r="1048" spans="1:10">
      <c r="A1048" s="33">
        <v>37980</v>
      </c>
      <c r="B1048" s="33">
        <v>3798</v>
      </c>
      <c r="C1048" s="34" t="b">
        <v>1</v>
      </c>
      <c r="D1048" s="34">
        <v>1</v>
      </c>
      <c r="E1048" s="34" t="s">
        <v>3264</v>
      </c>
      <c r="F1048" s="33">
        <v>52</v>
      </c>
      <c r="G1048" s="33">
        <v>8</v>
      </c>
      <c r="H1048" s="34"/>
      <c r="I1048" s="34"/>
      <c r="J1048" s="34"/>
    </row>
    <row r="1049" spans="1:10">
      <c r="A1049" s="33">
        <v>37990</v>
      </c>
      <c r="B1049" s="33">
        <v>3799</v>
      </c>
      <c r="C1049" s="34" t="b">
        <v>1</v>
      </c>
      <c r="D1049" s="34">
        <v>1</v>
      </c>
      <c r="E1049" s="34" t="s">
        <v>3264</v>
      </c>
      <c r="F1049" s="33">
        <v>52</v>
      </c>
      <c r="G1049" s="33">
        <v>8</v>
      </c>
      <c r="H1049" s="34"/>
      <c r="I1049" s="34"/>
      <c r="J1049" s="34"/>
    </row>
    <row r="1050" spans="1:10">
      <c r="A1050" s="33">
        <v>38000</v>
      </c>
      <c r="B1050" s="33">
        <v>3800</v>
      </c>
      <c r="C1050" s="34" t="b">
        <v>1</v>
      </c>
      <c r="D1050" s="34">
        <v>1</v>
      </c>
      <c r="E1050" s="34" t="s">
        <v>3264</v>
      </c>
      <c r="F1050" s="33">
        <v>52</v>
      </c>
      <c r="G1050" s="33">
        <v>8</v>
      </c>
      <c r="H1050" s="34"/>
      <c r="I1050" s="34"/>
      <c r="J1050" s="34"/>
    </row>
    <row r="1051" spans="1:10">
      <c r="A1051" s="33">
        <v>38010</v>
      </c>
      <c r="B1051" s="33">
        <v>3801</v>
      </c>
      <c r="C1051" s="34" t="b">
        <v>1</v>
      </c>
      <c r="D1051" s="34">
        <v>1</v>
      </c>
      <c r="E1051" s="34" t="s">
        <v>3264</v>
      </c>
      <c r="F1051" s="33">
        <v>52</v>
      </c>
      <c r="G1051" s="33">
        <v>8</v>
      </c>
      <c r="H1051" s="34"/>
      <c r="I1051" s="34"/>
      <c r="J1051" s="34"/>
    </row>
    <row r="1052" spans="1:10">
      <c r="A1052" s="33">
        <v>38020</v>
      </c>
      <c r="B1052" s="33">
        <v>3802</v>
      </c>
      <c r="C1052" s="34" t="b">
        <v>1</v>
      </c>
      <c r="D1052" s="34">
        <v>1</v>
      </c>
      <c r="E1052" s="34" t="s">
        <v>3264</v>
      </c>
      <c r="F1052" s="33">
        <v>52</v>
      </c>
      <c r="G1052" s="33">
        <v>8</v>
      </c>
      <c r="H1052" s="34"/>
      <c r="I1052" s="34"/>
      <c r="J1052" s="34"/>
    </row>
    <row r="1053" spans="1:10">
      <c r="A1053" s="33">
        <v>38030</v>
      </c>
      <c r="B1053" s="33">
        <v>3803</v>
      </c>
      <c r="C1053" s="34" t="b">
        <v>1</v>
      </c>
      <c r="D1053" s="34">
        <v>1</v>
      </c>
      <c r="E1053" s="34" t="s">
        <v>3264</v>
      </c>
      <c r="F1053" s="33">
        <v>52</v>
      </c>
      <c r="G1053" s="33">
        <v>8</v>
      </c>
      <c r="H1053" s="34"/>
      <c r="I1053" s="34"/>
      <c r="J1053" s="34"/>
    </row>
    <row r="1054" spans="1:10">
      <c r="A1054" s="33">
        <v>38040</v>
      </c>
      <c r="B1054" s="33">
        <v>3804</v>
      </c>
      <c r="C1054" s="34" t="b">
        <v>1</v>
      </c>
      <c r="D1054" s="34">
        <v>1</v>
      </c>
      <c r="E1054" s="34" t="s">
        <v>3264</v>
      </c>
      <c r="F1054" s="33">
        <v>52</v>
      </c>
      <c r="G1054" s="33">
        <v>8</v>
      </c>
      <c r="H1054" s="34"/>
      <c r="I1054" s="34"/>
      <c r="J1054" s="34"/>
    </row>
    <row r="1055" spans="1:10">
      <c r="A1055" s="33">
        <v>38050</v>
      </c>
      <c r="B1055" s="33">
        <v>3805</v>
      </c>
      <c r="C1055" s="34" t="b">
        <v>1</v>
      </c>
      <c r="D1055" s="34">
        <v>1</v>
      </c>
      <c r="E1055" s="34" t="s">
        <v>3264</v>
      </c>
      <c r="F1055" s="33">
        <v>52</v>
      </c>
      <c r="G1055" s="33">
        <v>8</v>
      </c>
      <c r="H1055" s="34"/>
      <c r="I1055" s="34"/>
      <c r="J1055" s="34"/>
    </row>
    <row r="1056" spans="1:10">
      <c r="A1056" s="33">
        <v>38060</v>
      </c>
      <c r="B1056" s="33">
        <v>3806</v>
      </c>
      <c r="C1056" s="34" t="b">
        <v>1</v>
      </c>
      <c r="D1056" s="34">
        <v>1</v>
      </c>
      <c r="E1056" s="34" t="s">
        <v>3264</v>
      </c>
      <c r="F1056" s="33">
        <v>52</v>
      </c>
      <c r="G1056" s="33">
        <v>8</v>
      </c>
      <c r="H1056" s="34"/>
      <c r="I1056" s="34"/>
      <c r="J1056" s="34"/>
    </row>
    <row r="1057" spans="1:10">
      <c r="A1057" s="33">
        <v>38070</v>
      </c>
      <c r="B1057" s="33">
        <v>3807</v>
      </c>
      <c r="C1057" s="34" t="b">
        <v>1</v>
      </c>
      <c r="D1057" s="34">
        <v>1</v>
      </c>
      <c r="E1057" s="34" t="s">
        <v>3264</v>
      </c>
      <c r="F1057" s="33">
        <v>52</v>
      </c>
      <c r="G1057" s="33">
        <v>8</v>
      </c>
      <c r="H1057" s="34"/>
      <c r="I1057" s="34"/>
      <c r="J1057" s="34"/>
    </row>
    <row r="1058" spans="1:10">
      <c r="A1058" s="33">
        <v>38080</v>
      </c>
      <c r="B1058" s="33">
        <v>3808</v>
      </c>
      <c r="C1058" s="34" t="b">
        <v>1</v>
      </c>
      <c r="D1058" s="34">
        <v>1</v>
      </c>
      <c r="E1058" s="34" t="s">
        <v>3264</v>
      </c>
      <c r="F1058" s="33">
        <v>52</v>
      </c>
      <c r="G1058" s="33">
        <v>8</v>
      </c>
      <c r="H1058" s="34"/>
      <c r="I1058" s="34"/>
      <c r="J1058" s="34"/>
    </row>
    <row r="1059" spans="1:10">
      <c r="A1059" s="33">
        <v>38090</v>
      </c>
      <c r="B1059" s="33">
        <v>3809</v>
      </c>
      <c r="C1059" s="34" t="b">
        <v>1</v>
      </c>
      <c r="D1059" s="34">
        <v>1</v>
      </c>
      <c r="E1059" s="34" t="s">
        <v>3264</v>
      </c>
      <c r="F1059" s="33">
        <v>52</v>
      </c>
      <c r="G1059" s="33">
        <v>8</v>
      </c>
      <c r="H1059" s="34"/>
      <c r="I1059" s="34"/>
      <c r="J1059" s="34"/>
    </row>
    <row r="1060" spans="1:10">
      <c r="A1060" s="33">
        <v>38100</v>
      </c>
      <c r="B1060" s="33">
        <v>3810</v>
      </c>
      <c r="C1060" s="34" t="b">
        <v>1</v>
      </c>
      <c r="D1060" s="34">
        <v>1</v>
      </c>
      <c r="E1060" s="34" t="s">
        <v>3264</v>
      </c>
      <c r="F1060" s="33">
        <v>52</v>
      </c>
      <c r="G1060" s="33">
        <v>8</v>
      </c>
      <c r="H1060" s="34"/>
      <c r="I1060" s="34"/>
      <c r="J1060" s="34"/>
    </row>
    <row r="1061" spans="1:10">
      <c r="A1061" s="33">
        <v>38110</v>
      </c>
      <c r="B1061" s="33">
        <v>3811</v>
      </c>
      <c r="C1061" s="34" t="b">
        <v>1</v>
      </c>
      <c r="D1061" s="34">
        <v>1</v>
      </c>
      <c r="E1061" s="34" t="s">
        <v>3264</v>
      </c>
      <c r="F1061" s="33">
        <v>52</v>
      </c>
      <c r="G1061" s="33">
        <v>8</v>
      </c>
      <c r="H1061" s="34"/>
      <c r="I1061" s="34"/>
      <c r="J1061" s="34"/>
    </row>
    <row r="1062" spans="1:10">
      <c r="A1062" s="33">
        <v>38120</v>
      </c>
      <c r="B1062" s="33">
        <v>3812</v>
      </c>
      <c r="C1062" s="34" t="b">
        <v>1</v>
      </c>
      <c r="D1062" s="34">
        <v>1</v>
      </c>
      <c r="E1062" s="34" t="s">
        <v>3264</v>
      </c>
      <c r="F1062" s="33">
        <v>52</v>
      </c>
      <c r="G1062" s="33">
        <v>8</v>
      </c>
      <c r="H1062" s="34"/>
      <c r="I1062" s="34"/>
      <c r="J1062" s="34"/>
    </row>
    <row r="1063" spans="1:10">
      <c r="A1063" s="33">
        <v>38130</v>
      </c>
      <c r="B1063" s="33">
        <v>3813</v>
      </c>
      <c r="C1063" s="34" t="b">
        <v>1</v>
      </c>
      <c r="D1063" s="34">
        <v>1</v>
      </c>
      <c r="E1063" s="34" t="s">
        <v>3264</v>
      </c>
      <c r="F1063" s="33">
        <v>52</v>
      </c>
      <c r="G1063" s="33">
        <v>8</v>
      </c>
      <c r="H1063" s="34"/>
      <c r="I1063" s="34"/>
      <c r="J1063" s="34"/>
    </row>
    <row r="1064" spans="1:10">
      <c r="A1064" s="33">
        <v>38140</v>
      </c>
      <c r="B1064" s="33">
        <v>3814</v>
      </c>
      <c r="C1064" s="34" t="b">
        <v>1</v>
      </c>
      <c r="D1064" s="34">
        <v>1</v>
      </c>
      <c r="E1064" s="34" t="s">
        <v>3264</v>
      </c>
      <c r="F1064" s="33">
        <v>52</v>
      </c>
      <c r="G1064" s="33">
        <v>8</v>
      </c>
      <c r="H1064" s="34"/>
      <c r="I1064" s="34"/>
      <c r="J1064" s="34"/>
    </row>
    <row r="1065" spans="1:10">
      <c r="A1065" s="33">
        <v>38150</v>
      </c>
      <c r="B1065" s="33">
        <v>3815</v>
      </c>
      <c r="C1065" s="34" t="b">
        <v>1</v>
      </c>
      <c r="D1065" s="34">
        <v>1</v>
      </c>
      <c r="E1065" s="34" t="s">
        <v>3264</v>
      </c>
      <c r="F1065" s="33">
        <v>52</v>
      </c>
      <c r="G1065" s="33">
        <v>8</v>
      </c>
      <c r="H1065" s="34"/>
      <c r="I1065" s="34"/>
      <c r="J1065" s="34"/>
    </row>
    <row r="1066" spans="1:10">
      <c r="A1066" s="33">
        <v>38160</v>
      </c>
      <c r="B1066" s="33">
        <v>3816</v>
      </c>
      <c r="C1066" s="34" t="b">
        <v>1</v>
      </c>
      <c r="D1066" s="34">
        <v>1</v>
      </c>
      <c r="E1066" s="34" t="s">
        <v>3264</v>
      </c>
      <c r="F1066" s="33">
        <v>52</v>
      </c>
      <c r="G1066" s="33">
        <v>8</v>
      </c>
      <c r="H1066" s="34"/>
      <c r="I1066" s="34"/>
      <c r="J1066" s="34"/>
    </row>
    <row r="1067" spans="1:10">
      <c r="A1067" s="33">
        <v>38170</v>
      </c>
      <c r="B1067" s="33">
        <v>3817</v>
      </c>
      <c r="C1067" s="34" t="b">
        <v>1</v>
      </c>
      <c r="D1067" s="34">
        <v>1</v>
      </c>
      <c r="E1067" s="34" t="s">
        <v>3264</v>
      </c>
      <c r="F1067" s="33">
        <v>52</v>
      </c>
      <c r="G1067" s="33">
        <v>8</v>
      </c>
      <c r="H1067" s="34"/>
      <c r="I1067" s="34"/>
      <c r="J1067" s="34"/>
    </row>
    <row r="1068" spans="1:10">
      <c r="A1068" s="33">
        <v>38180</v>
      </c>
      <c r="B1068" s="33">
        <v>3818</v>
      </c>
      <c r="C1068" s="34" t="b">
        <v>1</v>
      </c>
      <c r="D1068" s="34">
        <v>1</v>
      </c>
      <c r="E1068" s="34" t="s">
        <v>3264</v>
      </c>
      <c r="F1068" s="33">
        <v>52</v>
      </c>
      <c r="G1068" s="33">
        <v>8</v>
      </c>
      <c r="H1068" s="34"/>
      <c r="I1068" s="34"/>
      <c r="J1068" s="34"/>
    </row>
    <row r="1069" spans="1:10">
      <c r="A1069" s="33">
        <v>38190</v>
      </c>
      <c r="B1069" s="33">
        <v>3819</v>
      </c>
      <c r="C1069" s="34" t="b">
        <v>1</v>
      </c>
      <c r="D1069" s="34">
        <v>1</v>
      </c>
      <c r="E1069" s="34" t="s">
        <v>3264</v>
      </c>
      <c r="F1069" s="33">
        <v>52</v>
      </c>
      <c r="G1069" s="33">
        <v>8</v>
      </c>
      <c r="H1069" s="34"/>
      <c r="I1069" s="34"/>
      <c r="J1069" s="34"/>
    </row>
    <row r="1070" spans="1:10">
      <c r="A1070" s="33">
        <v>38200</v>
      </c>
      <c r="B1070" s="33">
        <v>3820</v>
      </c>
      <c r="C1070" s="34" t="b">
        <v>1</v>
      </c>
      <c r="D1070" s="34">
        <v>1</v>
      </c>
      <c r="E1070" s="34" t="s">
        <v>3264</v>
      </c>
      <c r="F1070" s="33">
        <v>52</v>
      </c>
      <c r="G1070" s="33">
        <v>8</v>
      </c>
      <c r="H1070" s="34"/>
      <c r="I1070" s="34"/>
      <c r="J1070" s="34"/>
    </row>
    <row r="1071" spans="1:10">
      <c r="A1071" s="33">
        <v>38210</v>
      </c>
      <c r="B1071" s="33">
        <v>3821</v>
      </c>
      <c r="C1071" s="34" t="b">
        <v>1</v>
      </c>
      <c r="D1071" s="34">
        <v>1</v>
      </c>
      <c r="E1071" s="34" t="s">
        <v>3264</v>
      </c>
      <c r="F1071" s="33">
        <v>52</v>
      </c>
      <c r="G1071" s="33">
        <v>8</v>
      </c>
      <c r="H1071" s="34"/>
      <c r="I1071" s="34"/>
      <c r="J1071" s="34"/>
    </row>
    <row r="1072" spans="1:10">
      <c r="A1072" s="33">
        <v>38220</v>
      </c>
      <c r="B1072" s="33">
        <v>3822</v>
      </c>
      <c r="C1072" s="34" t="b">
        <v>1</v>
      </c>
      <c r="D1072" s="34">
        <v>1</v>
      </c>
      <c r="E1072" s="34" t="s">
        <v>3264</v>
      </c>
      <c r="F1072" s="33">
        <v>52</v>
      </c>
      <c r="G1072" s="33">
        <v>8</v>
      </c>
      <c r="H1072" s="34"/>
      <c r="I1072" s="34"/>
      <c r="J1072" s="34"/>
    </row>
    <row r="1073" spans="1:10">
      <c r="A1073" s="33">
        <v>38230</v>
      </c>
      <c r="B1073" s="33">
        <v>3823</v>
      </c>
      <c r="C1073" s="34" t="b">
        <v>1</v>
      </c>
      <c r="D1073" s="34">
        <v>1</v>
      </c>
      <c r="E1073" s="34" t="s">
        <v>3264</v>
      </c>
      <c r="F1073" s="33">
        <v>52</v>
      </c>
      <c r="G1073" s="33">
        <v>8</v>
      </c>
      <c r="H1073" s="34"/>
      <c r="I1073" s="34"/>
      <c r="J1073" s="34"/>
    </row>
    <row r="1074" spans="1:10">
      <c r="A1074" s="33">
        <v>38240</v>
      </c>
      <c r="B1074" s="33">
        <v>3824</v>
      </c>
      <c r="C1074" s="34" t="b">
        <v>1</v>
      </c>
      <c r="D1074" s="34">
        <v>1</v>
      </c>
      <c r="E1074" s="34" t="s">
        <v>3264</v>
      </c>
      <c r="F1074" s="33">
        <v>52</v>
      </c>
      <c r="G1074" s="33">
        <v>8</v>
      </c>
      <c r="H1074" s="34"/>
      <c r="I1074" s="34"/>
      <c r="J1074" s="34"/>
    </row>
    <row r="1075" spans="1:10">
      <c r="A1075" s="33">
        <v>38250</v>
      </c>
      <c r="B1075" s="33">
        <v>3825</v>
      </c>
      <c r="C1075" s="34" t="b">
        <v>1</v>
      </c>
      <c r="D1075" s="34">
        <v>1</v>
      </c>
      <c r="E1075" s="34" t="s">
        <v>3264</v>
      </c>
      <c r="F1075" s="33">
        <v>52</v>
      </c>
      <c r="G1075" s="33">
        <v>8</v>
      </c>
      <c r="H1075" s="34"/>
      <c r="I1075" s="34"/>
      <c r="J1075" s="34"/>
    </row>
    <row r="1076" spans="1:10">
      <c r="A1076" s="33">
        <v>38260</v>
      </c>
      <c r="B1076" s="33">
        <v>3826</v>
      </c>
      <c r="C1076" s="34" t="b">
        <v>1</v>
      </c>
      <c r="D1076" s="34">
        <v>1</v>
      </c>
      <c r="E1076" s="34" t="s">
        <v>3264</v>
      </c>
      <c r="F1076" s="33">
        <v>52</v>
      </c>
      <c r="G1076" s="33">
        <v>8</v>
      </c>
      <c r="H1076" s="34"/>
      <c r="I1076" s="34"/>
      <c r="J1076" s="34"/>
    </row>
    <row r="1077" spans="1:10">
      <c r="A1077" s="33">
        <v>38270</v>
      </c>
      <c r="B1077" s="33">
        <v>3827</v>
      </c>
      <c r="C1077" s="34" t="b">
        <v>1</v>
      </c>
      <c r="D1077" s="34">
        <v>1</v>
      </c>
      <c r="E1077" s="34" t="s">
        <v>3264</v>
      </c>
      <c r="F1077" s="33">
        <v>52</v>
      </c>
      <c r="G1077" s="33">
        <v>8</v>
      </c>
      <c r="H1077" s="34"/>
      <c r="I1077" s="34"/>
      <c r="J1077" s="34"/>
    </row>
    <row r="1078" spans="1:10">
      <c r="A1078" s="33">
        <v>38280</v>
      </c>
      <c r="B1078" s="33">
        <v>3828</v>
      </c>
      <c r="C1078" s="34" t="b">
        <v>1</v>
      </c>
      <c r="D1078" s="34">
        <v>1</v>
      </c>
      <c r="E1078" s="34" t="s">
        <v>3264</v>
      </c>
      <c r="F1078" s="33">
        <v>52</v>
      </c>
      <c r="G1078" s="33">
        <v>8</v>
      </c>
      <c r="H1078" s="34"/>
      <c r="I1078" s="34"/>
      <c r="J1078" s="34"/>
    </row>
    <row r="1079" spans="1:10">
      <c r="A1079" s="33">
        <v>38290</v>
      </c>
      <c r="B1079" s="33">
        <v>3829</v>
      </c>
      <c r="C1079" s="34" t="b">
        <v>1</v>
      </c>
      <c r="D1079" s="34">
        <v>1</v>
      </c>
      <c r="E1079" s="34" t="s">
        <v>3264</v>
      </c>
      <c r="F1079" s="33">
        <v>52</v>
      </c>
      <c r="G1079" s="33">
        <v>8</v>
      </c>
      <c r="H1079" s="34"/>
      <c r="I1079" s="34"/>
      <c r="J1079" s="34"/>
    </row>
    <row r="1080" spans="1:10">
      <c r="A1080" s="33">
        <v>38300</v>
      </c>
      <c r="B1080" s="33">
        <v>3830</v>
      </c>
      <c r="C1080" s="34" t="b">
        <v>1</v>
      </c>
      <c r="D1080" s="34">
        <v>1</v>
      </c>
      <c r="E1080" s="34" t="s">
        <v>3264</v>
      </c>
      <c r="F1080" s="33">
        <v>52</v>
      </c>
      <c r="G1080" s="33">
        <v>8</v>
      </c>
      <c r="H1080" s="34"/>
      <c r="I1080" s="34"/>
      <c r="J1080" s="34"/>
    </row>
    <row r="1081" spans="1:10">
      <c r="A1081" s="33">
        <v>38310</v>
      </c>
      <c r="B1081" s="33">
        <v>3831</v>
      </c>
      <c r="C1081" s="34" t="b">
        <v>1</v>
      </c>
      <c r="D1081" s="34">
        <v>1</v>
      </c>
      <c r="E1081" s="34" t="s">
        <v>3264</v>
      </c>
      <c r="F1081" s="33">
        <v>52</v>
      </c>
      <c r="G1081" s="33">
        <v>8</v>
      </c>
      <c r="H1081" s="34"/>
      <c r="I1081" s="34"/>
      <c r="J1081" s="34"/>
    </row>
    <row r="1082" spans="1:10">
      <c r="A1082" s="33">
        <v>38320</v>
      </c>
      <c r="B1082" s="33">
        <v>3832</v>
      </c>
      <c r="C1082" s="34" t="b">
        <v>1</v>
      </c>
      <c r="D1082" s="34">
        <v>1</v>
      </c>
      <c r="E1082" s="34" t="s">
        <v>3264</v>
      </c>
      <c r="F1082" s="33">
        <v>52</v>
      </c>
      <c r="G1082" s="33">
        <v>8</v>
      </c>
      <c r="H1082" s="34"/>
      <c r="I1082" s="34"/>
      <c r="J1082" s="34"/>
    </row>
    <row r="1083" spans="1:10">
      <c r="A1083" s="33">
        <v>38330</v>
      </c>
      <c r="B1083" s="33">
        <v>3833</v>
      </c>
      <c r="C1083" s="34" t="b">
        <v>1</v>
      </c>
      <c r="D1083" s="34">
        <v>1</v>
      </c>
      <c r="E1083" s="34" t="s">
        <v>3264</v>
      </c>
      <c r="F1083" s="33">
        <v>52</v>
      </c>
      <c r="G1083" s="33">
        <v>8</v>
      </c>
      <c r="H1083" s="34"/>
      <c r="I1083" s="34"/>
      <c r="J1083" s="34"/>
    </row>
    <row r="1084" spans="1:10">
      <c r="A1084" s="33">
        <v>38340</v>
      </c>
      <c r="B1084" s="33">
        <v>3834</v>
      </c>
      <c r="C1084" s="34" t="b">
        <v>1</v>
      </c>
      <c r="D1084" s="34">
        <v>1</v>
      </c>
      <c r="E1084" s="34" t="s">
        <v>3264</v>
      </c>
      <c r="F1084" s="33">
        <v>52</v>
      </c>
      <c r="G1084" s="33">
        <v>8</v>
      </c>
      <c r="H1084" s="34"/>
      <c r="I1084" s="34"/>
      <c r="J1084" s="34"/>
    </row>
    <row r="1085" spans="1:10">
      <c r="A1085" s="33">
        <v>38350</v>
      </c>
      <c r="B1085" s="33">
        <v>3835</v>
      </c>
      <c r="C1085" s="34" t="b">
        <v>1</v>
      </c>
      <c r="D1085" s="34">
        <v>1</v>
      </c>
      <c r="E1085" s="34" t="s">
        <v>3264</v>
      </c>
      <c r="F1085" s="33">
        <v>52</v>
      </c>
      <c r="G1085" s="33">
        <v>8</v>
      </c>
      <c r="H1085" s="34"/>
      <c r="I1085" s="34"/>
      <c r="J1085" s="34"/>
    </row>
    <row r="1086" spans="1:10">
      <c r="A1086" s="33">
        <v>38360</v>
      </c>
      <c r="B1086" s="33">
        <v>3836</v>
      </c>
      <c r="C1086" s="34" t="b">
        <v>1</v>
      </c>
      <c r="D1086" s="34">
        <v>1</v>
      </c>
      <c r="E1086" s="34" t="s">
        <v>3264</v>
      </c>
      <c r="F1086" s="33">
        <v>52</v>
      </c>
      <c r="G1086" s="33">
        <v>8</v>
      </c>
      <c r="H1086" s="34"/>
      <c r="I1086" s="34"/>
      <c r="J1086" s="34"/>
    </row>
    <row r="1087" spans="1:10">
      <c r="A1087" s="33">
        <v>38370</v>
      </c>
      <c r="B1087" s="33">
        <v>3837</v>
      </c>
      <c r="C1087" s="34" t="b">
        <v>1</v>
      </c>
      <c r="D1087" s="34">
        <v>1</v>
      </c>
      <c r="E1087" s="34" t="s">
        <v>3264</v>
      </c>
      <c r="F1087" s="33">
        <v>52</v>
      </c>
      <c r="G1087" s="33">
        <v>8</v>
      </c>
      <c r="H1087" s="34"/>
      <c r="I1087" s="34"/>
      <c r="J1087" s="34"/>
    </row>
    <row r="1088" spans="1:10">
      <c r="A1088" s="33">
        <v>38380</v>
      </c>
      <c r="B1088" s="33">
        <v>3838</v>
      </c>
      <c r="C1088" s="34" t="b">
        <v>1</v>
      </c>
      <c r="D1088" s="34">
        <v>1</v>
      </c>
      <c r="E1088" s="34" t="s">
        <v>3264</v>
      </c>
      <c r="F1088" s="33">
        <v>52</v>
      </c>
      <c r="G1088" s="33">
        <v>8</v>
      </c>
      <c r="H1088" s="34"/>
      <c r="I1088" s="34"/>
      <c r="J1088" s="34"/>
    </row>
    <row r="1089" spans="1:10">
      <c r="A1089" s="33">
        <v>38390</v>
      </c>
      <c r="B1089" s="33">
        <v>3839</v>
      </c>
      <c r="C1089" s="34" t="b">
        <v>1</v>
      </c>
      <c r="D1089" s="34">
        <v>1</v>
      </c>
      <c r="E1089" s="34" t="s">
        <v>3264</v>
      </c>
      <c r="F1089" s="33">
        <v>52</v>
      </c>
      <c r="G1089" s="33">
        <v>8</v>
      </c>
      <c r="H1089" s="34"/>
      <c r="I1089" s="34"/>
      <c r="J1089" s="34"/>
    </row>
    <row r="1090" spans="1:10">
      <c r="A1090" s="33">
        <v>38400</v>
      </c>
      <c r="B1090" s="33">
        <v>3840</v>
      </c>
      <c r="C1090" s="34" t="b">
        <v>1</v>
      </c>
      <c r="D1090" s="34">
        <v>1</v>
      </c>
      <c r="E1090" s="34" t="s">
        <v>3264</v>
      </c>
      <c r="F1090" s="33">
        <v>52</v>
      </c>
      <c r="G1090" s="33">
        <v>8</v>
      </c>
      <c r="H1090" s="34"/>
      <c r="I1090" s="34"/>
      <c r="J1090" s="34"/>
    </row>
    <row r="1091" spans="1:10">
      <c r="A1091" s="33">
        <v>38410</v>
      </c>
      <c r="B1091" s="33">
        <v>3841</v>
      </c>
      <c r="C1091" s="34" t="b">
        <v>1</v>
      </c>
      <c r="D1091" s="34">
        <v>1</v>
      </c>
      <c r="E1091" s="34" t="s">
        <v>3264</v>
      </c>
      <c r="F1091" s="33">
        <v>52</v>
      </c>
      <c r="G1091" s="33">
        <v>8</v>
      </c>
      <c r="H1091" s="34"/>
      <c r="I1091" s="34"/>
      <c r="J1091" s="34"/>
    </row>
    <row r="1092" spans="1:10">
      <c r="A1092" s="33">
        <v>38420</v>
      </c>
      <c r="B1092" s="33">
        <v>3842</v>
      </c>
      <c r="C1092" s="34" t="b">
        <v>1</v>
      </c>
      <c r="D1092" s="34">
        <v>1</v>
      </c>
      <c r="E1092" s="34" t="s">
        <v>3264</v>
      </c>
      <c r="F1092" s="33">
        <v>52</v>
      </c>
      <c r="G1092" s="33">
        <v>8</v>
      </c>
      <c r="H1092" s="34"/>
      <c r="I1092" s="34"/>
      <c r="J1092" s="34"/>
    </row>
    <row r="1093" spans="1:10">
      <c r="A1093" s="33">
        <v>38430</v>
      </c>
      <c r="B1093" s="33">
        <v>3843</v>
      </c>
      <c r="C1093" s="34" t="b">
        <v>1</v>
      </c>
      <c r="D1093" s="34">
        <v>1</v>
      </c>
      <c r="E1093" s="34" t="s">
        <v>3264</v>
      </c>
      <c r="F1093" s="33">
        <v>52</v>
      </c>
      <c r="G1093" s="33">
        <v>8</v>
      </c>
      <c r="H1093" s="34"/>
      <c r="I1093" s="34"/>
      <c r="J1093" s="34"/>
    </row>
    <row r="1094" spans="1:10">
      <c r="A1094" s="33">
        <v>38440</v>
      </c>
      <c r="B1094" s="33">
        <v>3844</v>
      </c>
      <c r="C1094" s="34" t="b">
        <v>1</v>
      </c>
      <c r="D1094" s="34">
        <v>1</v>
      </c>
      <c r="E1094" s="34" t="s">
        <v>3264</v>
      </c>
      <c r="F1094" s="33">
        <v>52</v>
      </c>
      <c r="G1094" s="33">
        <v>8</v>
      </c>
      <c r="H1094" s="34"/>
      <c r="I1094" s="34"/>
      <c r="J1094" s="34"/>
    </row>
    <row r="1095" spans="1:10">
      <c r="A1095" s="33">
        <v>38450</v>
      </c>
      <c r="B1095" s="33">
        <v>3845</v>
      </c>
      <c r="C1095" s="34" t="b">
        <v>1</v>
      </c>
      <c r="D1095" s="34">
        <v>1</v>
      </c>
      <c r="E1095" s="34" t="s">
        <v>3264</v>
      </c>
      <c r="F1095" s="33">
        <v>52</v>
      </c>
      <c r="G1095" s="33">
        <v>8</v>
      </c>
      <c r="H1095" s="34"/>
      <c r="I1095" s="34"/>
      <c r="J1095" s="34"/>
    </row>
    <row r="1096" spans="1:10">
      <c r="A1096" s="33">
        <v>38460</v>
      </c>
      <c r="B1096" s="33">
        <v>3846</v>
      </c>
      <c r="C1096" s="34" t="b">
        <v>1</v>
      </c>
      <c r="D1096" s="34">
        <v>1</v>
      </c>
      <c r="E1096" s="34" t="s">
        <v>3264</v>
      </c>
      <c r="F1096" s="33">
        <v>52</v>
      </c>
      <c r="G1096" s="33">
        <v>8</v>
      </c>
      <c r="H1096" s="34"/>
      <c r="I1096" s="34"/>
      <c r="J1096" s="34"/>
    </row>
    <row r="1097" spans="1:10">
      <c r="A1097" s="33">
        <v>38470</v>
      </c>
      <c r="B1097" s="33">
        <v>3847</v>
      </c>
      <c r="C1097" s="34" t="b">
        <v>1</v>
      </c>
      <c r="D1097" s="34">
        <v>1</v>
      </c>
      <c r="E1097" s="34" t="s">
        <v>3264</v>
      </c>
      <c r="F1097" s="33">
        <v>52</v>
      </c>
      <c r="G1097" s="33">
        <v>8</v>
      </c>
      <c r="H1097" s="34"/>
      <c r="I1097" s="34"/>
      <c r="J1097" s="34"/>
    </row>
    <row r="1098" spans="1:10">
      <c r="A1098" s="33">
        <v>38480</v>
      </c>
      <c r="B1098" s="33">
        <v>3848</v>
      </c>
      <c r="C1098" s="34" t="b">
        <v>1</v>
      </c>
      <c r="D1098" s="34">
        <v>1</v>
      </c>
      <c r="E1098" s="34" t="s">
        <v>3264</v>
      </c>
      <c r="F1098" s="33">
        <v>52</v>
      </c>
      <c r="G1098" s="33">
        <v>8</v>
      </c>
      <c r="H1098" s="34"/>
      <c r="I1098" s="34"/>
      <c r="J1098" s="34"/>
    </row>
    <row r="1099" spans="1:10">
      <c r="A1099" s="33">
        <v>38490</v>
      </c>
      <c r="B1099" s="33">
        <v>3849</v>
      </c>
      <c r="C1099" s="34" t="b">
        <v>1</v>
      </c>
      <c r="D1099" s="34">
        <v>1</v>
      </c>
      <c r="E1099" s="34" t="s">
        <v>3264</v>
      </c>
      <c r="F1099" s="33">
        <v>52</v>
      </c>
      <c r="G1099" s="33">
        <v>8</v>
      </c>
      <c r="H1099" s="34"/>
      <c r="I1099" s="34"/>
      <c r="J1099" s="34"/>
    </row>
    <row r="1100" spans="1:10">
      <c r="A1100" s="33">
        <v>38500</v>
      </c>
      <c r="B1100" s="33">
        <v>3850</v>
      </c>
      <c r="C1100" s="34" t="b">
        <v>1</v>
      </c>
      <c r="D1100" s="34">
        <v>1</v>
      </c>
      <c r="E1100" s="34" t="s">
        <v>3264</v>
      </c>
      <c r="F1100" s="33">
        <v>52</v>
      </c>
      <c r="G1100" s="33">
        <v>8</v>
      </c>
      <c r="H1100" s="34"/>
      <c r="I1100" s="34"/>
      <c r="J1100" s="34"/>
    </row>
    <row r="1101" spans="1:10">
      <c r="A1101" s="33">
        <v>38510</v>
      </c>
      <c r="B1101" s="33">
        <v>3851</v>
      </c>
      <c r="C1101" s="34" t="b">
        <v>1</v>
      </c>
      <c r="D1101" s="34">
        <v>1</v>
      </c>
      <c r="E1101" s="34" t="s">
        <v>3264</v>
      </c>
      <c r="F1101" s="33">
        <v>52</v>
      </c>
      <c r="G1101" s="33">
        <v>8</v>
      </c>
      <c r="H1101" s="34"/>
      <c r="I1101" s="34"/>
      <c r="J1101" s="34"/>
    </row>
    <row r="1102" spans="1:10">
      <c r="A1102" s="33">
        <v>38520</v>
      </c>
      <c r="B1102" s="33">
        <v>3852</v>
      </c>
      <c r="C1102" s="34" t="b">
        <v>1</v>
      </c>
      <c r="D1102" s="34">
        <v>1</v>
      </c>
      <c r="E1102" s="34" t="s">
        <v>3264</v>
      </c>
      <c r="F1102" s="33">
        <v>52</v>
      </c>
      <c r="G1102" s="33">
        <v>8</v>
      </c>
      <c r="H1102" s="34"/>
      <c r="I1102" s="34"/>
      <c r="J1102" s="34"/>
    </row>
    <row r="1103" spans="1:10">
      <c r="A1103" s="33">
        <v>38530</v>
      </c>
      <c r="B1103" s="33">
        <v>3853</v>
      </c>
      <c r="C1103" s="34" t="b">
        <v>1</v>
      </c>
      <c r="D1103" s="34">
        <v>1</v>
      </c>
      <c r="E1103" s="34" t="s">
        <v>3264</v>
      </c>
      <c r="F1103" s="33">
        <v>52</v>
      </c>
      <c r="G1103" s="33">
        <v>8</v>
      </c>
      <c r="H1103" s="34"/>
      <c r="I1103" s="34"/>
      <c r="J1103" s="34"/>
    </row>
    <row r="1104" spans="1:10">
      <c r="A1104" s="33">
        <v>38540</v>
      </c>
      <c r="B1104" s="33">
        <v>3854</v>
      </c>
      <c r="C1104" s="34" t="b">
        <v>1</v>
      </c>
      <c r="D1104" s="34">
        <v>1</v>
      </c>
      <c r="E1104" s="34" t="s">
        <v>3264</v>
      </c>
      <c r="F1104" s="33">
        <v>52</v>
      </c>
      <c r="G1104" s="33">
        <v>8</v>
      </c>
      <c r="H1104" s="34"/>
      <c r="I1104" s="34"/>
      <c r="J1104" s="34"/>
    </row>
    <row r="1105" spans="1:10">
      <c r="A1105" s="33">
        <v>38550</v>
      </c>
      <c r="B1105" s="33">
        <v>3855</v>
      </c>
      <c r="C1105" s="34" t="b">
        <v>1</v>
      </c>
      <c r="D1105" s="34">
        <v>1</v>
      </c>
      <c r="E1105" s="34" t="s">
        <v>3264</v>
      </c>
      <c r="F1105" s="33">
        <v>52</v>
      </c>
      <c r="G1105" s="33">
        <v>8</v>
      </c>
      <c r="H1105" s="34"/>
      <c r="I1105" s="34"/>
      <c r="J1105" s="34"/>
    </row>
    <row r="1106" spans="1:10">
      <c r="A1106" s="33">
        <v>38560</v>
      </c>
      <c r="B1106" s="33">
        <v>3856</v>
      </c>
      <c r="C1106" s="34" t="b">
        <v>1</v>
      </c>
      <c r="D1106" s="34">
        <v>1</v>
      </c>
      <c r="E1106" s="34" t="s">
        <v>3264</v>
      </c>
      <c r="F1106" s="33">
        <v>52</v>
      </c>
      <c r="G1106" s="33">
        <v>8</v>
      </c>
      <c r="H1106" s="34"/>
      <c r="I1106" s="34"/>
      <c r="J1106" s="34"/>
    </row>
    <row r="1107" spans="1:10">
      <c r="A1107" s="33">
        <v>38570</v>
      </c>
      <c r="B1107" s="33">
        <v>3857</v>
      </c>
      <c r="C1107" s="34" t="b">
        <v>1</v>
      </c>
      <c r="D1107" s="34">
        <v>1</v>
      </c>
      <c r="E1107" s="34" t="s">
        <v>3264</v>
      </c>
      <c r="F1107" s="33">
        <v>52</v>
      </c>
      <c r="G1107" s="33">
        <v>8</v>
      </c>
      <c r="H1107" s="34"/>
      <c r="I1107" s="34"/>
      <c r="J1107" s="34"/>
    </row>
    <row r="1108" spans="1:10">
      <c r="A1108" s="33">
        <v>38580</v>
      </c>
      <c r="B1108" s="33">
        <v>3858</v>
      </c>
      <c r="C1108" s="34" t="b">
        <v>1</v>
      </c>
      <c r="D1108" s="34">
        <v>1</v>
      </c>
      <c r="E1108" s="34" t="s">
        <v>3264</v>
      </c>
      <c r="F1108" s="33">
        <v>52</v>
      </c>
      <c r="G1108" s="33">
        <v>8</v>
      </c>
      <c r="H1108" s="34"/>
      <c r="I1108" s="34"/>
      <c r="J1108" s="34"/>
    </row>
    <row r="1109" spans="1:10">
      <c r="A1109" s="33">
        <v>38590</v>
      </c>
      <c r="B1109" s="33">
        <v>3859</v>
      </c>
      <c r="C1109" s="34" t="b">
        <v>1</v>
      </c>
      <c r="D1109" s="34">
        <v>1</v>
      </c>
      <c r="E1109" s="34" t="s">
        <v>3264</v>
      </c>
      <c r="F1109" s="33">
        <v>52</v>
      </c>
      <c r="G1109" s="33">
        <v>8</v>
      </c>
      <c r="H1109" s="34"/>
      <c r="I1109" s="34"/>
      <c r="J1109" s="34"/>
    </row>
    <row r="1110" spans="1:10">
      <c r="A1110" s="33">
        <v>38600</v>
      </c>
      <c r="B1110" s="33">
        <v>3860</v>
      </c>
      <c r="C1110" s="34" t="b">
        <v>1</v>
      </c>
      <c r="D1110" s="34">
        <v>1</v>
      </c>
      <c r="E1110" s="34" t="s">
        <v>3264</v>
      </c>
      <c r="F1110" s="33">
        <v>52</v>
      </c>
      <c r="G1110" s="33">
        <v>8</v>
      </c>
      <c r="H1110" s="34"/>
      <c r="I1110" s="34"/>
      <c r="J1110" s="34"/>
    </row>
    <row r="1111" spans="1:10">
      <c r="A1111" s="33">
        <v>38610</v>
      </c>
      <c r="B1111" s="33">
        <v>3861</v>
      </c>
      <c r="C1111" s="34" t="b">
        <v>1</v>
      </c>
      <c r="D1111" s="34">
        <v>1</v>
      </c>
      <c r="E1111" s="34" t="s">
        <v>3264</v>
      </c>
      <c r="F1111" s="33">
        <v>52</v>
      </c>
      <c r="G1111" s="33">
        <v>8</v>
      </c>
      <c r="H1111" s="34"/>
      <c r="I1111" s="34"/>
      <c r="J1111" s="34"/>
    </row>
    <row r="1112" spans="1:10">
      <c r="A1112" s="33">
        <v>38620</v>
      </c>
      <c r="B1112" s="33">
        <v>3862</v>
      </c>
      <c r="C1112" s="34" t="b">
        <v>1</v>
      </c>
      <c r="D1112" s="34">
        <v>1</v>
      </c>
      <c r="E1112" s="34" t="s">
        <v>3264</v>
      </c>
      <c r="F1112" s="33">
        <v>52</v>
      </c>
      <c r="G1112" s="33">
        <v>8</v>
      </c>
      <c r="H1112" s="34"/>
      <c r="I1112" s="34"/>
      <c r="J1112" s="34"/>
    </row>
    <row r="1113" spans="1:10">
      <c r="A1113" s="33">
        <v>38630</v>
      </c>
      <c r="B1113" s="33">
        <v>3863</v>
      </c>
      <c r="C1113" s="34" t="b">
        <v>1</v>
      </c>
      <c r="D1113" s="34">
        <v>1</v>
      </c>
      <c r="E1113" s="34" t="s">
        <v>3264</v>
      </c>
      <c r="F1113" s="33">
        <v>52</v>
      </c>
      <c r="G1113" s="33">
        <v>8</v>
      </c>
      <c r="H1113" s="34"/>
      <c r="I1113" s="34"/>
      <c r="J1113" s="34"/>
    </row>
    <row r="1114" spans="1:10">
      <c r="A1114" s="33">
        <v>38640</v>
      </c>
      <c r="B1114" s="33">
        <v>3864</v>
      </c>
      <c r="C1114" s="34" t="b">
        <v>1</v>
      </c>
      <c r="D1114" s="34">
        <v>1</v>
      </c>
      <c r="E1114" s="34" t="s">
        <v>3264</v>
      </c>
      <c r="F1114" s="33">
        <v>52</v>
      </c>
      <c r="G1114" s="33">
        <v>8</v>
      </c>
      <c r="H1114" s="34"/>
      <c r="I1114" s="34"/>
      <c r="J1114" s="34"/>
    </row>
    <row r="1115" spans="1:10">
      <c r="A1115" s="33">
        <v>38650</v>
      </c>
      <c r="B1115" s="33">
        <v>3865</v>
      </c>
      <c r="C1115" s="34" t="b">
        <v>1</v>
      </c>
      <c r="D1115" s="34">
        <v>1</v>
      </c>
      <c r="E1115" s="34" t="s">
        <v>3264</v>
      </c>
      <c r="F1115" s="33">
        <v>52</v>
      </c>
      <c r="G1115" s="33">
        <v>8</v>
      </c>
      <c r="H1115" s="34"/>
      <c r="I1115" s="34"/>
      <c r="J1115" s="34"/>
    </row>
    <row r="1116" spans="1:10">
      <c r="A1116" s="33">
        <v>38660</v>
      </c>
      <c r="B1116" s="33">
        <v>3866</v>
      </c>
      <c r="C1116" s="34" t="b">
        <v>1</v>
      </c>
      <c r="D1116" s="34">
        <v>1</v>
      </c>
      <c r="E1116" s="34" t="s">
        <v>3264</v>
      </c>
      <c r="F1116" s="33">
        <v>52</v>
      </c>
      <c r="G1116" s="33">
        <v>8</v>
      </c>
      <c r="H1116" s="34"/>
      <c r="I1116" s="34"/>
      <c r="J1116" s="34"/>
    </row>
    <row r="1117" spans="1:10">
      <c r="A1117" s="33">
        <v>38670</v>
      </c>
      <c r="B1117" s="33">
        <v>3867</v>
      </c>
      <c r="C1117" s="34" t="b">
        <v>1</v>
      </c>
      <c r="D1117" s="34">
        <v>1</v>
      </c>
      <c r="E1117" s="34" t="s">
        <v>3264</v>
      </c>
      <c r="F1117" s="33">
        <v>52</v>
      </c>
      <c r="G1117" s="33">
        <v>8</v>
      </c>
      <c r="H1117" s="34"/>
      <c r="I1117" s="34"/>
      <c r="J1117" s="34"/>
    </row>
    <row r="1118" spans="1:10">
      <c r="A1118" s="33">
        <v>38680</v>
      </c>
      <c r="B1118" s="33">
        <v>3868</v>
      </c>
      <c r="C1118" s="34" t="b">
        <v>1</v>
      </c>
      <c r="D1118" s="34">
        <v>1</v>
      </c>
      <c r="E1118" s="34" t="s">
        <v>3264</v>
      </c>
      <c r="F1118" s="33">
        <v>52</v>
      </c>
      <c r="G1118" s="33">
        <v>8</v>
      </c>
      <c r="H1118" s="34"/>
      <c r="I1118" s="34"/>
      <c r="J1118" s="34"/>
    </row>
    <row r="1119" spans="1:10">
      <c r="A1119" s="33">
        <v>38690</v>
      </c>
      <c r="B1119" s="33">
        <v>3869</v>
      </c>
      <c r="C1119" s="34" t="b">
        <v>1</v>
      </c>
      <c r="D1119" s="34">
        <v>1</v>
      </c>
      <c r="E1119" s="34" t="s">
        <v>3264</v>
      </c>
      <c r="F1119" s="33">
        <v>52</v>
      </c>
      <c r="G1119" s="33">
        <v>8</v>
      </c>
      <c r="H1119" s="34"/>
      <c r="I1119" s="34"/>
      <c r="J1119" s="34"/>
    </row>
    <row r="1120" spans="1:10">
      <c r="A1120" s="33">
        <v>38700</v>
      </c>
      <c r="B1120" s="33">
        <v>3870</v>
      </c>
      <c r="C1120" s="34" t="b">
        <v>1</v>
      </c>
      <c r="D1120" s="34">
        <v>1</v>
      </c>
      <c r="E1120" s="34" t="s">
        <v>3264</v>
      </c>
      <c r="F1120" s="33">
        <v>52</v>
      </c>
      <c r="G1120" s="33">
        <v>8</v>
      </c>
      <c r="H1120" s="34"/>
      <c r="I1120" s="34"/>
      <c r="J1120" s="34"/>
    </row>
    <row r="1121" spans="1:10">
      <c r="A1121" s="33">
        <v>38710</v>
      </c>
      <c r="B1121" s="33">
        <v>3871</v>
      </c>
      <c r="C1121" s="34" t="b">
        <v>1</v>
      </c>
      <c r="D1121" s="34">
        <v>1</v>
      </c>
      <c r="E1121" s="34" t="s">
        <v>3264</v>
      </c>
      <c r="F1121" s="33">
        <v>52</v>
      </c>
      <c r="G1121" s="33">
        <v>8</v>
      </c>
      <c r="H1121" s="34"/>
      <c r="I1121" s="34"/>
      <c r="J1121" s="34"/>
    </row>
    <row r="1122" spans="1:10">
      <c r="A1122" s="33">
        <v>38720</v>
      </c>
      <c r="B1122" s="33">
        <v>3872</v>
      </c>
      <c r="C1122" s="34" t="b">
        <v>1</v>
      </c>
      <c r="D1122" s="34">
        <v>1</v>
      </c>
      <c r="E1122" s="34" t="s">
        <v>3264</v>
      </c>
      <c r="F1122" s="33">
        <v>52</v>
      </c>
      <c r="G1122" s="33">
        <v>8</v>
      </c>
      <c r="H1122" s="34"/>
      <c r="I1122" s="34"/>
      <c r="J1122" s="34"/>
    </row>
    <row r="1123" spans="1:10">
      <c r="A1123" s="33">
        <v>38730</v>
      </c>
      <c r="B1123" s="33">
        <v>3873</v>
      </c>
      <c r="C1123" s="34" t="b">
        <v>1</v>
      </c>
      <c r="D1123" s="34">
        <v>1</v>
      </c>
      <c r="E1123" s="34" t="s">
        <v>3264</v>
      </c>
      <c r="F1123" s="33">
        <v>52</v>
      </c>
      <c r="G1123" s="33">
        <v>8</v>
      </c>
      <c r="H1123" s="34"/>
      <c r="I1123" s="34"/>
      <c r="J1123" s="34"/>
    </row>
    <row r="1124" spans="1:10">
      <c r="A1124" s="33">
        <v>38740</v>
      </c>
      <c r="B1124" s="33">
        <v>3874</v>
      </c>
      <c r="C1124" s="34" t="b">
        <v>1</v>
      </c>
      <c r="D1124" s="34">
        <v>1</v>
      </c>
      <c r="E1124" s="34" t="s">
        <v>3264</v>
      </c>
      <c r="F1124" s="33">
        <v>52</v>
      </c>
      <c r="G1124" s="33">
        <v>8</v>
      </c>
      <c r="H1124" s="34"/>
      <c r="I1124" s="34"/>
      <c r="J1124" s="34"/>
    </row>
    <row r="1125" spans="1:10">
      <c r="A1125" s="33">
        <v>38750</v>
      </c>
      <c r="B1125" s="33">
        <v>3875</v>
      </c>
      <c r="C1125" s="34" t="b">
        <v>1</v>
      </c>
      <c r="D1125" s="34">
        <v>1</v>
      </c>
      <c r="E1125" s="34" t="s">
        <v>3264</v>
      </c>
      <c r="F1125" s="33">
        <v>52</v>
      </c>
      <c r="G1125" s="33">
        <v>8</v>
      </c>
      <c r="H1125" s="34"/>
      <c r="I1125" s="34"/>
      <c r="J1125" s="34"/>
    </row>
    <row r="1126" spans="1:10">
      <c r="A1126" s="33">
        <v>38760</v>
      </c>
      <c r="B1126" s="33">
        <v>3876</v>
      </c>
      <c r="C1126" s="34" t="b">
        <v>1</v>
      </c>
      <c r="D1126" s="34">
        <v>1</v>
      </c>
      <c r="E1126" s="34" t="s">
        <v>3264</v>
      </c>
      <c r="F1126" s="33">
        <v>52</v>
      </c>
      <c r="G1126" s="33">
        <v>8</v>
      </c>
      <c r="H1126" s="34"/>
      <c r="I1126" s="34"/>
      <c r="J1126" s="34"/>
    </row>
    <row r="1127" spans="1:10">
      <c r="A1127" s="33">
        <v>38770</v>
      </c>
      <c r="B1127" s="33">
        <v>3877</v>
      </c>
      <c r="C1127" s="34" t="b">
        <v>1</v>
      </c>
      <c r="D1127" s="34">
        <v>1</v>
      </c>
      <c r="E1127" s="34" t="s">
        <v>3264</v>
      </c>
      <c r="F1127" s="33">
        <v>52</v>
      </c>
      <c r="G1127" s="33">
        <v>8</v>
      </c>
      <c r="H1127" s="34"/>
      <c r="I1127" s="34"/>
      <c r="J1127" s="34"/>
    </row>
    <row r="1128" spans="1:10">
      <c r="A1128" s="33">
        <v>38780</v>
      </c>
      <c r="B1128" s="33">
        <v>3878</v>
      </c>
      <c r="C1128" s="34" t="b">
        <v>1</v>
      </c>
      <c r="D1128" s="34">
        <v>1</v>
      </c>
      <c r="E1128" s="34" t="s">
        <v>3264</v>
      </c>
      <c r="F1128" s="33">
        <v>52</v>
      </c>
      <c r="G1128" s="33">
        <v>8</v>
      </c>
      <c r="H1128" s="34"/>
      <c r="I1128" s="34"/>
      <c r="J1128" s="34"/>
    </row>
    <row r="1129" spans="1:10">
      <c r="A1129" s="33">
        <v>38790</v>
      </c>
      <c r="B1129" s="33">
        <v>3879</v>
      </c>
      <c r="C1129" s="34" t="b">
        <v>1</v>
      </c>
      <c r="D1129" s="34">
        <v>1</v>
      </c>
      <c r="E1129" s="34" t="s">
        <v>3264</v>
      </c>
      <c r="F1129" s="33">
        <v>52</v>
      </c>
      <c r="G1129" s="33">
        <v>8</v>
      </c>
      <c r="H1129" s="34"/>
      <c r="I1129" s="34"/>
      <c r="J1129" s="34"/>
    </row>
    <row r="1130" spans="1:10">
      <c r="A1130" s="33">
        <v>38800</v>
      </c>
      <c r="B1130" s="33">
        <v>3880</v>
      </c>
      <c r="C1130" s="34" t="b">
        <v>1</v>
      </c>
      <c r="D1130" s="34">
        <v>1</v>
      </c>
      <c r="E1130" s="34" t="s">
        <v>3264</v>
      </c>
      <c r="F1130" s="33">
        <v>52</v>
      </c>
      <c r="G1130" s="33">
        <v>8</v>
      </c>
      <c r="H1130" s="34"/>
      <c r="I1130" s="34"/>
      <c r="J1130" s="34"/>
    </row>
    <row r="1131" spans="1:10">
      <c r="A1131" s="33">
        <v>38810</v>
      </c>
      <c r="B1131" s="33">
        <v>3881</v>
      </c>
      <c r="C1131" s="34" t="b">
        <v>1</v>
      </c>
      <c r="D1131" s="34">
        <v>1</v>
      </c>
      <c r="E1131" s="34" t="s">
        <v>3264</v>
      </c>
      <c r="F1131" s="33">
        <v>52</v>
      </c>
      <c r="G1131" s="33">
        <v>8</v>
      </c>
      <c r="H1131" s="34"/>
      <c r="I1131" s="34"/>
      <c r="J1131" s="34"/>
    </row>
    <row r="1132" spans="1:10">
      <c r="A1132" s="33">
        <v>38820</v>
      </c>
      <c r="B1132" s="33">
        <v>3882</v>
      </c>
      <c r="C1132" s="34" t="b">
        <v>1</v>
      </c>
      <c r="D1132" s="34">
        <v>1</v>
      </c>
      <c r="E1132" s="34" t="s">
        <v>3264</v>
      </c>
      <c r="F1132" s="33">
        <v>52</v>
      </c>
      <c r="G1132" s="33">
        <v>8</v>
      </c>
      <c r="H1132" s="34"/>
      <c r="I1132" s="34"/>
      <c r="J1132" s="34"/>
    </row>
    <row r="1133" spans="1:10">
      <c r="A1133" s="33">
        <v>38830</v>
      </c>
      <c r="B1133" s="33">
        <v>3883</v>
      </c>
      <c r="C1133" s="34" t="b">
        <v>1</v>
      </c>
      <c r="D1133" s="34">
        <v>1</v>
      </c>
      <c r="E1133" s="34" t="s">
        <v>3264</v>
      </c>
      <c r="F1133" s="33">
        <v>52</v>
      </c>
      <c r="G1133" s="33">
        <v>8</v>
      </c>
      <c r="H1133" s="34"/>
      <c r="I1133" s="34"/>
      <c r="J1133" s="34"/>
    </row>
    <row r="1134" spans="1:10">
      <c r="A1134" s="33">
        <v>38840</v>
      </c>
      <c r="B1134" s="33">
        <v>3884</v>
      </c>
      <c r="C1134" s="34" t="b">
        <v>1</v>
      </c>
      <c r="D1134" s="34">
        <v>1</v>
      </c>
      <c r="E1134" s="34" t="s">
        <v>3264</v>
      </c>
      <c r="F1134" s="33">
        <v>52</v>
      </c>
      <c r="G1134" s="33">
        <v>8</v>
      </c>
      <c r="H1134" s="34"/>
      <c r="I1134" s="34"/>
      <c r="J1134" s="34"/>
    </row>
    <row r="1135" spans="1:10">
      <c r="A1135" s="33">
        <v>38850</v>
      </c>
      <c r="B1135" s="33">
        <v>3885</v>
      </c>
      <c r="C1135" s="34" t="b">
        <v>1</v>
      </c>
      <c r="D1135" s="34">
        <v>1</v>
      </c>
      <c r="E1135" s="34" t="s">
        <v>3264</v>
      </c>
      <c r="F1135" s="33">
        <v>52</v>
      </c>
      <c r="G1135" s="33">
        <v>8</v>
      </c>
      <c r="H1135" s="34"/>
      <c r="I1135" s="34"/>
      <c r="J1135" s="34"/>
    </row>
    <row r="1136" spans="1:10">
      <c r="A1136" s="33">
        <v>38860</v>
      </c>
      <c r="B1136" s="33">
        <v>3886</v>
      </c>
      <c r="C1136" s="34" t="b">
        <v>1</v>
      </c>
      <c r="D1136" s="34">
        <v>1</v>
      </c>
      <c r="E1136" s="34" t="s">
        <v>3264</v>
      </c>
      <c r="F1136" s="33">
        <v>52</v>
      </c>
      <c r="G1136" s="33">
        <v>8</v>
      </c>
      <c r="H1136" s="34"/>
      <c r="I1136" s="34"/>
      <c r="J1136" s="34"/>
    </row>
    <row r="1137" spans="1:10">
      <c r="A1137" s="33">
        <v>38870</v>
      </c>
      <c r="B1137" s="33">
        <v>3887</v>
      </c>
      <c r="C1137" s="34" t="b">
        <v>1</v>
      </c>
      <c r="D1137" s="34">
        <v>1</v>
      </c>
      <c r="E1137" s="34" t="s">
        <v>3264</v>
      </c>
      <c r="F1137" s="33">
        <v>52</v>
      </c>
      <c r="G1137" s="33">
        <v>8</v>
      </c>
      <c r="H1137" s="34"/>
      <c r="I1137" s="34"/>
      <c r="J1137" s="34"/>
    </row>
    <row r="1138" spans="1:10">
      <c r="A1138" s="33">
        <v>38880</v>
      </c>
      <c r="B1138" s="33">
        <v>3888</v>
      </c>
      <c r="C1138" s="34" t="b">
        <v>1</v>
      </c>
      <c r="D1138" s="34">
        <v>1</v>
      </c>
      <c r="E1138" s="34" t="s">
        <v>3264</v>
      </c>
      <c r="F1138" s="33">
        <v>52</v>
      </c>
      <c r="G1138" s="33">
        <v>8</v>
      </c>
      <c r="H1138" s="34"/>
      <c r="I1138" s="34"/>
      <c r="J1138" s="34"/>
    </row>
    <row r="1139" spans="1:10">
      <c r="A1139" s="33">
        <v>38890</v>
      </c>
      <c r="B1139" s="33">
        <v>3889</v>
      </c>
      <c r="C1139" s="34" t="b">
        <v>1</v>
      </c>
      <c r="D1139" s="34">
        <v>1</v>
      </c>
      <c r="E1139" s="34" t="s">
        <v>3264</v>
      </c>
      <c r="F1139" s="33">
        <v>52</v>
      </c>
      <c r="G1139" s="33">
        <v>8</v>
      </c>
      <c r="H1139" s="34"/>
      <c r="I1139" s="34"/>
      <c r="J1139" s="34"/>
    </row>
    <row r="1140" spans="1:10">
      <c r="A1140" s="33">
        <v>38900</v>
      </c>
      <c r="B1140" s="33">
        <v>3890</v>
      </c>
      <c r="C1140" s="34" t="b">
        <v>1</v>
      </c>
      <c r="D1140" s="34">
        <v>1</v>
      </c>
      <c r="E1140" s="34" t="s">
        <v>3264</v>
      </c>
      <c r="F1140" s="33">
        <v>52</v>
      </c>
      <c r="G1140" s="33">
        <v>8</v>
      </c>
      <c r="H1140" s="34"/>
      <c r="I1140" s="34"/>
      <c r="J1140" s="34"/>
    </row>
    <row r="1141" spans="1:10">
      <c r="A1141" s="33">
        <v>38910</v>
      </c>
      <c r="B1141" s="33">
        <v>3891</v>
      </c>
      <c r="C1141" s="34" t="b">
        <v>1</v>
      </c>
      <c r="D1141" s="34">
        <v>1</v>
      </c>
      <c r="E1141" s="34" t="s">
        <v>3264</v>
      </c>
      <c r="F1141" s="33">
        <v>52</v>
      </c>
      <c r="G1141" s="33">
        <v>8</v>
      </c>
      <c r="H1141" s="34"/>
      <c r="I1141" s="34"/>
      <c r="J1141" s="34"/>
    </row>
    <row r="1142" spans="1:10">
      <c r="A1142" s="33">
        <v>38920</v>
      </c>
      <c r="B1142" s="33">
        <v>3892</v>
      </c>
      <c r="C1142" s="34" t="b">
        <v>1</v>
      </c>
      <c r="D1142" s="34">
        <v>1</v>
      </c>
      <c r="E1142" s="34" t="s">
        <v>3264</v>
      </c>
      <c r="F1142" s="33">
        <v>52</v>
      </c>
      <c r="G1142" s="33">
        <v>8</v>
      </c>
      <c r="H1142" s="34"/>
      <c r="I1142" s="34"/>
      <c r="J1142" s="34"/>
    </row>
    <row r="1143" spans="1:10">
      <c r="A1143" s="33">
        <v>38930</v>
      </c>
      <c r="B1143" s="33">
        <v>3893</v>
      </c>
      <c r="C1143" s="34" t="b">
        <v>1</v>
      </c>
      <c r="D1143" s="34">
        <v>1</v>
      </c>
      <c r="E1143" s="34" t="s">
        <v>3264</v>
      </c>
      <c r="F1143" s="33">
        <v>52</v>
      </c>
      <c r="G1143" s="33">
        <v>8</v>
      </c>
      <c r="H1143" s="34"/>
      <c r="I1143" s="34"/>
      <c r="J1143" s="34"/>
    </row>
    <row r="1144" spans="1:10">
      <c r="A1144" s="33">
        <v>38940</v>
      </c>
      <c r="B1144" s="33">
        <v>3894</v>
      </c>
      <c r="C1144" s="34" t="b">
        <v>1</v>
      </c>
      <c r="D1144" s="34">
        <v>1</v>
      </c>
      <c r="E1144" s="34" t="s">
        <v>3264</v>
      </c>
      <c r="F1144" s="33">
        <v>52</v>
      </c>
      <c r="G1144" s="33">
        <v>8</v>
      </c>
      <c r="H1144" s="34"/>
      <c r="I1144" s="34"/>
      <c r="J1144" s="34"/>
    </row>
    <row r="1145" spans="1:10">
      <c r="A1145" s="33">
        <v>38950</v>
      </c>
      <c r="B1145" s="33">
        <v>3895</v>
      </c>
      <c r="C1145" s="34" t="b">
        <v>1</v>
      </c>
      <c r="D1145" s="34">
        <v>1</v>
      </c>
      <c r="E1145" s="34" t="s">
        <v>3264</v>
      </c>
      <c r="F1145" s="33">
        <v>52</v>
      </c>
      <c r="G1145" s="33">
        <v>8</v>
      </c>
      <c r="H1145" s="34"/>
      <c r="I1145" s="34"/>
      <c r="J1145" s="34"/>
    </row>
    <row r="1146" spans="1:10">
      <c r="A1146" s="33">
        <v>38960</v>
      </c>
      <c r="B1146" s="33">
        <v>3896</v>
      </c>
      <c r="C1146" s="34" t="b">
        <v>1</v>
      </c>
      <c r="D1146" s="34">
        <v>1</v>
      </c>
      <c r="E1146" s="34" t="s">
        <v>3264</v>
      </c>
      <c r="F1146" s="33">
        <v>52</v>
      </c>
      <c r="G1146" s="33">
        <v>8</v>
      </c>
      <c r="H1146" s="34"/>
      <c r="I1146" s="34"/>
      <c r="J1146" s="34"/>
    </row>
    <row r="1147" spans="1:10">
      <c r="A1147" s="33">
        <v>38970</v>
      </c>
      <c r="B1147" s="33">
        <v>3897</v>
      </c>
      <c r="C1147" s="34" t="b">
        <v>1</v>
      </c>
      <c r="D1147" s="34">
        <v>1</v>
      </c>
      <c r="E1147" s="34" t="s">
        <v>3264</v>
      </c>
      <c r="F1147" s="33">
        <v>52</v>
      </c>
      <c r="G1147" s="33">
        <v>8</v>
      </c>
      <c r="H1147" s="34"/>
      <c r="I1147" s="34"/>
      <c r="J1147" s="34"/>
    </row>
    <row r="1148" spans="1:10">
      <c r="A1148" s="33">
        <v>38980</v>
      </c>
      <c r="B1148" s="33">
        <v>3898</v>
      </c>
      <c r="C1148" s="34" t="b">
        <v>1</v>
      </c>
      <c r="D1148" s="34">
        <v>1</v>
      </c>
      <c r="E1148" s="34" t="s">
        <v>3264</v>
      </c>
      <c r="F1148" s="33">
        <v>52</v>
      </c>
      <c r="G1148" s="33">
        <v>8</v>
      </c>
      <c r="H1148" s="34"/>
      <c r="I1148" s="34"/>
      <c r="J1148" s="34"/>
    </row>
    <row r="1149" spans="1:10">
      <c r="A1149" s="33">
        <v>38990</v>
      </c>
      <c r="B1149" s="33">
        <v>3899</v>
      </c>
      <c r="C1149" s="34" t="b">
        <v>1</v>
      </c>
      <c r="D1149" s="34">
        <v>1</v>
      </c>
      <c r="E1149" s="34" t="s">
        <v>3264</v>
      </c>
      <c r="F1149" s="33">
        <v>52</v>
      </c>
      <c r="G1149" s="33">
        <v>8</v>
      </c>
      <c r="H1149" s="34"/>
      <c r="I1149" s="34"/>
      <c r="J1149" s="34"/>
    </row>
    <row r="1150" spans="1:10">
      <c r="A1150" s="33">
        <v>39000</v>
      </c>
      <c r="B1150" s="33">
        <v>3900</v>
      </c>
      <c r="C1150" s="34" t="b">
        <v>1</v>
      </c>
      <c r="D1150" s="34">
        <v>1</v>
      </c>
      <c r="E1150" s="34" t="s">
        <v>3264</v>
      </c>
      <c r="F1150" s="33">
        <v>52</v>
      </c>
      <c r="G1150" s="33">
        <v>8</v>
      </c>
      <c r="H1150" s="34"/>
      <c r="I1150" s="34"/>
      <c r="J1150" s="34"/>
    </row>
    <row r="1151" spans="1:10">
      <c r="A1151" s="33">
        <v>39010</v>
      </c>
      <c r="B1151" s="33">
        <v>3901</v>
      </c>
      <c r="C1151" s="34" t="b">
        <v>1</v>
      </c>
      <c r="D1151" s="34">
        <v>1</v>
      </c>
      <c r="E1151" s="34" t="s">
        <v>3264</v>
      </c>
      <c r="F1151" s="33">
        <v>52</v>
      </c>
      <c r="G1151" s="33">
        <v>8</v>
      </c>
      <c r="H1151" s="34"/>
      <c r="I1151" s="34"/>
      <c r="J1151" s="34"/>
    </row>
    <row r="1152" spans="1:10">
      <c r="A1152" s="33">
        <v>39020</v>
      </c>
      <c r="B1152" s="33">
        <v>3902</v>
      </c>
      <c r="C1152" s="34" t="b">
        <v>1</v>
      </c>
      <c r="D1152" s="34">
        <v>1</v>
      </c>
      <c r="E1152" s="34" t="s">
        <v>3264</v>
      </c>
      <c r="F1152" s="33">
        <v>52</v>
      </c>
      <c r="G1152" s="33">
        <v>8</v>
      </c>
      <c r="H1152" s="34"/>
      <c r="I1152" s="34"/>
      <c r="J1152" s="34"/>
    </row>
    <row r="1153" spans="1:10">
      <c r="A1153" s="33">
        <v>39030</v>
      </c>
      <c r="B1153" s="33">
        <v>3903</v>
      </c>
      <c r="C1153" s="34" t="b">
        <v>1</v>
      </c>
      <c r="D1153" s="34">
        <v>1</v>
      </c>
      <c r="E1153" s="34" t="s">
        <v>3264</v>
      </c>
      <c r="F1153" s="33">
        <v>52</v>
      </c>
      <c r="G1153" s="33">
        <v>8</v>
      </c>
      <c r="H1153" s="34"/>
      <c r="I1153" s="34"/>
      <c r="J1153" s="34"/>
    </row>
    <row r="1154" spans="1:10">
      <c r="A1154" s="33">
        <v>39040</v>
      </c>
      <c r="B1154" s="33">
        <v>3904</v>
      </c>
      <c r="C1154" s="34" t="b">
        <v>1</v>
      </c>
      <c r="D1154" s="34">
        <v>1</v>
      </c>
      <c r="E1154" s="34" t="s">
        <v>3264</v>
      </c>
      <c r="F1154" s="33">
        <v>52</v>
      </c>
      <c r="G1154" s="33">
        <v>8</v>
      </c>
      <c r="H1154" s="34"/>
      <c r="I1154" s="34"/>
      <c r="J1154" s="34"/>
    </row>
    <row r="1155" spans="1:10">
      <c r="A1155" s="33">
        <v>39050</v>
      </c>
      <c r="B1155" s="33">
        <v>3905</v>
      </c>
      <c r="C1155" s="34" t="b">
        <v>1</v>
      </c>
      <c r="D1155" s="34">
        <v>1</v>
      </c>
      <c r="E1155" s="34" t="s">
        <v>3264</v>
      </c>
      <c r="F1155" s="33">
        <v>52</v>
      </c>
      <c r="G1155" s="33">
        <v>8</v>
      </c>
      <c r="H1155" s="34"/>
      <c r="I1155" s="34"/>
      <c r="J1155" s="34"/>
    </row>
    <row r="1156" spans="1:10">
      <c r="A1156" s="33">
        <v>39060</v>
      </c>
      <c r="B1156" s="33">
        <v>3906</v>
      </c>
      <c r="C1156" s="34" t="b">
        <v>1</v>
      </c>
      <c r="D1156" s="34">
        <v>1</v>
      </c>
      <c r="E1156" s="34" t="s">
        <v>3264</v>
      </c>
      <c r="F1156" s="33">
        <v>52</v>
      </c>
      <c r="G1156" s="33">
        <v>8</v>
      </c>
      <c r="H1156" s="34"/>
      <c r="I1156" s="34"/>
      <c r="J1156" s="34"/>
    </row>
    <row r="1157" spans="1:10">
      <c r="A1157" s="33">
        <v>39070</v>
      </c>
      <c r="B1157" s="33">
        <v>3907</v>
      </c>
      <c r="C1157" s="34" t="b">
        <v>1</v>
      </c>
      <c r="D1157" s="34">
        <v>1</v>
      </c>
      <c r="E1157" s="34" t="s">
        <v>3264</v>
      </c>
      <c r="F1157" s="33">
        <v>52</v>
      </c>
      <c r="G1157" s="33">
        <v>8</v>
      </c>
      <c r="H1157" s="34"/>
      <c r="I1157" s="34"/>
      <c r="J1157" s="34"/>
    </row>
    <row r="1158" spans="1:10">
      <c r="A1158" s="33">
        <v>39080</v>
      </c>
      <c r="B1158" s="33">
        <v>3908</v>
      </c>
      <c r="C1158" s="34" t="b">
        <v>1</v>
      </c>
      <c r="D1158" s="34">
        <v>1</v>
      </c>
      <c r="E1158" s="34" t="s">
        <v>3264</v>
      </c>
      <c r="F1158" s="33">
        <v>52</v>
      </c>
      <c r="G1158" s="33">
        <v>8</v>
      </c>
      <c r="H1158" s="34"/>
      <c r="I1158" s="34"/>
      <c r="J1158" s="34"/>
    </row>
    <row r="1159" spans="1:10">
      <c r="A1159" s="33">
        <v>39090</v>
      </c>
      <c r="B1159" s="33">
        <v>3909</v>
      </c>
      <c r="C1159" s="34" t="b">
        <v>1</v>
      </c>
      <c r="D1159" s="34">
        <v>1</v>
      </c>
      <c r="E1159" s="34" t="s">
        <v>3264</v>
      </c>
      <c r="F1159" s="33">
        <v>52</v>
      </c>
      <c r="G1159" s="33">
        <v>8</v>
      </c>
      <c r="H1159" s="34"/>
      <c r="I1159" s="34"/>
      <c r="J1159" s="34"/>
    </row>
    <row r="1160" spans="1:10">
      <c r="A1160" s="33">
        <v>39100</v>
      </c>
      <c r="B1160" s="33">
        <v>3910</v>
      </c>
      <c r="C1160" s="34" t="b">
        <v>1</v>
      </c>
      <c r="D1160" s="34">
        <v>1</v>
      </c>
      <c r="E1160" s="34" t="s">
        <v>3264</v>
      </c>
      <c r="F1160" s="33">
        <v>52</v>
      </c>
      <c r="G1160" s="33">
        <v>8</v>
      </c>
      <c r="H1160" s="34"/>
      <c r="I1160" s="34"/>
      <c r="J1160" s="34"/>
    </row>
    <row r="1161" spans="1:10">
      <c r="A1161" s="33">
        <v>39110</v>
      </c>
      <c r="B1161" s="33">
        <v>3911</v>
      </c>
      <c r="C1161" s="34" t="b">
        <v>1</v>
      </c>
      <c r="D1161" s="34">
        <v>1</v>
      </c>
      <c r="E1161" s="34" t="s">
        <v>3264</v>
      </c>
      <c r="F1161" s="33">
        <v>52</v>
      </c>
      <c r="G1161" s="33">
        <v>8</v>
      </c>
      <c r="H1161" s="34"/>
      <c r="I1161" s="34"/>
      <c r="J1161" s="34"/>
    </row>
    <row r="1162" spans="1:10">
      <c r="A1162" s="33">
        <v>39120</v>
      </c>
      <c r="B1162" s="33">
        <v>3912</v>
      </c>
      <c r="C1162" s="34" t="b">
        <v>1</v>
      </c>
      <c r="D1162" s="34">
        <v>1</v>
      </c>
      <c r="E1162" s="34" t="s">
        <v>3264</v>
      </c>
      <c r="F1162" s="33">
        <v>52</v>
      </c>
      <c r="G1162" s="33">
        <v>8</v>
      </c>
      <c r="H1162" s="34"/>
      <c r="I1162" s="34"/>
      <c r="J1162" s="34"/>
    </row>
    <row r="1163" spans="1:10">
      <c r="A1163" s="33">
        <v>39130</v>
      </c>
      <c r="B1163" s="33">
        <v>3913</v>
      </c>
      <c r="C1163" s="34" t="b">
        <v>1</v>
      </c>
      <c r="D1163" s="34">
        <v>1</v>
      </c>
      <c r="E1163" s="34" t="s">
        <v>3264</v>
      </c>
      <c r="F1163" s="33">
        <v>52</v>
      </c>
      <c r="G1163" s="33">
        <v>8</v>
      </c>
      <c r="H1163" s="34"/>
      <c r="I1163" s="34"/>
      <c r="J1163" s="34"/>
    </row>
    <row r="1164" spans="1:10">
      <c r="A1164" s="33">
        <v>39140</v>
      </c>
      <c r="B1164" s="33">
        <v>3914</v>
      </c>
      <c r="C1164" s="34" t="b">
        <v>1</v>
      </c>
      <c r="D1164" s="34">
        <v>1</v>
      </c>
      <c r="E1164" s="34" t="s">
        <v>3264</v>
      </c>
      <c r="F1164" s="33">
        <v>52</v>
      </c>
      <c r="G1164" s="33">
        <v>8</v>
      </c>
      <c r="H1164" s="34"/>
      <c r="I1164" s="34"/>
      <c r="J1164" s="34"/>
    </row>
    <row r="1165" spans="1:10">
      <c r="A1165" s="33">
        <v>39150</v>
      </c>
      <c r="B1165" s="33">
        <v>3915</v>
      </c>
      <c r="C1165" s="34" t="b">
        <v>1</v>
      </c>
      <c r="D1165" s="34">
        <v>1</v>
      </c>
      <c r="E1165" s="34" t="s">
        <v>3264</v>
      </c>
      <c r="F1165" s="33">
        <v>52</v>
      </c>
      <c r="G1165" s="33">
        <v>8</v>
      </c>
      <c r="H1165" s="34"/>
      <c r="I1165" s="34"/>
      <c r="J1165" s="34"/>
    </row>
    <row r="1166" spans="1:10">
      <c r="A1166" s="33">
        <v>39160</v>
      </c>
      <c r="B1166" s="33">
        <v>3916</v>
      </c>
      <c r="C1166" s="34" t="b">
        <v>1</v>
      </c>
      <c r="D1166" s="34">
        <v>1</v>
      </c>
      <c r="E1166" s="34" t="s">
        <v>3264</v>
      </c>
      <c r="F1166" s="33">
        <v>52</v>
      </c>
      <c r="G1166" s="33">
        <v>8</v>
      </c>
      <c r="H1166" s="34"/>
      <c r="I1166" s="34"/>
      <c r="J1166" s="34"/>
    </row>
    <row r="1167" spans="1:10">
      <c r="A1167" s="33">
        <v>39170</v>
      </c>
      <c r="B1167" s="33">
        <v>3917</v>
      </c>
      <c r="C1167" s="34" t="b">
        <v>1</v>
      </c>
      <c r="D1167" s="34">
        <v>1</v>
      </c>
      <c r="E1167" s="34" t="s">
        <v>3264</v>
      </c>
      <c r="F1167" s="33">
        <v>52</v>
      </c>
      <c r="G1167" s="33">
        <v>8</v>
      </c>
      <c r="H1167" s="34"/>
      <c r="I1167" s="34"/>
      <c r="J1167" s="34"/>
    </row>
    <row r="1168" spans="1:10">
      <c r="A1168" s="33">
        <v>39180</v>
      </c>
      <c r="B1168" s="33">
        <v>3918</v>
      </c>
      <c r="C1168" s="34" t="b">
        <v>1</v>
      </c>
      <c r="D1168" s="34">
        <v>1</v>
      </c>
      <c r="E1168" s="34" t="s">
        <v>3264</v>
      </c>
      <c r="F1168" s="33">
        <v>52</v>
      </c>
      <c r="G1168" s="33">
        <v>8</v>
      </c>
      <c r="H1168" s="34"/>
      <c r="I1168" s="34"/>
      <c r="J1168" s="34"/>
    </row>
    <row r="1169" spans="1:10">
      <c r="A1169" s="33">
        <v>39190</v>
      </c>
      <c r="B1169" s="33">
        <v>3919</v>
      </c>
      <c r="C1169" s="34" t="b">
        <v>1</v>
      </c>
      <c r="D1169" s="34">
        <v>1</v>
      </c>
      <c r="E1169" s="34" t="s">
        <v>3264</v>
      </c>
      <c r="F1169" s="33">
        <v>52</v>
      </c>
      <c r="G1169" s="33">
        <v>8</v>
      </c>
      <c r="H1169" s="34"/>
      <c r="I1169" s="34"/>
      <c r="J1169" s="34"/>
    </row>
    <row r="1170" spans="1:10">
      <c r="A1170" s="33">
        <v>39200</v>
      </c>
      <c r="B1170" s="33">
        <v>3920</v>
      </c>
      <c r="C1170" s="34" t="b">
        <v>1</v>
      </c>
      <c r="D1170" s="34">
        <v>1</v>
      </c>
      <c r="E1170" s="34" t="s">
        <v>3264</v>
      </c>
      <c r="F1170" s="33">
        <v>52</v>
      </c>
      <c r="G1170" s="33">
        <v>8</v>
      </c>
      <c r="H1170" s="34"/>
      <c r="I1170" s="34"/>
      <c r="J1170" s="34"/>
    </row>
    <row r="1171" spans="1:10">
      <c r="A1171" s="33">
        <v>39210</v>
      </c>
      <c r="B1171" s="33">
        <v>3921</v>
      </c>
      <c r="C1171" s="34" t="b">
        <v>1</v>
      </c>
      <c r="D1171" s="34">
        <v>1</v>
      </c>
      <c r="E1171" s="34" t="s">
        <v>3264</v>
      </c>
      <c r="F1171" s="33">
        <v>52</v>
      </c>
      <c r="G1171" s="33">
        <v>8</v>
      </c>
      <c r="H1171" s="34"/>
      <c r="I1171" s="34"/>
      <c r="J1171" s="34"/>
    </row>
    <row r="1172" spans="1:10">
      <c r="A1172" s="33">
        <v>39220</v>
      </c>
      <c r="B1172" s="33">
        <v>3922</v>
      </c>
      <c r="C1172" s="34" t="b">
        <v>1</v>
      </c>
      <c r="D1172" s="34">
        <v>1</v>
      </c>
      <c r="E1172" s="34" t="s">
        <v>3264</v>
      </c>
      <c r="F1172" s="33">
        <v>52</v>
      </c>
      <c r="G1172" s="33">
        <v>8</v>
      </c>
      <c r="H1172" s="34"/>
      <c r="I1172" s="34"/>
      <c r="J1172" s="34"/>
    </row>
    <row r="1173" spans="1:10">
      <c r="A1173" s="33">
        <v>39230</v>
      </c>
      <c r="B1173" s="33">
        <v>3923</v>
      </c>
      <c r="C1173" s="34" t="b">
        <v>1</v>
      </c>
      <c r="D1173" s="34">
        <v>1</v>
      </c>
      <c r="E1173" s="34" t="s">
        <v>3264</v>
      </c>
      <c r="F1173" s="33">
        <v>52</v>
      </c>
      <c r="G1173" s="33">
        <v>8</v>
      </c>
      <c r="H1173" s="34"/>
      <c r="I1173" s="34"/>
      <c r="J1173" s="34"/>
    </row>
    <row r="1174" spans="1:10">
      <c r="A1174" s="33">
        <v>39240</v>
      </c>
      <c r="B1174" s="33">
        <v>3924</v>
      </c>
      <c r="C1174" s="34" t="b">
        <v>1</v>
      </c>
      <c r="D1174" s="34">
        <v>1</v>
      </c>
      <c r="E1174" s="34" t="s">
        <v>3264</v>
      </c>
      <c r="F1174" s="33">
        <v>52</v>
      </c>
      <c r="G1174" s="33">
        <v>8</v>
      </c>
      <c r="H1174" s="34"/>
      <c r="I1174" s="34"/>
      <c r="J1174" s="34"/>
    </row>
    <row r="1175" spans="1:10">
      <c r="A1175" s="33">
        <v>39250</v>
      </c>
      <c r="B1175" s="33">
        <v>3925</v>
      </c>
      <c r="C1175" s="34" t="b">
        <v>1</v>
      </c>
      <c r="D1175" s="34">
        <v>1</v>
      </c>
      <c r="E1175" s="34" t="s">
        <v>3264</v>
      </c>
      <c r="F1175" s="33">
        <v>52</v>
      </c>
      <c r="G1175" s="33">
        <v>8</v>
      </c>
      <c r="H1175" s="34"/>
      <c r="I1175" s="34"/>
      <c r="J1175" s="34"/>
    </row>
    <row r="1176" spans="1:10">
      <c r="A1176" s="33">
        <v>39260</v>
      </c>
      <c r="B1176" s="33">
        <v>3926</v>
      </c>
      <c r="C1176" s="34" t="b">
        <v>1</v>
      </c>
      <c r="D1176" s="34">
        <v>1</v>
      </c>
      <c r="E1176" s="34" t="s">
        <v>3264</v>
      </c>
      <c r="F1176" s="33">
        <v>52</v>
      </c>
      <c r="G1176" s="33">
        <v>8</v>
      </c>
      <c r="H1176" s="34"/>
      <c r="I1176" s="34"/>
      <c r="J1176" s="34"/>
    </row>
    <row r="1177" spans="1:10">
      <c r="A1177" s="33">
        <v>39270</v>
      </c>
      <c r="B1177" s="33">
        <v>3927</v>
      </c>
      <c r="C1177" s="34" t="b">
        <v>1</v>
      </c>
      <c r="D1177" s="34">
        <v>1</v>
      </c>
      <c r="E1177" s="34" t="s">
        <v>3264</v>
      </c>
      <c r="F1177" s="33">
        <v>52</v>
      </c>
      <c r="G1177" s="33">
        <v>8</v>
      </c>
      <c r="H1177" s="34"/>
      <c r="I1177" s="34"/>
      <c r="J1177" s="34"/>
    </row>
    <row r="1178" spans="1:10">
      <c r="A1178" s="33">
        <v>39280</v>
      </c>
      <c r="B1178" s="33">
        <v>3928</v>
      </c>
      <c r="C1178" s="34" t="b">
        <v>1</v>
      </c>
      <c r="D1178" s="34">
        <v>1</v>
      </c>
      <c r="E1178" s="34" t="s">
        <v>3264</v>
      </c>
      <c r="F1178" s="33">
        <v>52</v>
      </c>
      <c r="G1178" s="33">
        <v>8</v>
      </c>
      <c r="H1178" s="34"/>
      <c r="I1178" s="34"/>
      <c r="J1178" s="34"/>
    </row>
    <row r="1179" spans="1:10">
      <c r="A1179" s="33">
        <v>39290</v>
      </c>
      <c r="B1179" s="33">
        <v>3929</v>
      </c>
      <c r="C1179" s="34" t="b">
        <v>1</v>
      </c>
      <c r="D1179" s="34">
        <v>1</v>
      </c>
      <c r="E1179" s="34" t="s">
        <v>3264</v>
      </c>
      <c r="F1179" s="33">
        <v>52</v>
      </c>
      <c r="G1179" s="33">
        <v>8</v>
      </c>
      <c r="H1179" s="34"/>
      <c r="I1179" s="34"/>
      <c r="J1179" s="34"/>
    </row>
    <row r="1180" spans="1:10">
      <c r="A1180" s="33">
        <v>39300</v>
      </c>
      <c r="B1180" s="33">
        <v>3930</v>
      </c>
      <c r="C1180" s="34" t="b">
        <v>1</v>
      </c>
      <c r="D1180" s="34">
        <v>1</v>
      </c>
      <c r="E1180" s="34" t="s">
        <v>3264</v>
      </c>
      <c r="F1180" s="33">
        <v>52</v>
      </c>
      <c r="G1180" s="33">
        <v>8</v>
      </c>
      <c r="H1180" s="34"/>
      <c r="I1180" s="34"/>
      <c r="J1180" s="34"/>
    </row>
    <row r="1181" spans="1:10">
      <c r="A1181" s="33">
        <v>39310</v>
      </c>
      <c r="B1181" s="33">
        <v>3931</v>
      </c>
      <c r="C1181" s="34" t="b">
        <v>1</v>
      </c>
      <c r="D1181" s="34">
        <v>1</v>
      </c>
      <c r="E1181" s="34" t="s">
        <v>3264</v>
      </c>
      <c r="F1181" s="33">
        <v>52</v>
      </c>
      <c r="G1181" s="33">
        <v>8</v>
      </c>
      <c r="H1181" s="34"/>
      <c r="I1181" s="34"/>
      <c r="J1181" s="34"/>
    </row>
    <row r="1182" spans="1:10">
      <c r="A1182" s="33">
        <v>39320</v>
      </c>
      <c r="B1182" s="33">
        <v>3932</v>
      </c>
      <c r="C1182" s="34" t="b">
        <v>1</v>
      </c>
      <c r="D1182" s="34">
        <v>1</v>
      </c>
      <c r="E1182" s="34" t="s">
        <v>3264</v>
      </c>
      <c r="F1182" s="33">
        <v>52</v>
      </c>
      <c r="G1182" s="33">
        <v>8</v>
      </c>
      <c r="H1182" s="34"/>
      <c r="I1182" s="34"/>
      <c r="J1182" s="34"/>
    </row>
    <row r="1183" spans="1:10">
      <c r="A1183" s="33">
        <v>39330</v>
      </c>
      <c r="B1183" s="33">
        <v>3933</v>
      </c>
      <c r="C1183" s="34" t="b">
        <v>1</v>
      </c>
      <c r="D1183" s="34">
        <v>1</v>
      </c>
      <c r="E1183" s="34" t="s">
        <v>3264</v>
      </c>
      <c r="F1183" s="33">
        <v>52</v>
      </c>
      <c r="G1183" s="33">
        <v>8</v>
      </c>
      <c r="H1183" s="34"/>
      <c r="I1183" s="34"/>
      <c r="J1183" s="34"/>
    </row>
    <row r="1184" spans="1:10">
      <c r="A1184" s="33">
        <v>39340</v>
      </c>
      <c r="B1184" s="33">
        <v>3934</v>
      </c>
      <c r="C1184" s="34" t="b">
        <v>1</v>
      </c>
      <c r="D1184" s="34">
        <v>1</v>
      </c>
      <c r="E1184" s="34" t="s">
        <v>3264</v>
      </c>
      <c r="F1184" s="33">
        <v>52</v>
      </c>
      <c r="G1184" s="33">
        <v>8</v>
      </c>
      <c r="H1184" s="34"/>
      <c r="I1184" s="34"/>
      <c r="J1184" s="34"/>
    </row>
    <row r="1185" spans="1:10">
      <c r="A1185" s="33">
        <v>39350</v>
      </c>
      <c r="B1185" s="33">
        <v>3935</v>
      </c>
      <c r="C1185" s="34" t="b">
        <v>1</v>
      </c>
      <c r="D1185" s="34">
        <v>1</v>
      </c>
      <c r="E1185" s="34" t="s">
        <v>3264</v>
      </c>
      <c r="F1185" s="33">
        <v>52</v>
      </c>
      <c r="G1185" s="33">
        <v>8</v>
      </c>
      <c r="H1185" s="34"/>
      <c r="I1185" s="34"/>
      <c r="J1185" s="34"/>
    </row>
    <row r="1186" spans="1:10">
      <c r="A1186" s="33">
        <v>39360</v>
      </c>
      <c r="B1186" s="33">
        <v>3936</v>
      </c>
      <c r="C1186" s="34" t="b">
        <v>1</v>
      </c>
      <c r="D1186" s="34">
        <v>1</v>
      </c>
      <c r="E1186" s="34" t="s">
        <v>3264</v>
      </c>
      <c r="F1186" s="33">
        <v>52</v>
      </c>
      <c r="G1186" s="33">
        <v>8</v>
      </c>
      <c r="H1186" s="34"/>
      <c r="I1186" s="34"/>
      <c r="J1186" s="34"/>
    </row>
    <row r="1187" spans="1:10">
      <c r="A1187" s="33">
        <v>39370</v>
      </c>
      <c r="B1187" s="33">
        <v>3937</v>
      </c>
      <c r="C1187" s="34" t="b">
        <v>1</v>
      </c>
      <c r="D1187" s="34">
        <v>1</v>
      </c>
      <c r="E1187" s="34" t="s">
        <v>3264</v>
      </c>
      <c r="F1187" s="33">
        <v>52</v>
      </c>
      <c r="G1187" s="33">
        <v>8</v>
      </c>
      <c r="H1187" s="34"/>
      <c r="I1187" s="34"/>
      <c r="J1187" s="34"/>
    </row>
    <row r="1188" spans="1:10">
      <c r="A1188" s="33">
        <v>39380</v>
      </c>
      <c r="B1188" s="33">
        <v>3938</v>
      </c>
      <c r="C1188" s="34" t="b">
        <v>1</v>
      </c>
      <c r="D1188" s="34">
        <v>1</v>
      </c>
      <c r="E1188" s="34" t="s">
        <v>3264</v>
      </c>
      <c r="F1188" s="33">
        <v>52</v>
      </c>
      <c r="G1188" s="33">
        <v>8</v>
      </c>
      <c r="H1188" s="34"/>
      <c r="I1188" s="34"/>
      <c r="J1188" s="34"/>
    </row>
    <row r="1189" spans="1:10">
      <c r="A1189" s="33">
        <v>39390</v>
      </c>
      <c r="B1189" s="33">
        <v>3939</v>
      </c>
      <c r="C1189" s="34" t="b">
        <v>1</v>
      </c>
      <c r="D1189" s="34">
        <v>1</v>
      </c>
      <c r="E1189" s="34" t="s">
        <v>3264</v>
      </c>
      <c r="F1189" s="33">
        <v>52</v>
      </c>
      <c r="G1189" s="33">
        <v>8</v>
      </c>
      <c r="H1189" s="34"/>
      <c r="I1189" s="34"/>
      <c r="J1189" s="34"/>
    </row>
    <row r="1190" spans="1:10">
      <c r="A1190" s="33">
        <v>39400</v>
      </c>
      <c r="B1190" s="33">
        <v>3940</v>
      </c>
      <c r="C1190" s="34" t="b">
        <v>1</v>
      </c>
      <c r="D1190" s="34">
        <v>1</v>
      </c>
      <c r="E1190" s="34" t="s">
        <v>3264</v>
      </c>
      <c r="F1190" s="33">
        <v>52</v>
      </c>
      <c r="G1190" s="33">
        <v>8</v>
      </c>
      <c r="H1190" s="34"/>
      <c r="I1190" s="34"/>
      <c r="J1190" s="34"/>
    </row>
    <row r="1191" spans="1:10">
      <c r="A1191" s="33">
        <v>39410</v>
      </c>
      <c r="B1191" s="33">
        <v>3941</v>
      </c>
      <c r="C1191" s="34" t="b">
        <v>1</v>
      </c>
      <c r="D1191" s="34">
        <v>1</v>
      </c>
      <c r="E1191" s="34" t="s">
        <v>3264</v>
      </c>
      <c r="F1191" s="33">
        <v>52</v>
      </c>
      <c r="G1191" s="33">
        <v>8</v>
      </c>
      <c r="H1191" s="34"/>
      <c r="I1191" s="34"/>
      <c r="J1191" s="34"/>
    </row>
    <row r="1192" spans="1:10">
      <c r="A1192" s="33">
        <v>39420</v>
      </c>
      <c r="B1192" s="33">
        <v>3942</v>
      </c>
      <c r="C1192" s="34" t="b">
        <v>1</v>
      </c>
      <c r="D1192" s="34">
        <v>1</v>
      </c>
      <c r="E1192" s="34" t="s">
        <v>3264</v>
      </c>
      <c r="F1192" s="33">
        <v>52</v>
      </c>
      <c r="G1192" s="33">
        <v>8</v>
      </c>
      <c r="H1192" s="34"/>
      <c r="I1192" s="34"/>
      <c r="J1192" s="34"/>
    </row>
    <row r="1193" spans="1:10">
      <c r="A1193" s="33">
        <v>39430</v>
      </c>
      <c r="B1193" s="33">
        <v>3943</v>
      </c>
      <c r="C1193" s="34" t="b">
        <v>1</v>
      </c>
      <c r="D1193" s="34">
        <v>1</v>
      </c>
      <c r="E1193" s="34" t="s">
        <v>3264</v>
      </c>
      <c r="F1193" s="33">
        <v>52</v>
      </c>
      <c r="G1193" s="33">
        <v>8</v>
      </c>
      <c r="H1193" s="34"/>
      <c r="I1193" s="34"/>
      <c r="J1193" s="34"/>
    </row>
    <row r="1194" spans="1:10">
      <c r="A1194" s="33">
        <v>39440</v>
      </c>
      <c r="B1194" s="33">
        <v>3944</v>
      </c>
      <c r="C1194" s="34" t="b">
        <v>1</v>
      </c>
      <c r="D1194" s="34">
        <v>1</v>
      </c>
      <c r="E1194" s="34" t="s">
        <v>3264</v>
      </c>
      <c r="F1194" s="33">
        <v>52</v>
      </c>
      <c r="G1194" s="33">
        <v>8</v>
      </c>
      <c r="H1194" s="34"/>
      <c r="I1194" s="34"/>
      <c r="J1194" s="34"/>
    </row>
    <row r="1195" spans="1:10">
      <c r="A1195" s="33">
        <v>39450</v>
      </c>
      <c r="B1195" s="33">
        <v>3945</v>
      </c>
      <c r="C1195" s="34" t="b">
        <v>1</v>
      </c>
      <c r="D1195" s="34">
        <v>1</v>
      </c>
      <c r="E1195" s="34" t="s">
        <v>3264</v>
      </c>
      <c r="F1195" s="33">
        <v>52</v>
      </c>
      <c r="G1195" s="33">
        <v>8</v>
      </c>
      <c r="H1195" s="34"/>
      <c r="I1195" s="34"/>
      <c r="J1195" s="34"/>
    </row>
    <row r="1196" spans="1:10">
      <c r="A1196" s="33">
        <v>39460</v>
      </c>
      <c r="B1196" s="33">
        <v>3946</v>
      </c>
      <c r="C1196" s="34" t="b">
        <v>1</v>
      </c>
      <c r="D1196" s="34">
        <v>1</v>
      </c>
      <c r="E1196" s="34" t="s">
        <v>3264</v>
      </c>
      <c r="F1196" s="33">
        <v>52</v>
      </c>
      <c r="G1196" s="33">
        <v>8</v>
      </c>
      <c r="H1196" s="34"/>
      <c r="I1196" s="34"/>
      <c r="J1196" s="34"/>
    </row>
    <row r="1197" spans="1:10">
      <c r="A1197" s="33">
        <v>39470</v>
      </c>
      <c r="B1197" s="33">
        <v>3947</v>
      </c>
      <c r="C1197" s="34" t="b">
        <v>1</v>
      </c>
      <c r="D1197" s="34">
        <v>1</v>
      </c>
      <c r="E1197" s="34" t="s">
        <v>3264</v>
      </c>
      <c r="F1197" s="33">
        <v>52</v>
      </c>
      <c r="G1197" s="33">
        <v>8</v>
      </c>
      <c r="H1197" s="34"/>
      <c r="I1197" s="34"/>
      <c r="J1197" s="34"/>
    </row>
    <row r="1198" spans="1:10">
      <c r="A1198" s="33">
        <v>39480</v>
      </c>
      <c r="B1198" s="33">
        <v>3948</v>
      </c>
      <c r="C1198" s="34" t="b">
        <v>1</v>
      </c>
      <c r="D1198" s="34">
        <v>1</v>
      </c>
      <c r="E1198" s="34" t="s">
        <v>3264</v>
      </c>
      <c r="F1198" s="33">
        <v>52</v>
      </c>
      <c r="G1198" s="33">
        <v>8</v>
      </c>
      <c r="H1198" s="34"/>
      <c r="I1198" s="34"/>
      <c r="J1198" s="34"/>
    </row>
    <row r="1199" spans="1:10">
      <c r="A1199" s="33">
        <v>39490</v>
      </c>
      <c r="B1199" s="33">
        <v>3949</v>
      </c>
      <c r="C1199" s="34" t="b">
        <v>1</v>
      </c>
      <c r="D1199" s="34">
        <v>1</v>
      </c>
      <c r="E1199" s="34" t="s">
        <v>3264</v>
      </c>
      <c r="F1199" s="33">
        <v>52</v>
      </c>
      <c r="G1199" s="33">
        <v>8</v>
      </c>
      <c r="H1199" s="34"/>
      <c r="I1199" s="34"/>
      <c r="J1199" s="34"/>
    </row>
    <row r="1200" spans="1:10">
      <c r="A1200" s="33">
        <v>39500</v>
      </c>
      <c r="B1200" s="33">
        <v>3950</v>
      </c>
      <c r="C1200" s="34" t="b">
        <v>1</v>
      </c>
      <c r="D1200" s="34">
        <v>1</v>
      </c>
      <c r="E1200" s="34" t="s">
        <v>3264</v>
      </c>
      <c r="F1200" s="33">
        <v>52</v>
      </c>
      <c r="G1200" s="33">
        <v>8</v>
      </c>
      <c r="H1200" s="34"/>
      <c r="I1200" s="34"/>
      <c r="J1200" s="34"/>
    </row>
    <row r="1201" spans="1:10">
      <c r="A1201" s="33">
        <v>39510</v>
      </c>
      <c r="B1201" s="33">
        <v>3951</v>
      </c>
      <c r="C1201" s="34" t="b">
        <v>1</v>
      </c>
      <c r="D1201" s="34">
        <v>1</v>
      </c>
      <c r="E1201" s="34" t="s">
        <v>3264</v>
      </c>
      <c r="F1201" s="33">
        <v>52</v>
      </c>
      <c r="G1201" s="33">
        <v>8</v>
      </c>
      <c r="H1201" s="34"/>
      <c r="I1201" s="34"/>
      <c r="J1201" s="34"/>
    </row>
    <row r="1202" spans="1:10">
      <c r="A1202" s="33">
        <v>39520</v>
      </c>
      <c r="B1202" s="33">
        <v>3952</v>
      </c>
      <c r="C1202" s="34" t="b">
        <v>1</v>
      </c>
      <c r="D1202" s="34">
        <v>1</v>
      </c>
      <c r="E1202" s="34" t="s">
        <v>3264</v>
      </c>
      <c r="F1202" s="33">
        <v>52</v>
      </c>
      <c r="G1202" s="33">
        <v>8</v>
      </c>
      <c r="H1202" s="34"/>
      <c r="I1202" s="34"/>
      <c r="J1202" s="34"/>
    </row>
    <row r="1203" spans="1:10">
      <c r="A1203" s="33">
        <v>39530</v>
      </c>
      <c r="B1203" s="33">
        <v>3953</v>
      </c>
      <c r="C1203" s="34" t="b">
        <v>1</v>
      </c>
      <c r="D1203" s="34">
        <v>1</v>
      </c>
      <c r="E1203" s="34" t="s">
        <v>3264</v>
      </c>
      <c r="F1203" s="33">
        <v>52</v>
      </c>
      <c r="G1203" s="33">
        <v>8</v>
      </c>
      <c r="H1203" s="34"/>
      <c r="I1203" s="34"/>
      <c r="J1203" s="34"/>
    </row>
    <row r="1204" spans="1:10">
      <c r="A1204" s="33">
        <v>39540</v>
      </c>
      <c r="B1204" s="33">
        <v>3954</v>
      </c>
      <c r="C1204" s="34" t="b">
        <v>1</v>
      </c>
      <c r="D1204" s="34">
        <v>1</v>
      </c>
      <c r="E1204" s="34" t="s">
        <v>3264</v>
      </c>
      <c r="F1204" s="33">
        <v>52</v>
      </c>
      <c r="G1204" s="33">
        <v>8</v>
      </c>
      <c r="H1204" s="34"/>
      <c r="I1204" s="34"/>
      <c r="J1204" s="34"/>
    </row>
    <row r="1205" spans="1:10">
      <c r="A1205" s="33">
        <v>39550</v>
      </c>
      <c r="B1205" s="33">
        <v>3955</v>
      </c>
      <c r="C1205" s="34" t="b">
        <v>1</v>
      </c>
      <c r="D1205" s="34">
        <v>1</v>
      </c>
      <c r="E1205" s="34" t="s">
        <v>3264</v>
      </c>
      <c r="F1205" s="33">
        <v>52</v>
      </c>
      <c r="G1205" s="33">
        <v>8</v>
      </c>
      <c r="H1205" s="34"/>
      <c r="I1205" s="34"/>
      <c r="J1205" s="34"/>
    </row>
    <row r="1206" spans="1:10">
      <c r="A1206" s="33">
        <v>39560</v>
      </c>
      <c r="B1206" s="33">
        <v>3956</v>
      </c>
      <c r="C1206" s="34" t="b">
        <v>1</v>
      </c>
      <c r="D1206" s="34">
        <v>1</v>
      </c>
      <c r="E1206" s="34" t="s">
        <v>3264</v>
      </c>
      <c r="F1206" s="33">
        <v>52</v>
      </c>
      <c r="G1206" s="33">
        <v>8</v>
      </c>
      <c r="H1206" s="34"/>
      <c r="I1206" s="34"/>
      <c r="J1206" s="34"/>
    </row>
    <row r="1207" spans="1:10">
      <c r="A1207" s="33">
        <v>39570</v>
      </c>
      <c r="B1207" s="33">
        <v>3957</v>
      </c>
      <c r="C1207" s="34" t="b">
        <v>1</v>
      </c>
      <c r="D1207" s="34">
        <v>1</v>
      </c>
      <c r="E1207" s="34" t="s">
        <v>3264</v>
      </c>
      <c r="F1207" s="33">
        <v>52</v>
      </c>
      <c r="G1207" s="33">
        <v>8</v>
      </c>
      <c r="H1207" s="34"/>
      <c r="I1207" s="34"/>
      <c r="J1207" s="34"/>
    </row>
    <row r="1208" spans="1:10">
      <c r="A1208" s="33">
        <v>39580</v>
      </c>
      <c r="B1208" s="33">
        <v>3958</v>
      </c>
      <c r="C1208" s="34" t="b">
        <v>1</v>
      </c>
      <c r="D1208" s="34">
        <v>1</v>
      </c>
      <c r="E1208" s="34" t="s">
        <v>3264</v>
      </c>
      <c r="F1208" s="33">
        <v>52</v>
      </c>
      <c r="G1208" s="33">
        <v>8</v>
      </c>
      <c r="H1208" s="34"/>
      <c r="I1208" s="34"/>
      <c r="J1208" s="34"/>
    </row>
    <row r="1209" spans="1:10">
      <c r="A1209" s="33">
        <v>39590</v>
      </c>
      <c r="B1209" s="33">
        <v>3959</v>
      </c>
      <c r="C1209" s="34" t="b">
        <v>1</v>
      </c>
      <c r="D1209" s="34">
        <v>1</v>
      </c>
      <c r="E1209" s="34" t="s">
        <v>3264</v>
      </c>
      <c r="F1209" s="33">
        <v>52</v>
      </c>
      <c r="G1209" s="33">
        <v>8</v>
      </c>
      <c r="H1209" s="34"/>
      <c r="I1209" s="34"/>
      <c r="J1209" s="34"/>
    </row>
    <row r="1210" spans="1:10">
      <c r="A1210" s="33">
        <v>39600</v>
      </c>
      <c r="B1210" s="33">
        <v>3960</v>
      </c>
      <c r="C1210" s="34" t="b">
        <v>1</v>
      </c>
      <c r="D1210" s="34">
        <v>1</v>
      </c>
      <c r="E1210" s="34" t="s">
        <v>3264</v>
      </c>
      <c r="F1210" s="33">
        <v>52</v>
      </c>
      <c r="G1210" s="33">
        <v>8</v>
      </c>
      <c r="H1210" s="34"/>
      <c r="I1210" s="34"/>
      <c r="J1210" s="34"/>
    </row>
    <row r="1211" spans="1:10">
      <c r="A1211" s="26">
        <v>40010</v>
      </c>
      <c r="B1211" s="26">
        <v>4001</v>
      </c>
      <c r="C1211" s="26" t="b">
        <v>1</v>
      </c>
      <c r="D1211" s="26">
        <v>2</v>
      </c>
      <c r="E1211" s="26" t="s">
        <v>3266</v>
      </c>
      <c r="F1211" s="26">
        <v>4</v>
      </c>
      <c r="G1211" s="26">
        <v>0</v>
      </c>
      <c r="H1211" s="5"/>
      <c r="I1211" s="5"/>
      <c r="J1211" s="5"/>
    </row>
    <row r="1212" spans="1:10" s="73" customFormat="1">
      <c r="A1212" s="26">
        <v>40011</v>
      </c>
      <c r="B1212" s="26">
        <v>4001</v>
      </c>
      <c r="C1212" s="26" t="b">
        <v>1</v>
      </c>
      <c r="D1212" s="26">
        <v>3</v>
      </c>
      <c r="E1212" s="26" t="s">
        <v>3267</v>
      </c>
      <c r="F1212" s="26">
        <v>30</v>
      </c>
      <c r="G1212" s="26"/>
      <c r="H1212" s="76" t="s">
        <v>3268</v>
      </c>
      <c r="I1212" s="76"/>
      <c r="J1212" s="76"/>
    </row>
    <row r="1213" spans="1:10" s="73" customFormat="1">
      <c r="A1213" s="26">
        <v>40012</v>
      </c>
      <c r="B1213" s="26">
        <v>4001</v>
      </c>
      <c r="C1213" s="26" t="b">
        <v>1</v>
      </c>
      <c r="D1213" s="26">
        <v>1</v>
      </c>
      <c r="E1213" s="26" t="s">
        <v>3264</v>
      </c>
      <c r="F1213" s="26">
        <v>3</v>
      </c>
      <c r="G1213" s="26">
        <v>0</v>
      </c>
      <c r="H1213" s="76"/>
      <c r="I1213" s="76"/>
      <c r="J1213" s="76"/>
    </row>
    <row r="1214" spans="1:10" s="73" customFormat="1">
      <c r="A1214" s="26">
        <v>40013</v>
      </c>
      <c r="B1214" s="26">
        <v>4001</v>
      </c>
      <c r="C1214" s="26" t="b">
        <v>1</v>
      </c>
      <c r="D1214" s="26">
        <v>4</v>
      </c>
      <c r="E1214" s="26" t="s">
        <v>3269</v>
      </c>
      <c r="F1214" s="26">
        <v>29</v>
      </c>
      <c r="G1214" s="26"/>
      <c r="H1214" s="76" t="s">
        <v>3268</v>
      </c>
      <c r="I1214" s="76"/>
      <c r="J1214" s="76"/>
    </row>
    <row r="1215" spans="1:10" s="73" customFormat="1">
      <c r="A1215" s="27">
        <v>40020</v>
      </c>
      <c r="B1215" s="27">
        <v>4002</v>
      </c>
      <c r="C1215" s="27" t="b">
        <v>1</v>
      </c>
      <c r="D1215" s="27">
        <v>1</v>
      </c>
      <c r="E1215" s="27" t="s">
        <v>3266</v>
      </c>
      <c r="F1215" s="27">
        <v>10</v>
      </c>
      <c r="G1215" s="27">
        <v>0</v>
      </c>
      <c r="H1215" s="74"/>
      <c r="I1215" s="74"/>
      <c r="J1215" s="74"/>
    </row>
    <row r="1216" spans="1:10" s="73" customFormat="1">
      <c r="A1216" s="27">
        <v>40021</v>
      </c>
      <c r="B1216" s="27">
        <v>4002</v>
      </c>
      <c r="C1216" s="27" t="b">
        <v>1</v>
      </c>
      <c r="D1216" s="27">
        <v>2</v>
      </c>
      <c r="E1216" s="27" t="s">
        <v>3267</v>
      </c>
      <c r="F1216" s="27">
        <v>37</v>
      </c>
      <c r="G1216" s="27"/>
      <c r="H1216" s="74" t="s">
        <v>3270</v>
      </c>
      <c r="I1216" s="74"/>
      <c r="J1216" s="74"/>
    </row>
    <row r="1217" spans="1:10" s="73" customFormat="1">
      <c r="A1217" s="27">
        <v>40022</v>
      </c>
      <c r="B1217" s="27">
        <v>4002</v>
      </c>
      <c r="C1217" s="27" t="b">
        <v>1</v>
      </c>
      <c r="D1217" s="27">
        <v>3</v>
      </c>
      <c r="E1217" s="27" t="s">
        <v>3264</v>
      </c>
      <c r="F1217" s="27">
        <v>9</v>
      </c>
      <c r="G1217" s="27">
        <v>0</v>
      </c>
      <c r="H1217" s="74"/>
      <c r="I1217" s="74"/>
      <c r="J1217" s="74"/>
    </row>
    <row r="1218" spans="1:10" s="73" customFormat="1">
      <c r="A1218" s="27">
        <v>40023</v>
      </c>
      <c r="B1218" s="27">
        <v>4002</v>
      </c>
      <c r="C1218" s="27" t="b">
        <v>1</v>
      </c>
      <c r="D1218" s="27">
        <v>4</v>
      </c>
      <c r="E1218" s="27" t="s">
        <v>3269</v>
      </c>
      <c r="F1218" s="27">
        <v>36</v>
      </c>
      <c r="G1218" s="27"/>
      <c r="H1218" s="74" t="s">
        <v>3270</v>
      </c>
      <c r="I1218" s="74"/>
      <c r="J1218" s="74"/>
    </row>
    <row r="1219" spans="1:10">
      <c r="A1219" s="28">
        <v>40030</v>
      </c>
      <c r="B1219" s="28">
        <v>4003</v>
      </c>
      <c r="C1219" s="28" t="b">
        <v>1</v>
      </c>
      <c r="D1219" s="28">
        <v>1</v>
      </c>
      <c r="E1219" s="28" t="s">
        <v>3267</v>
      </c>
      <c r="F1219" s="28">
        <v>31</v>
      </c>
      <c r="G1219" s="28"/>
      <c r="H1219" s="80" t="s">
        <v>3271</v>
      </c>
      <c r="I1219" s="80"/>
      <c r="J1219" s="8"/>
    </row>
    <row r="1220" spans="1:10">
      <c r="A1220" s="29">
        <v>40040</v>
      </c>
      <c r="B1220" s="29">
        <v>4004</v>
      </c>
      <c r="C1220" s="29" t="b">
        <v>1</v>
      </c>
      <c r="D1220" s="29">
        <v>1</v>
      </c>
      <c r="E1220" s="29" t="s">
        <v>3266</v>
      </c>
      <c r="F1220" s="29">
        <v>6</v>
      </c>
      <c r="G1220" s="29">
        <v>0</v>
      </c>
      <c r="H1220" s="100"/>
      <c r="I1220" s="100"/>
      <c r="J1220" s="100"/>
    </row>
    <row r="1221" spans="1:10">
      <c r="A1221" s="29">
        <v>40041</v>
      </c>
      <c r="B1221" s="29">
        <v>4004</v>
      </c>
      <c r="C1221" s="29" t="b">
        <v>1</v>
      </c>
      <c r="D1221" s="108">
        <v>2</v>
      </c>
      <c r="E1221" s="108" t="s">
        <v>3267</v>
      </c>
      <c r="F1221" s="108">
        <v>33</v>
      </c>
      <c r="G1221" s="108"/>
      <c r="H1221" s="109" t="s">
        <v>3272</v>
      </c>
      <c r="I1221" s="100"/>
      <c r="J1221" s="100"/>
    </row>
    <row r="1222" spans="1:10">
      <c r="A1222" s="29">
        <v>40042</v>
      </c>
      <c r="B1222" s="29">
        <v>4004</v>
      </c>
      <c r="C1222" s="29" t="b">
        <v>1</v>
      </c>
      <c r="D1222" s="29">
        <v>3</v>
      </c>
      <c r="E1222" s="29" t="s">
        <v>3264</v>
      </c>
      <c r="F1222" s="29">
        <v>5</v>
      </c>
      <c r="G1222" s="29">
        <v>0</v>
      </c>
      <c r="H1222" s="100"/>
      <c r="I1222" s="100"/>
      <c r="J1222" s="100"/>
    </row>
    <row r="1223" spans="1:10">
      <c r="A1223" s="29">
        <v>40043</v>
      </c>
      <c r="B1223" s="29">
        <v>4004</v>
      </c>
      <c r="C1223" s="29" t="b">
        <v>1</v>
      </c>
      <c r="D1223" s="106">
        <v>4</v>
      </c>
      <c r="E1223" s="106" t="s">
        <v>3269</v>
      </c>
      <c r="F1223" s="106">
        <v>32</v>
      </c>
      <c r="G1223" s="106"/>
      <c r="H1223" s="107" t="s">
        <v>3273</v>
      </c>
      <c r="I1223" s="100"/>
      <c r="J1223" s="100"/>
    </row>
    <row r="1224" spans="1:10">
      <c r="A1224" s="30">
        <v>40050</v>
      </c>
      <c r="B1224" s="30">
        <v>4005</v>
      </c>
      <c r="C1224" s="30" t="b">
        <v>1</v>
      </c>
      <c r="D1224" s="30">
        <v>1</v>
      </c>
      <c r="E1224" s="30" t="s">
        <v>3266</v>
      </c>
      <c r="F1224" s="30">
        <v>8</v>
      </c>
      <c r="G1224" s="30">
        <v>0</v>
      </c>
      <c r="H1224" s="7"/>
      <c r="I1224" s="7"/>
      <c r="J1224" s="7"/>
    </row>
    <row r="1225" spans="1:10">
      <c r="A1225" s="30">
        <v>40051</v>
      </c>
      <c r="B1225" s="30">
        <v>4005</v>
      </c>
      <c r="C1225" s="30" t="b">
        <v>1</v>
      </c>
      <c r="D1225" s="30">
        <v>2</v>
      </c>
      <c r="E1225" s="30" t="s">
        <v>3264</v>
      </c>
      <c r="F1225" s="30">
        <v>7</v>
      </c>
      <c r="G1225" s="30">
        <v>0</v>
      </c>
      <c r="H1225" s="7"/>
      <c r="I1225" s="7"/>
      <c r="J1225" s="7"/>
    </row>
    <row r="1226" spans="1:10">
      <c r="A1226" s="30">
        <v>40052</v>
      </c>
      <c r="B1226" s="30">
        <v>4005</v>
      </c>
      <c r="C1226" s="30" t="b">
        <v>1</v>
      </c>
      <c r="D1226" s="110">
        <v>3</v>
      </c>
      <c r="E1226" s="110" t="s">
        <v>3267</v>
      </c>
      <c r="F1226" s="110">
        <v>35</v>
      </c>
      <c r="G1226" s="110"/>
      <c r="H1226" s="111" t="s">
        <v>3274</v>
      </c>
      <c r="I1226" s="7"/>
      <c r="J1226" s="7"/>
    </row>
    <row r="1227" spans="1:10">
      <c r="A1227" s="30">
        <v>40053</v>
      </c>
      <c r="B1227" s="30">
        <v>4005</v>
      </c>
      <c r="C1227" s="30" t="b">
        <v>1</v>
      </c>
      <c r="D1227" s="63">
        <v>4</v>
      </c>
      <c r="E1227" s="63" t="s">
        <v>3269</v>
      </c>
      <c r="F1227" s="63">
        <v>34</v>
      </c>
      <c r="G1227" s="63"/>
      <c r="H1227" s="70" t="s">
        <v>3274</v>
      </c>
      <c r="I1227" s="7"/>
      <c r="J1227" s="7"/>
    </row>
    <row r="1228" spans="1:10">
      <c r="A1228" s="26">
        <v>40260</v>
      </c>
      <c r="B1228" s="26">
        <v>4006</v>
      </c>
      <c r="C1228" s="26" t="b">
        <v>1</v>
      </c>
      <c r="D1228" s="26">
        <v>1</v>
      </c>
      <c r="E1228" s="26" t="s">
        <v>3266</v>
      </c>
      <c r="F1228" s="26">
        <v>12</v>
      </c>
      <c r="G1228" s="26">
        <v>0</v>
      </c>
      <c r="H1228" s="5"/>
      <c r="I1228" s="5"/>
      <c r="J1228" s="5"/>
    </row>
    <row r="1229" spans="1:10">
      <c r="A1229" s="26">
        <v>40280</v>
      </c>
      <c r="B1229" s="26">
        <v>4006</v>
      </c>
      <c r="C1229" s="26" t="b">
        <v>1</v>
      </c>
      <c r="D1229" s="26">
        <v>3</v>
      </c>
      <c r="E1229" s="26" t="s">
        <v>3267</v>
      </c>
      <c r="F1229" s="26">
        <v>39</v>
      </c>
      <c r="G1229" s="26"/>
      <c r="H1229" s="5" t="s">
        <v>3275</v>
      </c>
      <c r="I1229" s="5"/>
      <c r="J1229" s="5"/>
    </row>
    <row r="1230" spans="1:10">
      <c r="A1230" s="26">
        <v>40290</v>
      </c>
      <c r="B1230" s="26">
        <v>4006</v>
      </c>
      <c r="C1230" s="26" t="b">
        <v>1</v>
      </c>
      <c r="D1230" s="26">
        <v>4</v>
      </c>
      <c r="E1230" s="26" t="s">
        <v>3264</v>
      </c>
      <c r="F1230" s="26">
        <v>11</v>
      </c>
      <c r="G1230" s="26">
        <v>0</v>
      </c>
      <c r="H1230" s="5"/>
      <c r="I1230" s="5"/>
      <c r="J1230" s="5"/>
    </row>
    <row r="1231" spans="1:10">
      <c r="A1231" s="26">
        <v>40310</v>
      </c>
      <c r="B1231" s="26">
        <v>4006</v>
      </c>
      <c r="C1231" s="26" t="b">
        <v>1</v>
      </c>
      <c r="D1231" s="112">
        <v>6</v>
      </c>
      <c r="E1231" s="112" t="s">
        <v>3269</v>
      </c>
      <c r="F1231" s="112">
        <v>38</v>
      </c>
      <c r="G1231" s="112"/>
      <c r="H1231" s="68" t="s">
        <v>3276</v>
      </c>
      <c r="I1231" s="5"/>
      <c r="J1231" s="5"/>
    </row>
    <row r="1232" spans="1:10">
      <c r="A1232" s="27">
        <v>40320</v>
      </c>
      <c r="B1232" s="27">
        <v>4007</v>
      </c>
      <c r="C1232" s="27" t="b">
        <v>1</v>
      </c>
      <c r="D1232" s="62">
        <v>1</v>
      </c>
      <c r="E1232" s="62" t="s">
        <v>3266</v>
      </c>
      <c r="F1232" s="62">
        <v>13</v>
      </c>
      <c r="G1232" s="62">
        <v>0</v>
      </c>
      <c r="H1232" s="71"/>
      <c r="I1232" s="6"/>
      <c r="J1232" s="6"/>
    </row>
    <row r="1233" spans="1:10">
      <c r="A1233" s="27">
        <v>40330</v>
      </c>
      <c r="B1233" s="27">
        <v>4007</v>
      </c>
      <c r="C1233" s="27" t="b">
        <v>1</v>
      </c>
      <c r="D1233" s="62">
        <v>2</v>
      </c>
      <c r="E1233" s="62" t="s">
        <v>3267</v>
      </c>
      <c r="F1233" s="62">
        <v>26</v>
      </c>
      <c r="G1233" s="62"/>
      <c r="H1233" s="71"/>
      <c r="I1233" s="6"/>
      <c r="J1233" s="6"/>
    </row>
    <row r="1234" spans="1:10">
      <c r="A1234" s="27">
        <v>40340</v>
      </c>
      <c r="B1234" s="27">
        <v>4007</v>
      </c>
      <c r="C1234" s="27" t="b">
        <v>1</v>
      </c>
      <c r="D1234" s="27">
        <v>3</v>
      </c>
      <c r="E1234" s="27" t="s">
        <v>3267</v>
      </c>
      <c r="F1234" s="27">
        <v>40</v>
      </c>
      <c r="G1234" s="27"/>
      <c r="H1234" s="6" t="s">
        <v>3277</v>
      </c>
      <c r="I1234" s="6"/>
      <c r="J1234" s="6"/>
    </row>
    <row r="1235" spans="1:10">
      <c r="A1235" s="28">
        <v>40350</v>
      </c>
      <c r="B1235" s="28">
        <v>4008</v>
      </c>
      <c r="C1235" s="28" t="b">
        <v>1</v>
      </c>
      <c r="D1235" s="28">
        <v>1</v>
      </c>
      <c r="E1235" s="28" t="s">
        <v>3266</v>
      </c>
      <c r="F1235" s="28">
        <v>15</v>
      </c>
      <c r="G1235" s="28">
        <v>0</v>
      </c>
      <c r="H1235" s="8"/>
      <c r="I1235" s="8"/>
      <c r="J1235" s="8"/>
    </row>
    <row r="1236" spans="1:10">
      <c r="A1236" s="28">
        <v>40370</v>
      </c>
      <c r="B1236" s="28">
        <v>4008</v>
      </c>
      <c r="C1236" s="28" t="b">
        <v>1</v>
      </c>
      <c r="D1236" s="28">
        <v>3</v>
      </c>
      <c r="E1236" s="28" t="s">
        <v>3267</v>
      </c>
      <c r="F1236" s="28">
        <v>42</v>
      </c>
      <c r="G1236" s="28"/>
      <c r="H1236" s="8" t="s">
        <v>3278</v>
      </c>
      <c r="I1236" s="8"/>
      <c r="J1236" s="8"/>
    </row>
    <row r="1237" spans="1:10">
      <c r="A1237" s="28">
        <v>40380</v>
      </c>
      <c r="B1237" s="28">
        <v>4008</v>
      </c>
      <c r="C1237" s="28" t="b">
        <v>1</v>
      </c>
      <c r="D1237" s="28">
        <v>4</v>
      </c>
      <c r="E1237" s="28" t="s">
        <v>3264</v>
      </c>
      <c r="F1237" s="28">
        <v>14</v>
      </c>
      <c r="G1237" s="28">
        <v>0</v>
      </c>
      <c r="H1237" s="8"/>
      <c r="I1237" s="8"/>
      <c r="J1237" s="8"/>
    </row>
    <row r="1238" spans="1:10">
      <c r="A1238" s="28">
        <v>40400</v>
      </c>
      <c r="B1238" s="28">
        <v>4008</v>
      </c>
      <c r="C1238" s="28" t="b">
        <v>1</v>
      </c>
      <c r="D1238" s="105">
        <v>6</v>
      </c>
      <c r="E1238" s="105" t="s">
        <v>3269</v>
      </c>
      <c r="F1238" s="105">
        <v>41</v>
      </c>
      <c r="G1238" s="105"/>
      <c r="H1238" s="69" t="s">
        <v>3279</v>
      </c>
      <c r="I1238" s="8"/>
      <c r="J1238" s="8"/>
    </row>
    <row r="1239" spans="1:10">
      <c r="A1239" s="15">
        <v>40410</v>
      </c>
      <c r="B1239" s="15">
        <v>4009</v>
      </c>
      <c r="C1239" s="15" t="b">
        <v>1</v>
      </c>
      <c r="D1239" s="15">
        <v>1</v>
      </c>
      <c r="E1239" s="15" t="s">
        <v>3269</v>
      </c>
      <c r="F1239" s="15">
        <v>2</v>
      </c>
      <c r="G1239" s="15"/>
      <c r="H1239" s="15" t="s">
        <v>3280</v>
      </c>
    </row>
    <row r="1240" spans="1:10">
      <c r="A1240" s="15">
        <v>40420</v>
      </c>
      <c r="B1240" s="15">
        <v>4010</v>
      </c>
      <c r="C1240" s="15" t="b">
        <v>1</v>
      </c>
      <c r="D1240" s="15">
        <v>1</v>
      </c>
      <c r="E1240" s="15" t="s">
        <v>3269</v>
      </c>
      <c r="F1240" s="15">
        <v>2</v>
      </c>
      <c r="G1240" s="15"/>
      <c r="H1240" s="15" t="s">
        <v>3281</v>
      </c>
    </row>
    <row r="1241" spans="1:10">
      <c r="A1241" s="97">
        <v>40430</v>
      </c>
      <c r="B1241" s="97">
        <v>4011</v>
      </c>
      <c r="C1241" s="97" t="b">
        <v>1</v>
      </c>
      <c r="D1241" s="97">
        <v>1</v>
      </c>
      <c r="E1241" s="97" t="s">
        <v>3269</v>
      </c>
      <c r="F1241" s="97">
        <v>48</v>
      </c>
      <c r="G1241" s="97"/>
      <c r="H1241" s="97" t="s">
        <v>3282</v>
      </c>
    </row>
    <row r="1242" spans="1:10" s="117" customFormat="1">
      <c r="A1242" s="117">
        <v>40520</v>
      </c>
      <c r="B1242" s="117">
        <v>4011</v>
      </c>
      <c r="C1242" s="117" t="b">
        <v>1</v>
      </c>
      <c r="D1242" s="117">
        <v>2</v>
      </c>
      <c r="E1242" s="117" t="s">
        <v>3267</v>
      </c>
      <c r="F1242" s="117">
        <v>49</v>
      </c>
      <c r="H1242" s="117" t="s">
        <v>3282</v>
      </c>
    </row>
    <row r="1243" spans="1:10">
      <c r="A1243" s="15">
        <v>40440</v>
      </c>
      <c r="B1243" s="15">
        <v>4012</v>
      </c>
      <c r="C1243" s="15" t="b">
        <v>1</v>
      </c>
      <c r="D1243" s="15">
        <v>1</v>
      </c>
      <c r="E1243" s="15" t="s">
        <v>3269</v>
      </c>
      <c r="F1243" s="15">
        <v>2</v>
      </c>
      <c r="G1243" s="15"/>
      <c r="H1243" s="15" t="s">
        <v>3283</v>
      </c>
    </row>
    <row r="1244" spans="1:10">
      <c r="A1244" s="15">
        <v>40510</v>
      </c>
      <c r="B1244" s="15">
        <v>4012</v>
      </c>
      <c r="C1244" s="15" t="b">
        <v>1</v>
      </c>
      <c r="D1244" s="15">
        <v>2</v>
      </c>
      <c r="E1244" s="15" t="s">
        <v>3267</v>
      </c>
      <c r="F1244" s="15">
        <v>2</v>
      </c>
      <c r="G1244" s="15"/>
      <c r="H1244" s="15" t="s">
        <v>3284</v>
      </c>
    </row>
    <row r="1245" spans="1:10" s="117" customFormat="1">
      <c r="A1245" s="97">
        <v>40450</v>
      </c>
      <c r="B1245" s="97">
        <v>4013</v>
      </c>
      <c r="C1245" s="97" t="b">
        <v>1</v>
      </c>
      <c r="D1245" s="97">
        <v>1</v>
      </c>
      <c r="E1245" s="97" t="s">
        <v>3269</v>
      </c>
      <c r="F1245" s="97">
        <v>50</v>
      </c>
      <c r="G1245" s="97"/>
      <c r="H1245" s="97" t="s">
        <v>3285</v>
      </c>
    </row>
    <row r="1246" spans="1:10" s="117" customFormat="1">
      <c r="A1246" s="97">
        <v>40530</v>
      </c>
      <c r="B1246" s="97">
        <v>4013</v>
      </c>
      <c r="C1246" s="97" t="b">
        <v>1</v>
      </c>
      <c r="D1246" s="97">
        <v>2</v>
      </c>
      <c r="E1246" s="97" t="s">
        <v>3267</v>
      </c>
      <c r="F1246" s="97">
        <v>51</v>
      </c>
      <c r="G1246" s="97"/>
      <c r="H1246" s="97" t="s">
        <v>3285</v>
      </c>
    </row>
    <row r="1247" spans="1:10" s="117" customFormat="1">
      <c r="A1247" s="97">
        <v>40460</v>
      </c>
      <c r="B1247" s="97">
        <v>4014</v>
      </c>
      <c r="C1247" s="97" t="b">
        <v>1</v>
      </c>
      <c r="D1247" s="97">
        <v>2</v>
      </c>
      <c r="E1247" s="97" t="s">
        <v>3267</v>
      </c>
      <c r="F1247" s="97">
        <v>45</v>
      </c>
      <c r="G1247" s="97"/>
      <c r="H1247" s="97" t="s">
        <v>3286</v>
      </c>
    </row>
    <row r="1248" spans="1:10" s="117" customFormat="1">
      <c r="A1248" s="97">
        <v>40470</v>
      </c>
      <c r="B1248" s="97">
        <v>4014</v>
      </c>
      <c r="C1248" s="97" t="b">
        <v>1</v>
      </c>
      <c r="D1248" s="97">
        <v>1</v>
      </c>
      <c r="E1248" s="97" t="s">
        <v>3269</v>
      </c>
      <c r="F1248" s="97">
        <v>44</v>
      </c>
      <c r="G1248" s="97"/>
      <c r="H1248" s="97" t="s">
        <v>3286</v>
      </c>
    </row>
    <row r="1249" spans="1:10" s="117" customFormat="1">
      <c r="A1249" s="97">
        <v>40480</v>
      </c>
      <c r="B1249" s="97">
        <v>4015</v>
      </c>
      <c r="C1249" s="97" t="b">
        <v>1</v>
      </c>
      <c r="D1249" s="97">
        <v>2</v>
      </c>
      <c r="E1249" s="97" t="s">
        <v>3267</v>
      </c>
      <c r="F1249" s="97">
        <v>46</v>
      </c>
      <c r="G1249" s="97"/>
      <c r="H1249" s="97" t="s">
        <v>3287</v>
      </c>
    </row>
    <row r="1250" spans="1:10" s="117" customFormat="1">
      <c r="A1250" s="97">
        <v>40490</v>
      </c>
      <c r="B1250" s="97">
        <v>4015</v>
      </c>
      <c r="C1250" s="97" t="b">
        <v>1</v>
      </c>
      <c r="D1250" s="97">
        <v>1</v>
      </c>
      <c r="E1250" s="97" t="s">
        <v>3269</v>
      </c>
      <c r="F1250" s="97">
        <v>47</v>
      </c>
      <c r="G1250" s="97"/>
      <c r="H1250" s="97" t="s">
        <v>3287</v>
      </c>
    </row>
    <row r="1251" spans="1:10">
      <c r="A1251">
        <f t="shared" ref="A1251:A1314" si="0">B1251*10</f>
        <v>40160</v>
      </c>
      <c r="B1251" s="15">
        <v>4016</v>
      </c>
      <c r="C1251" s="15" t="b">
        <v>1</v>
      </c>
      <c r="D1251" s="15">
        <v>1</v>
      </c>
      <c r="E1251" s="15" t="s">
        <v>3269</v>
      </c>
      <c r="F1251" s="15">
        <v>2</v>
      </c>
      <c r="G1251" s="15"/>
      <c r="H1251" s="20" t="s">
        <v>3288</v>
      </c>
    </row>
    <row r="1252" spans="1:10">
      <c r="A1252">
        <f t="shared" si="0"/>
        <v>50010</v>
      </c>
      <c r="B1252" s="25">
        <v>5001</v>
      </c>
      <c r="C1252" s="25" t="b">
        <v>1</v>
      </c>
      <c r="D1252" s="25">
        <v>1</v>
      </c>
      <c r="E1252" s="25" t="s">
        <v>3264</v>
      </c>
      <c r="F1252" s="25">
        <v>52</v>
      </c>
      <c r="G1252" s="25">
        <v>1</v>
      </c>
      <c r="H1252" s="31"/>
      <c r="I1252" s="31"/>
      <c r="J1252" s="31"/>
    </row>
    <row r="1253" spans="1:10">
      <c r="A1253">
        <f t="shared" si="0"/>
        <v>50020</v>
      </c>
      <c r="B1253" s="25">
        <v>5002</v>
      </c>
      <c r="C1253" s="25" t="b">
        <v>1</v>
      </c>
      <c r="D1253" s="25">
        <v>1</v>
      </c>
      <c r="E1253" s="25" t="s">
        <v>3264</v>
      </c>
      <c r="F1253" s="25">
        <v>52</v>
      </c>
      <c r="G1253" s="25">
        <v>2</v>
      </c>
      <c r="H1253" s="31"/>
      <c r="I1253" s="31"/>
      <c r="J1253" s="31"/>
    </row>
    <row r="1254" spans="1:10">
      <c r="A1254">
        <f t="shared" si="0"/>
        <v>50030</v>
      </c>
      <c r="B1254" s="25">
        <v>5003</v>
      </c>
      <c r="C1254" s="25" t="b">
        <v>1</v>
      </c>
      <c r="D1254" s="25">
        <v>1</v>
      </c>
      <c r="E1254" s="25" t="s">
        <v>3264</v>
      </c>
      <c r="F1254" s="25">
        <v>52</v>
      </c>
      <c r="G1254" s="25">
        <v>3</v>
      </c>
      <c r="H1254" s="31"/>
      <c r="I1254" s="31"/>
      <c r="J1254" s="31"/>
    </row>
    <row r="1255" spans="1:10">
      <c r="A1255">
        <f t="shared" si="0"/>
        <v>50040</v>
      </c>
      <c r="B1255" s="25">
        <v>5004</v>
      </c>
      <c r="C1255" s="25" t="b">
        <v>1</v>
      </c>
      <c r="D1255" s="25">
        <v>1</v>
      </c>
      <c r="E1255" s="25" t="s">
        <v>3264</v>
      </c>
      <c r="F1255" s="25">
        <v>52</v>
      </c>
      <c r="G1255" s="25">
        <v>4</v>
      </c>
      <c r="H1255" s="31"/>
      <c r="I1255" s="31"/>
      <c r="J1255" s="31"/>
    </row>
    <row r="1256" spans="1:10">
      <c r="A1256">
        <f t="shared" si="0"/>
        <v>50050</v>
      </c>
      <c r="B1256" s="25">
        <v>5005</v>
      </c>
      <c r="C1256" s="25" t="b">
        <v>1</v>
      </c>
      <c r="D1256" s="25">
        <v>1</v>
      </c>
      <c r="E1256" s="25" t="s">
        <v>3264</v>
      </c>
      <c r="F1256" s="25">
        <v>43</v>
      </c>
      <c r="G1256" s="25">
        <v>0</v>
      </c>
      <c r="H1256" s="31"/>
      <c r="I1256" s="31"/>
      <c r="J1256" s="31"/>
    </row>
    <row r="1257" spans="1:10">
      <c r="A1257">
        <f t="shared" si="0"/>
        <v>50060</v>
      </c>
      <c r="B1257" s="31">
        <v>5006</v>
      </c>
      <c r="C1257" s="32" t="b">
        <v>1</v>
      </c>
      <c r="D1257" s="32">
        <v>1</v>
      </c>
      <c r="E1257" s="32" t="s">
        <v>3264</v>
      </c>
      <c r="F1257" s="32">
        <v>53</v>
      </c>
      <c r="G1257" s="32">
        <v>0</v>
      </c>
      <c r="H1257" s="31"/>
      <c r="I1257" s="31"/>
      <c r="J1257" s="31"/>
    </row>
    <row r="1258" spans="1:10">
      <c r="A1258">
        <f t="shared" si="0"/>
        <v>60010</v>
      </c>
      <c r="B1258" s="129">
        <v>6001</v>
      </c>
      <c r="C1258" t="b">
        <v>1</v>
      </c>
      <c r="D1258">
        <v>1</v>
      </c>
      <c r="E1258" t="s">
        <v>3264</v>
      </c>
      <c r="F1258">
        <v>52</v>
      </c>
      <c r="G1258">
        <v>11</v>
      </c>
    </row>
    <row r="1259" spans="1:10">
      <c r="A1259">
        <f t="shared" si="0"/>
        <v>60020</v>
      </c>
      <c r="B1259" s="15">
        <v>6002</v>
      </c>
      <c r="C1259" t="b">
        <v>1</v>
      </c>
      <c r="D1259">
        <v>1</v>
      </c>
      <c r="E1259" t="s">
        <v>3264</v>
      </c>
      <c r="F1259">
        <v>52</v>
      </c>
      <c r="G1259">
        <v>11</v>
      </c>
    </row>
    <row r="1260" spans="1:10">
      <c r="A1260">
        <f t="shared" si="0"/>
        <v>60030</v>
      </c>
      <c r="B1260" s="15">
        <v>6003</v>
      </c>
      <c r="C1260" t="b">
        <v>1</v>
      </c>
      <c r="D1260">
        <v>1</v>
      </c>
      <c r="E1260" t="s">
        <v>3264</v>
      </c>
      <c r="F1260">
        <v>52</v>
      </c>
      <c r="G1260">
        <v>11</v>
      </c>
    </row>
    <row r="1261" spans="1:10">
      <c r="A1261">
        <f t="shared" si="0"/>
        <v>60040</v>
      </c>
      <c r="B1261" s="15">
        <v>6004</v>
      </c>
      <c r="C1261" t="b">
        <v>1</v>
      </c>
      <c r="D1261">
        <v>1</v>
      </c>
      <c r="E1261" t="s">
        <v>3264</v>
      </c>
      <c r="F1261">
        <v>52</v>
      </c>
      <c r="G1261">
        <v>11</v>
      </c>
    </row>
    <row r="1262" spans="1:10">
      <c r="A1262">
        <f t="shared" si="0"/>
        <v>60050</v>
      </c>
      <c r="B1262" s="15">
        <v>6005</v>
      </c>
      <c r="C1262" t="b">
        <v>1</v>
      </c>
      <c r="D1262">
        <v>1</v>
      </c>
      <c r="E1262" t="s">
        <v>3264</v>
      </c>
      <c r="F1262">
        <v>52</v>
      </c>
      <c r="G1262">
        <v>11</v>
      </c>
    </row>
    <row r="1263" spans="1:10">
      <c r="A1263">
        <f t="shared" si="0"/>
        <v>60060</v>
      </c>
      <c r="B1263" s="129">
        <v>6006</v>
      </c>
      <c r="C1263" t="b">
        <v>1</v>
      </c>
      <c r="D1263">
        <v>1</v>
      </c>
      <c r="E1263" t="s">
        <v>3264</v>
      </c>
      <c r="F1263">
        <v>52</v>
      </c>
      <c r="G1263">
        <v>11</v>
      </c>
    </row>
    <row r="1264" spans="1:10">
      <c r="A1264">
        <f t="shared" si="0"/>
        <v>60070</v>
      </c>
      <c r="B1264" s="129">
        <v>6007</v>
      </c>
      <c r="C1264" t="b">
        <v>1</v>
      </c>
      <c r="D1264">
        <v>1</v>
      </c>
      <c r="E1264" t="s">
        <v>3264</v>
      </c>
      <c r="F1264">
        <v>52</v>
      </c>
      <c r="G1264">
        <v>11</v>
      </c>
    </row>
    <row r="1265" spans="1:7">
      <c r="A1265">
        <f t="shared" si="0"/>
        <v>60080</v>
      </c>
      <c r="B1265" s="129">
        <v>6008</v>
      </c>
      <c r="C1265" t="b">
        <v>1</v>
      </c>
      <c r="D1265">
        <v>1</v>
      </c>
      <c r="E1265" t="s">
        <v>3264</v>
      </c>
      <c r="F1265">
        <v>52</v>
      </c>
      <c r="G1265">
        <v>11</v>
      </c>
    </row>
    <row r="1266" spans="1:7">
      <c r="A1266">
        <f t="shared" si="0"/>
        <v>60090</v>
      </c>
      <c r="B1266" s="129">
        <v>6009</v>
      </c>
      <c r="C1266" t="b">
        <v>1</v>
      </c>
      <c r="D1266">
        <v>1</v>
      </c>
      <c r="E1266" t="s">
        <v>3264</v>
      </c>
      <c r="F1266">
        <v>52</v>
      </c>
      <c r="G1266">
        <v>11</v>
      </c>
    </row>
    <row r="1267" spans="1:7">
      <c r="A1267">
        <f t="shared" si="0"/>
        <v>61010</v>
      </c>
      <c r="B1267" s="129">
        <v>6101</v>
      </c>
      <c r="C1267" t="b">
        <v>1</v>
      </c>
      <c r="D1267">
        <v>1</v>
      </c>
      <c r="E1267" t="s">
        <v>3264</v>
      </c>
      <c r="F1267">
        <v>52</v>
      </c>
      <c r="G1267">
        <v>11</v>
      </c>
    </row>
    <row r="1268" spans="1:7">
      <c r="A1268">
        <f t="shared" si="0"/>
        <v>61020</v>
      </c>
      <c r="B1268" s="129">
        <v>6102</v>
      </c>
      <c r="C1268" t="b">
        <v>1</v>
      </c>
      <c r="D1268">
        <v>1</v>
      </c>
      <c r="E1268" t="s">
        <v>3264</v>
      </c>
      <c r="F1268">
        <v>52</v>
      </c>
      <c r="G1268">
        <v>11</v>
      </c>
    </row>
    <row r="1269" spans="1:7">
      <c r="A1269">
        <f t="shared" si="0"/>
        <v>61030</v>
      </c>
      <c r="B1269" s="15">
        <v>6103</v>
      </c>
      <c r="C1269" t="b">
        <v>1</v>
      </c>
      <c r="D1269">
        <v>1</v>
      </c>
      <c r="E1269" t="s">
        <v>3264</v>
      </c>
      <c r="F1269">
        <v>52</v>
      </c>
      <c r="G1269">
        <v>11</v>
      </c>
    </row>
    <row r="1270" spans="1:7">
      <c r="A1270">
        <f t="shared" si="0"/>
        <v>61040</v>
      </c>
      <c r="B1270" s="15">
        <v>6104</v>
      </c>
      <c r="C1270" t="b">
        <v>1</v>
      </c>
      <c r="D1270">
        <v>1</v>
      </c>
      <c r="E1270" t="s">
        <v>3264</v>
      </c>
      <c r="F1270">
        <v>52</v>
      </c>
      <c r="G1270">
        <v>11</v>
      </c>
    </row>
    <row r="1271" spans="1:7">
      <c r="A1271">
        <f t="shared" si="0"/>
        <v>61110</v>
      </c>
      <c r="B1271" s="129">
        <v>6111</v>
      </c>
      <c r="C1271" t="b">
        <v>1</v>
      </c>
      <c r="D1271">
        <v>1</v>
      </c>
      <c r="E1271" t="s">
        <v>3264</v>
      </c>
      <c r="F1271">
        <v>52</v>
      </c>
      <c r="G1271">
        <v>11</v>
      </c>
    </row>
    <row r="1272" spans="1:7">
      <c r="A1272">
        <f t="shared" si="0"/>
        <v>61120</v>
      </c>
      <c r="B1272" s="15">
        <v>6112</v>
      </c>
      <c r="C1272" t="b">
        <v>1</v>
      </c>
      <c r="D1272">
        <v>1</v>
      </c>
      <c r="E1272" t="s">
        <v>3264</v>
      </c>
      <c r="F1272">
        <v>52</v>
      </c>
      <c r="G1272">
        <v>11</v>
      </c>
    </row>
    <row r="1273" spans="1:7">
      <c r="A1273">
        <f t="shared" si="0"/>
        <v>61130</v>
      </c>
      <c r="B1273" s="15">
        <v>6113</v>
      </c>
      <c r="C1273" t="b">
        <v>1</v>
      </c>
      <c r="D1273">
        <v>1</v>
      </c>
      <c r="E1273" t="s">
        <v>3264</v>
      </c>
      <c r="F1273">
        <v>52</v>
      </c>
      <c r="G1273">
        <v>11</v>
      </c>
    </row>
    <row r="1274" spans="1:7">
      <c r="A1274">
        <f t="shared" si="0"/>
        <v>61140</v>
      </c>
      <c r="B1274" s="15">
        <v>6114</v>
      </c>
      <c r="C1274" t="b">
        <v>1</v>
      </c>
      <c r="D1274">
        <v>1</v>
      </c>
      <c r="E1274" t="s">
        <v>3264</v>
      </c>
      <c r="F1274">
        <v>52</v>
      </c>
      <c r="G1274">
        <v>11</v>
      </c>
    </row>
    <row r="1275" spans="1:7">
      <c r="A1275">
        <f t="shared" si="0"/>
        <v>61150</v>
      </c>
      <c r="B1275" s="15">
        <v>6115</v>
      </c>
      <c r="C1275" t="b">
        <v>1</v>
      </c>
      <c r="D1275">
        <v>1</v>
      </c>
      <c r="E1275" t="s">
        <v>3264</v>
      </c>
      <c r="F1275">
        <v>52</v>
      </c>
      <c r="G1275">
        <v>11</v>
      </c>
    </row>
    <row r="1276" spans="1:7">
      <c r="A1276">
        <f t="shared" si="0"/>
        <v>61160</v>
      </c>
      <c r="B1276" s="15">
        <v>6116</v>
      </c>
      <c r="C1276" t="b">
        <v>1</v>
      </c>
      <c r="D1276">
        <v>1</v>
      </c>
      <c r="E1276" t="s">
        <v>3264</v>
      </c>
      <c r="F1276">
        <v>52</v>
      </c>
      <c r="G1276">
        <v>11</v>
      </c>
    </row>
    <row r="1277" spans="1:7">
      <c r="A1277">
        <f t="shared" si="0"/>
        <v>61170</v>
      </c>
      <c r="B1277" s="15">
        <v>6117</v>
      </c>
      <c r="C1277" t="b">
        <v>1</v>
      </c>
      <c r="D1277">
        <v>1</v>
      </c>
      <c r="E1277" t="s">
        <v>3264</v>
      </c>
      <c r="F1277">
        <v>52</v>
      </c>
      <c r="G1277">
        <v>11</v>
      </c>
    </row>
    <row r="1278" spans="1:7">
      <c r="A1278">
        <f t="shared" si="0"/>
        <v>62010</v>
      </c>
      <c r="B1278" s="129">
        <v>6201</v>
      </c>
      <c r="C1278" t="b">
        <v>1</v>
      </c>
      <c r="D1278">
        <v>1</v>
      </c>
      <c r="E1278" t="s">
        <v>3264</v>
      </c>
      <c r="F1278">
        <v>52</v>
      </c>
      <c r="G1278">
        <v>11</v>
      </c>
    </row>
    <row r="1279" spans="1:7">
      <c r="A1279">
        <f t="shared" si="0"/>
        <v>62020</v>
      </c>
      <c r="B1279" s="129">
        <v>6202</v>
      </c>
      <c r="C1279" t="b">
        <v>1</v>
      </c>
      <c r="D1279">
        <v>1</v>
      </c>
      <c r="E1279" t="s">
        <v>3264</v>
      </c>
      <c r="F1279">
        <v>52</v>
      </c>
      <c r="G1279">
        <v>11</v>
      </c>
    </row>
    <row r="1280" spans="1:7">
      <c r="A1280">
        <f t="shared" si="0"/>
        <v>62030</v>
      </c>
      <c r="B1280" s="15">
        <v>6203</v>
      </c>
      <c r="C1280" t="b">
        <v>1</v>
      </c>
      <c r="D1280">
        <v>1</v>
      </c>
      <c r="E1280" t="s">
        <v>3264</v>
      </c>
      <c r="F1280">
        <v>52</v>
      </c>
      <c r="G1280">
        <v>11</v>
      </c>
    </row>
    <row r="1281" spans="1:7">
      <c r="A1281">
        <f t="shared" si="0"/>
        <v>62040</v>
      </c>
      <c r="B1281" s="15">
        <v>6204</v>
      </c>
      <c r="C1281" t="b">
        <v>1</v>
      </c>
      <c r="D1281">
        <v>1</v>
      </c>
      <c r="E1281" t="s">
        <v>3264</v>
      </c>
      <c r="F1281">
        <v>52</v>
      </c>
      <c r="G1281">
        <v>11</v>
      </c>
    </row>
    <row r="1282" spans="1:7">
      <c r="A1282">
        <f t="shared" si="0"/>
        <v>62050</v>
      </c>
      <c r="B1282" s="15">
        <v>6205</v>
      </c>
      <c r="C1282" t="b">
        <v>1</v>
      </c>
      <c r="D1282">
        <v>1</v>
      </c>
      <c r="E1282" t="s">
        <v>3264</v>
      </c>
      <c r="F1282">
        <v>52</v>
      </c>
      <c r="G1282">
        <v>11</v>
      </c>
    </row>
    <row r="1283" spans="1:7">
      <c r="A1283">
        <f t="shared" si="0"/>
        <v>62110</v>
      </c>
      <c r="B1283" s="129">
        <v>6211</v>
      </c>
      <c r="C1283" t="b">
        <v>1</v>
      </c>
      <c r="D1283">
        <v>1</v>
      </c>
      <c r="E1283" t="s">
        <v>3264</v>
      </c>
      <c r="F1283">
        <v>52</v>
      </c>
      <c r="G1283">
        <v>11</v>
      </c>
    </row>
    <row r="1284" spans="1:7">
      <c r="A1284">
        <f t="shared" si="0"/>
        <v>62120</v>
      </c>
      <c r="B1284" s="15">
        <v>6212</v>
      </c>
      <c r="C1284" t="b">
        <v>1</v>
      </c>
      <c r="D1284">
        <v>1</v>
      </c>
      <c r="E1284" t="s">
        <v>3264</v>
      </c>
      <c r="F1284">
        <v>52</v>
      </c>
      <c r="G1284">
        <v>11</v>
      </c>
    </row>
    <row r="1285" spans="1:7">
      <c r="A1285">
        <f t="shared" si="0"/>
        <v>62130</v>
      </c>
      <c r="B1285" s="15">
        <v>6213</v>
      </c>
      <c r="C1285" t="b">
        <v>1</v>
      </c>
      <c r="D1285">
        <v>1</v>
      </c>
      <c r="E1285" t="s">
        <v>3264</v>
      </c>
      <c r="F1285">
        <v>52</v>
      </c>
      <c r="G1285">
        <v>11</v>
      </c>
    </row>
    <row r="1286" spans="1:7">
      <c r="A1286">
        <f t="shared" si="0"/>
        <v>62210</v>
      </c>
      <c r="B1286" s="129">
        <v>6221</v>
      </c>
      <c r="C1286" t="b">
        <v>1</v>
      </c>
      <c r="D1286">
        <v>1</v>
      </c>
      <c r="E1286" t="s">
        <v>3264</v>
      </c>
      <c r="F1286">
        <v>52</v>
      </c>
      <c r="G1286">
        <v>11</v>
      </c>
    </row>
    <row r="1287" spans="1:7">
      <c r="A1287">
        <f t="shared" si="0"/>
        <v>62220</v>
      </c>
      <c r="B1287" s="15">
        <v>6222</v>
      </c>
      <c r="C1287" t="b">
        <v>1</v>
      </c>
      <c r="D1287">
        <v>1</v>
      </c>
      <c r="E1287" t="s">
        <v>3264</v>
      </c>
      <c r="F1287">
        <v>52</v>
      </c>
      <c r="G1287">
        <v>11</v>
      </c>
    </row>
    <row r="1288" spans="1:7">
      <c r="A1288">
        <f t="shared" si="0"/>
        <v>62310</v>
      </c>
      <c r="B1288" s="15">
        <v>6231</v>
      </c>
      <c r="C1288" t="b">
        <v>1</v>
      </c>
      <c r="D1288">
        <v>1</v>
      </c>
      <c r="E1288" t="s">
        <v>3264</v>
      </c>
      <c r="F1288">
        <v>52</v>
      </c>
      <c r="G1288">
        <v>11</v>
      </c>
    </row>
    <row r="1289" spans="1:7">
      <c r="A1289">
        <f t="shared" si="0"/>
        <v>62320</v>
      </c>
      <c r="B1289" s="15">
        <v>6232</v>
      </c>
      <c r="C1289" t="b">
        <v>1</v>
      </c>
      <c r="D1289">
        <v>1</v>
      </c>
      <c r="E1289" t="s">
        <v>3264</v>
      </c>
      <c r="F1289">
        <v>52</v>
      </c>
      <c r="G1289">
        <v>11</v>
      </c>
    </row>
    <row r="1290" spans="1:7">
      <c r="A1290">
        <f t="shared" si="0"/>
        <v>62330</v>
      </c>
      <c r="B1290" s="15">
        <v>6233</v>
      </c>
      <c r="C1290" t="b">
        <v>1</v>
      </c>
      <c r="D1290">
        <v>1</v>
      </c>
      <c r="E1290" t="s">
        <v>3264</v>
      </c>
      <c r="F1290">
        <v>52</v>
      </c>
      <c r="G1290">
        <v>11</v>
      </c>
    </row>
    <row r="1291" spans="1:7">
      <c r="A1291">
        <f t="shared" si="0"/>
        <v>62410</v>
      </c>
      <c r="B1291" s="129">
        <v>6241</v>
      </c>
      <c r="C1291" t="b">
        <v>1</v>
      </c>
      <c r="D1291">
        <v>1</v>
      </c>
      <c r="E1291" t="s">
        <v>3264</v>
      </c>
      <c r="F1291">
        <v>52</v>
      </c>
      <c r="G1291">
        <v>11</v>
      </c>
    </row>
    <row r="1292" spans="1:7">
      <c r="A1292">
        <f t="shared" si="0"/>
        <v>62420</v>
      </c>
      <c r="B1292" s="15">
        <v>6242</v>
      </c>
      <c r="C1292" t="b">
        <v>1</v>
      </c>
      <c r="D1292">
        <v>1</v>
      </c>
      <c r="E1292" t="s">
        <v>3264</v>
      </c>
      <c r="F1292">
        <v>52</v>
      </c>
      <c r="G1292">
        <v>11</v>
      </c>
    </row>
    <row r="1293" spans="1:7">
      <c r="A1293">
        <f t="shared" si="0"/>
        <v>62430</v>
      </c>
      <c r="B1293" s="15">
        <v>6243</v>
      </c>
      <c r="C1293" t="b">
        <v>1</v>
      </c>
      <c r="D1293">
        <v>1</v>
      </c>
      <c r="E1293" t="s">
        <v>3264</v>
      </c>
      <c r="F1293">
        <v>52</v>
      </c>
      <c r="G1293">
        <v>11</v>
      </c>
    </row>
    <row r="1294" spans="1:7">
      <c r="A1294">
        <f t="shared" si="0"/>
        <v>62440</v>
      </c>
      <c r="B1294" s="15">
        <v>6244</v>
      </c>
      <c r="C1294" t="b">
        <v>1</v>
      </c>
      <c r="D1294">
        <v>1</v>
      </c>
      <c r="E1294" t="s">
        <v>3264</v>
      </c>
      <c r="F1294">
        <v>52</v>
      </c>
      <c r="G1294">
        <v>11</v>
      </c>
    </row>
    <row r="1295" spans="1:7">
      <c r="A1295">
        <f t="shared" si="0"/>
        <v>63010</v>
      </c>
      <c r="B1295" s="129">
        <v>6301</v>
      </c>
      <c r="C1295" t="b">
        <v>1</v>
      </c>
      <c r="D1295">
        <v>1</v>
      </c>
      <c r="E1295" t="s">
        <v>3264</v>
      </c>
      <c r="F1295">
        <v>52</v>
      </c>
      <c r="G1295">
        <v>11</v>
      </c>
    </row>
    <row r="1296" spans="1:7">
      <c r="A1296">
        <f t="shared" si="0"/>
        <v>63020</v>
      </c>
      <c r="B1296" s="129">
        <v>6302</v>
      </c>
      <c r="C1296" t="b">
        <v>1</v>
      </c>
      <c r="D1296">
        <v>1</v>
      </c>
      <c r="E1296" t="s">
        <v>3264</v>
      </c>
      <c r="F1296">
        <v>52</v>
      </c>
      <c r="G1296">
        <v>11</v>
      </c>
    </row>
    <row r="1297" spans="1:7">
      <c r="A1297">
        <f t="shared" si="0"/>
        <v>63030</v>
      </c>
      <c r="B1297" s="15">
        <v>6303</v>
      </c>
      <c r="C1297" t="b">
        <v>1</v>
      </c>
      <c r="D1297">
        <v>1</v>
      </c>
      <c r="E1297" t="s">
        <v>3264</v>
      </c>
      <c r="F1297">
        <v>52</v>
      </c>
      <c r="G1297">
        <v>11</v>
      </c>
    </row>
    <row r="1298" spans="1:7">
      <c r="A1298">
        <f t="shared" si="0"/>
        <v>63040</v>
      </c>
      <c r="B1298" s="15">
        <v>6304</v>
      </c>
      <c r="C1298" t="b">
        <v>1</v>
      </c>
      <c r="D1298">
        <v>1</v>
      </c>
      <c r="E1298" t="s">
        <v>3264</v>
      </c>
      <c r="F1298">
        <v>52</v>
      </c>
      <c r="G1298">
        <v>11</v>
      </c>
    </row>
    <row r="1299" spans="1:7">
      <c r="A1299">
        <f t="shared" si="0"/>
        <v>63050</v>
      </c>
      <c r="B1299" s="15">
        <v>6305</v>
      </c>
      <c r="C1299" t="b">
        <v>1</v>
      </c>
      <c r="D1299">
        <v>1</v>
      </c>
      <c r="E1299" t="s">
        <v>3264</v>
      </c>
      <c r="F1299">
        <v>52</v>
      </c>
      <c r="G1299">
        <v>11</v>
      </c>
    </row>
    <row r="1300" spans="1:7">
      <c r="A1300">
        <f t="shared" si="0"/>
        <v>63110</v>
      </c>
      <c r="B1300" s="129">
        <v>6311</v>
      </c>
      <c r="C1300" t="b">
        <v>1</v>
      </c>
      <c r="D1300">
        <v>1</v>
      </c>
      <c r="E1300" t="s">
        <v>3264</v>
      </c>
      <c r="F1300">
        <v>52</v>
      </c>
      <c r="G1300">
        <v>11</v>
      </c>
    </row>
    <row r="1301" spans="1:7">
      <c r="A1301">
        <f t="shared" si="0"/>
        <v>63120</v>
      </c>
      <c r="B1301" s="15">
        <v>6312</v>
      </c>
      <c r="C1301" t="b">
        <v>1</v>
      </c>
      <c r="D1301">
        <v>1</v>
      </c>
      <c r="E1301" t="s">
        <v>3264</v>
      </c>
      <c r="F1301">
        <v>52</v>
      </c>
      <c r="G1301">
        <v>11</v>
      </c>
    </row>
    <row r="1302" spans="1:7">
      <c r="A1302">
        <f t="shared" si="0"/>
        <v>63210</v>
      </c>
      <c r="B1302" s="15">
        <v>6321</v>
      </c>
      <c r="C1302" t="b">
        <v>1</v>
      </c>
      <c r="D1302">
        <v>1</v>
      </c>
      <c r="E1302" t="s">
        <v>3264</v>
      </c>
      <c r="F1302">
        <v>52</v>
      </c>
      <c r="G1302">
        <v>11</v>
      </c>
    </row>
    <row r="1303" spans="1:7">
      <c r="A1303">
        <f t="shared" si="0"/>
        <v>63220</v>
      </c>
      <c r="B1303" s="15">
        <v>6322</v>
      </c>
      <c r="C1303" t="b">
        <v>1</v>
      </c>
      <c r="D1303">
        <v>1</v>
      </c>
      <c r="E1303" t="s">
        <v>3264</v>
      </c>
      <c r="F1303">
        <v>52</v>
      </c>
      <c r="G1303">
        <v>11</v>
      </c>
    </row>
    <row r="1304" spans="1:7">
      <c r="A1304">
        <f t="shared" si="0"/>
        <v>63230</v>
      </c>
      <c r="B1304" s="15">
        <v>6323</v>
      </c>
      <c r="C1304" t="b">
        <v>1</v>
      </c>
      <c r="D1304">
        <v>1</v>
      </c>
      <c r="E1304" t="s">
        <v>3264</v>
      </c>
      <c r="F1304">
        <v>52</v>
      </c>
      <c r="G1304">
        <v>11</v>
      </c>
    </row>
    <row r="1305" spans="1:7">
      <c r="A1305">
        <f t="shared" si="0"/>
        <v>63310</v>
      </c>
      <c r="B1305" s="129">
        <v>6331</v>
      </c>
      <c r="C1305" t="b">
        <v>1</v>
      </c>
      <c r="D1305">
        <v>1</v>
      </c>
      <c r="E1305" t="s">
        <v>3264</v>
      </c>
      <c r="F1305">
        <v>52</v>
      </c>
      <c r="G1305">
        <v>11</v>
      </c>
    </row>
    <row r="1306" spans="1:7">
      <c r="A1306">
        <f t="shared" si="0"/>
        <v>63320</v>
      </c>
      <c r="B1306" s="15">
        <v>6332</v>
      </c>
      <c r="C1306" t="b">
        <v>1</v>
      </c>
      <c r="D1306">
        <v>1</v>
      </c>
      <c r="E1306" t="s">
        <v>3264</v>
      </c>
      <c r="F1306">
        <v>52</v>
      </c>
      <c r="G1306">
        <v>11</v>
      </c>
    </row>
    <row r="1307" spans="1:7">
      <c r="A1307">
        <f t="shared" si="0"/>
        <v>63330</v>
      </c>
      <c r="B1307" s="15">
        <v>6333</v>
      </c>
      <c r="C1307" t="b">
        <v>1</v>
      </c>
      <c r="D1307">
        <v>1</v>
      </c>
      <c r="E1307" t="s">
        <v>3264</v>
      </c>
      <c r="F1307">
        <v>52</v>
      </c>
      <c r="G1307">
        <v>11</v>
      </c>
    </row>
    <row r="1308" spans="1:7">
      <c r="A1308">
        <f t="shared" si="0"/>
        <v>63340</v>
      </c>
      <c r="B1308" s="15">
        <v>6334</v>
      </c>
      <c r="C1308" t="b">
        <v>1</v>
      </c>
      <c r="D1308">
        <v>1</v>
      </c>
      <c r="E1308" t="s">
        <v>3264</v>
      </c>
      <c r="F1308">
        <v>52</v>
      </c>
      <c r="G1308">
        <v>11</v>
      </c>
    </row>
    <row r="1309" spans="1:7">
      <c r="A1309">
        <f t="shared" si="0"/>
        <v>63410</v>
      </c>
      <c r="B1309" s="129">
        <v>6341</v>
      </c>
      <c r="C1309" t="b">
        <v>1</v>
      </c>
      <c r="D1309">
        <v>1</v>
      </c>
      <c r="E1309" t="s">
        <v>3264</v>
      </c>
      <c r="F1309">
        <v>52</v>
      </c>
      <c r="G1309">
        <v>11</v>
      </c>
    </row>
    <row r="1310" spans="1:7">
      <c r="A1310">
        <f t="shared" si="0"/>
        <v>63420</v>
      </c>
      <c r="B1310" s="15">
        <v>6342</v>
      </c>
      <c r="C1310" t="b">
        <v>1</v>
      </c>
      <c r="D1310">
        <v>1</v>
      </c>
      <c r="E1310" t="s">
        <v>3264</v>
      </c>
      <c r="F1310">
        <v>52</v>
      </c>
      <c r="G1310">
        <v>11</v>
      </c>
    </row>
    <row r="1311" spans="1:7">
      <c r="A1311">
        <f t="shared" si="0"/>
        <v>63430</v>
      </c>
      <c r="B1311" s="15">
        <v>6343</v>
      </c>
      <c r="C1311" t="b">
        <v>1</v>
      </c>
      <c r="D1311">
        <v>1</v>
      </c>
      <c r="E1311" t="s">
        <v>3264</v>
      </c>
      <c r="F1311">
        <v>52</v>
      </c>
      <c r="G1311">
        <v>11</v>
      </c>
    </row>
    <row r="1312" spans="1:7">
      <c r="A1312">
        <f t="shared" si="0"/>
        <v>63510</v>
      </c>
      <c r="B1312" s="129">
        <v>6351</v>
      </c>
      <c r="C1312" t="b">
        <v>1</v>
      </c>
      <c r="D1312">
        <v>1</v>
      </c>
      <c r="E1312" t="s">
        <v>3264</v>
      </c>
      <c r="F1312">
        <v>52</v>
      </c>
      <c r="G1312">
        <v>11</v>
      </c>
    </row>
    <row r="1313" spans="1:7">
      <c r="A1313">
        <f t="shared" si="0"/>
        <v>63520</v>
      </c>
      <c r="B1313" s="15">
        <v>6352</v>
      </c>
      <c r="C1313" t="b">
        <v>1</v>
      </c>
      <c r="D1313">
        <v>1</v>
      </c>
      <c r="E1313" t="s">
        <v>3264</v>
      </c>
      <c r="F1313">
        <v>52</v>
      </c>
      <c r="G1313">
        <v>11</v>
      </c>
    </row>
    <row r="1314" spans="1:7">
      <c r="A1314">
        <f t="shared" si="0"/>
        <v>63530</v>
      </c>
      <c r="B1314" s="15">
        <v>6353</v>
      </c>
      <c r="C1314" t="b">
        <v>1</v>
      </c>
      <c r="D1314">
        <v>1</v>
      </c>
      <c r="E1314" t="s">
        <v>3264</v>
      </c>
      <c r="F1314">
        <v>52</v>
      </c>
      <c r="G1314">
        <v>11</v>
      </c>
    </row>
    <row r="1315" spans="1:7">
      <c r="A1315">
        <f t="shared" ref="A1315:A1378" si="1">B1315*10</f>
        <v>63540</v>
      </c>
      <c r="B1315" s="15">
        <v>6354</v>
      </c>
      <c r="C1315" t="b">
        <v>1</v>
      </c>
      <c r="D1315">
        <v>1</v>
      </c>
      <c r="E1315" t="s">
        <v>3264</v>
      </c>
      <c r="F1315">
        <v>52</v>
      </c>
      <c r="G1315">
        <v>11</v>
      </c>
    </row>
    <row r="1316" spans="1:7">
      <c r="A1316">
        <f t="shared" si="1"/>
        <v>63550</v>
      </c>
      <c r="B1316" s="15">
        <v>6355</v>
      </c>
      <c r="C1316" t="b">
        <v>1</v>
      </c>
      <c r="D1316">
        <v>1</v>
      </c>
      <c r="E1316" t="s">
        <v>3264</v>
      </c>
      <c r="F1316">
        <v>52</v>
      </c>
      <c r="G1316">
        <v>11</v>
      </c>
    </row>
    <row r="1317" spans="1:7">
      <c r="A1317">
        <f t="shared" si="1"/>
        <v>63560</v>
      </c>
      <c r="B1317" s="15">
        <v>6356</v>
      </c>
      <c r="C1317" t="b">
        <v>1</v>
      </c>
      <c r="D1317">
        <v>1</v>
      </c>
      <c r="E1317" t="s">
        <v>3264</v>
      </c>
      <c r="F1317">
        <v>52</v>
      </c>
      <c r="G1317">
        <v>11</v>
      </c>
    </row>
    <row r="1318" spans="1:7">
      <c r="A1318">
        <f t="shared" si="1"/>
        <v>63610</v>
      </c>
      <c r="B1318" s="129">
        <v>6361</v>
      </c>
      <c r="C1318" t="b">
        <v>1</v>
      </c>
      <c r="D1318">
        <v>1</v>
      </c>
      <c r="E1318" t="s">
        <v>3264</v>
      </c>
      <c r="F1318">
        <v>52</v>
      </c>
      <c r="G1318">
        <v>11</v>
      </c>
    </row>
    <row r="1319" spans="1:7">
      <c r="A1319">
        <f t="shared" si="1"/>
        <v>63620</v>
      </c>
      <c r="B1319" s="129">
        <v>6362</v>
      </c>
      <c r="C1319" t="b">
        <v>1</v>
      </c>
      <c r="D1319">
        <v>1</v>
      </c>
      <c r="E1319" t="s">
        <v>3264</v>
      </c>
      <c r="F1319">
        <v>52</v>
      </c>
      <c r="G1319">
        <v>11</v>
      </c>
    </row>
    <row r="1320" spans="1:7">
      <c r="A1320">
        <f t="shared" si="1"/>
        <v>64010</v>
      </c>
      <c r="B1320" s="129">
        <v>6401</v>
      </c>
      <c r="C1320" t="b">
        <v>1</v>
      </c>
      <c r="D1320">
        <v>1</v>
      </c>
      <c r="E1320" t="s">
        <v>3264</v>
      </c>
      <c r="F1320">
        <v>52</v>
      </c>
      <c r="G1320">
        <v>11</v>
      </c>
    </row>
    <row r="1321" spans="1:7">
      <c r="A1321">
        <f t="shared" si="1"/>
        <v>64020</v>
      </c>
      <c r="B1321" s="129">
        <v>6402</v>
      </c>
      <c r="C1321" t="b">
        <v>1</v>
      </c>
      <c r="D1321">
        <v>1</v>
      </c>
      <c r="E1321" t="s">
        <v>3264</v>
      </c>
      <c r="F1321">
        <v>52</v>
      </c>
      <c r="G1321">
        <v>11</v>
      </c>
    </row>
    <row r="1322" spans="1:7">
      <c r="A1322">
        <f t="shared" si="1"/>
        <v>64030</v>
      </c>
      <c r="B1322" s="15">
        <v>6403</v>
      </c>
      <c r="C1322" t="b">
        <v>1</v>
      </c>
      <c r="D1322">
        <v>1</v>
      </c>
      <c r="E1322" t="s">
        <v>3264</v>
      </c>
      <c r="F1322">
        <v>52</v>
      </c>
      <c r="G1322">
        <v>11</v>
      </c>
    </row>
    <row r="1323" spans="1:7">
      <c r="A1323">
        <f t="shared" si="1"/>
        <v>64040</v>
      </c>
      <c r="B1323" s="15">
        <v>6404</v>
      </c>
      <c r="C1323" t="b">
        <v>1</v>
      </c>
      <c r="D1323">
        <v>1</v>
      </c>
      <c r="E1323" t="s">
        <v>3264</v>
      </c>
      <c r="F1323">
        <v>52</v>
      </c>
      <c r="G1323">
        <v>11</v>
      </c>
    </row>
    <row r="1324" spans="1:7">
      <c r="A1324">
        <f t="shared" si="1"/>
        <v>64050</v>
      </c>
      <c r="B1324" s="15">
        <v>6405</v>
      </c>
      <c r="C1324" t="b">
        <v>1</v>
      </c>
      <c r="D1324">
        <v>1</v>
      </c>
      <c r="E1324" t="s">
        <v>3264</v>
      </c>
      <c r="F1324">
        <v>52</v>
      </c>
      <c r="G1324">
        <v>11</v>
      </c>
    </row>
    <row r="1325" spans="1:7">
      <c r="A1325">
        <f t="shared" si="1"/>
        <v>64110</v>
      </c>
      <c r="B1325" s="129">
        <v>6411</v>
      </c>
      <c r="C1325" t="b">
        <v>1</v>
      </c>
      <c r="D1325">
        <v>1</v>
      </c>
      <c r="E1325" t="s">
        <v>3264</v>
      </c>
      <c r="F1325">
        <v>52</v>
      </c>
      <c r="G1325">
        <v>11</v>
      </c>
    </row>
    <row r="1326" spans="1:7">
      <c r="A1326">
        <f t="shared" si="1"/>
        <v>64120</v>
      </c>
      <c r="B1326" s="15">
        <v>6412</v>
      </c>
      <c r="C1326" t="b">
        <v>1</v>
      </c>
      <c r="D1326">
        <v>1</v>
      </c>
      <c r="E1326" t="s">
        <v>3264</v>
      </c>
      <c r="F1326">
        <v>52</v>
      </c>
      <c r="G1326">
        <v>11</v>
      </c>
    </row>
    <row r="1327" spans="1:7">
      <c r="A1327">
        <f t="shared" si="1"/>
        <v>64210</v>
      </c>
      <c r="B1327" s="15">
        <v>6421</v>
      </c>
      <c r="C1327" t="b">
        <v>1</v>
      </c>
      <c r="D1327">
        <v>1</v>
      </c>
      <c r="E1327" t="s">
        <v>3264</v>
      </c>
      <c r="F1327">
        <v>52</v>
      </c>
      <c r="G1327">
        <v>11</v>
      </c>
    </row>
    <row r="1328" spans="1:7">
      <c r="A1328">
        <f t="shared" si="1"/>
        <v>64220</v>
      </c>
      <c r="B1328" s="15">
        <v>6422</v>
      </c>
      <c r="C1328" t="b">
        <v>1</v>
      </c>
      <c r="D1328">
        <v>1</v>
      </c>
      <c r="E1328" t="s">
        <v>3264</v>
      </c>
      <c r="F1328">
        <v>52</v>
      </c>
      <c r="G1328">
        <v>11</v>
      </c>
    </row>
    <row r="1329" spans="1:7">
      <c r="A1329">
        <f t="shared" si="1"/>
        <v>64230</v>
      </c>
      <c r="B1329" s="15">
        <v>6423</v>
      </c>
      <c r="C1329" t="b">
        <v>1</v>
      </c>
      <c r="D1329">
        <v>1</v>
      </c>
      <c r="E1329" t="s">
        <v>3264</v>
      </c>
      <c r="F1329">
        <v>52</v>
      </c>
      <c r="G1329">
        <v>11</v>
      </c>
    </row>
    <row r="1330" spans="1:7">
      <c r="A1330">
        <f t="shared" si="1"/>
        <v>64310</v>
      </c>
      <c r="B1330" s="129">
        <v>6431</v>
      </c>
      <c r="C1330" t="b">
        <v>1</v>
      </c>
      <c r="D1330">
        <v>1</v>
      </c>
      <c r="E1330" t="s">
        <v>3264</v>
      </c>
      <c r="F1330">
        <v>52</v>
      </c>
      <c r="G1330">
        <v>11</v>
      </c>
    </row>
    <row r="1331" spans="1:7">
      <c r="A1331">
        <f t="shared" si="1"/>
        <v>64320</v>
      </c>
      <c r="B1331" s="15">
        <v>6432</v>
      </c>
      <c r="C1331" t="b">
        <v>1</v>
      </c>
      <c r="D1331">
        <v>1</v>
      </c>
      <c r="E1331" t="s">
        <v>3264</v>
      </c>
      <c r="F1331">
        <v>52</v>
      </c>
      <c r="G1331">
        <v>11</v>
      </c>
    </row>
    <row r="1332" spans="1:7">
      <c r="A1332">
        <f t="shared" si="1"/>
        <v>64330</v>
      </c>
      <c r="B1332" s="15">
        <v>6433</v>
      </c>
      <c r="C1332" t="b">
        <v>1</v>
      </c>
      <c r="D1332">
        <v>1</v>
      </c>
      <c r="E1332" t="s">
        <v>3264</v>
      </c>
      <c r="F1332">
        <v>52</v>
      </c>
      <c r="G1332">
        <v>11</v>
      </c>
    </row>
    <row r="1333" spans="1:7">
      <c r="A1333">
        <f t="shared" si="1"/>
        <v>64410</v>
      </c>
      <c r="B1333" s="129">
        <v>6441</v>
      </c>
      <c r="C1333" t="b">
        <v>1</v>
      </c>
      <c r="D1333">
        <v>1</v>
      </c>
      <c r="E1333" t="s">
        <v>3264</v>
      </c>
      <c r="F1333">
        <v>52</v>
      </c>
      <c r="G1333">
        <v>11</v>
      </c>
    </row>
    <row r="1334" spans="1:7">
      <c r="A1334">
        <f t="shared" si="1"/>
        <v>64420</v>
      </c>
      <c r="B1334" s="15">
        <v>6442</v>
      </c>
      <c r="C1334" t="b">
        <v>1</v>
      </c>
      <c r="D1334">
        <v>1</v>
      </c>
      <c r="E1334" t="s">
        <v>3264</v>
      </c>
      <c r="F1334">
        <v>52</v>
      </c>
      <c r="G1334">
        <v>11</v>
      </c>
    </row>
    <row r="1335" spans="1:7">
      <c r="A1335">
        <f t="shared" si="1"/>
        <v>64430</v>
      </c>
      <c r="B1335" s="15">
        <v>6443</v>
      </c>
      <c r="C1335" t="b">
        <v>1</v>
      </c>
      <c r="D1335">
        <v>1</v>
      </c>
      <c r="E1335" t="s">
        <v>3264</v>
      </c>
      <c r="F1335">
        <v>52</v>
      </c>
      <c r="G1335">
        <v>11</v>
      </c>
    </row>
    <row r="1336" spans="1:7">
      <c r="A1336">
        <f t="shared" si="1"/>
        <v>64440</v>
      </c>
      <c r="B1336" s="15">
        <v>6444</v>
      </c>
      <c r="C1336" t="b">
        <v>1</v>
      </c>
      <c r="D1336">
        <v>1</v>
      </c>
      <c r="E1336" t="s">
        <v>3264</v>
      </c>
      <c r="F1336">
        <v>52</v>
      </c>
      <c r="G1336">
        <v>11</v>
      </c>
    </row>
    <row r="1337" spans="1:7">
      <c r="A1337">
        <f t="shared" si="1"/>
        <v>64450</v>
      </c>
      <c r="B1337" s="15">
        <v>6445</v>
      </c>
      <c r="C1337" t="b">
        <v>1</v>
      </c>
      <c r="D1337">
        <v>1</v>
      </c>
      <c r="E1337" t="s">
        <v>3264</v>
      </c>
      <c r="F1337">
        <v>52</v>
      </c>
      <c r="G1337">
        <v>11</v>
      </c>
    </row>
    <row r="1338" spans="1:7">
      <c r="A1338">
        <f t="shared" si="1"/>
        <v>64460</v>
      </c>
      <c r="B1338" s="15">
        <v>6446</v>
      </c>
      <c r="C1338" t="b">
        <v>1</v>
      </c>
      <c r="D1338">
        <v>1</v>
      </c>
      <c r="E1338" t="s">
        <v>3264</v>
      </c>
      <c r="F1338">
        <v>52</v>
      </c>
      <c r="G1338">
        <v>11</v>
      </c>
    </row>
    <row r="1339" spans="1:7">
      <c r="A1339">
        <f t="shared" si="1"/>
        <v>64710</v>
      </c>
      <c r="B1339" s="15">
        <v>6471</v>
      </c>
      <c r="C1339" t="b">
        <v>1</v>
      </c>
      <c r="D1339">
        <v>1</v>
      </c>
      <c r="E1339" t="s">
        <v>3264</v>
      </c>
      <c r="F1339">
        <v>52</v>
      </c>
      <c r="G1339">
        <v>11</v>
      </c>
    </row>
    <row r="1340" spans="1:7">
      <c r="A1340">
        <f t="shared" si="1"/>
        <v>64720</v>
      </c>
      <c r="B1340" s="15">
        <v>6472</v>
      </c>
      <c r="C1340" t="b">
        <v>1</v>
      </c>
      <c r="D1340">
        <v>1</v>
      </c>
      <c r="E1340" t="s">
        <v>3264</v>
      </c>
      <c r="F1340">
        <v>52</v>
      </c>
      <c r="G1340">
        <v>11</v>
      </c>
    </row>
    <row r="1341" spans="1:7">
      <c r="A1341">
        <f t="shared" si="1"/>
        <v>64810</v>
      </c>
      <c r="B1341" s="15">
        <v>6481</v>
      </c>
      <c r="C1341" t="b">
        <v>1</v>
      </c>
      <c r="D1341">
        <v>1</v>
      </c>
      <c r="E1341" t="s">
        <v>3264</v>
      </c>
      <c r="F1341">
        <v>52</v>
      </c>
      <c r="G1341">
        <v>11</v>
      </c>
    </row>
    <row r="1342" spans="1:7">
      <c r="A1342">
        <f t="shared" si="1"/>
        <v>64820</v>
      </c>
      <c r="B1342" s="15">
        <v>6482</v>
      </c>
      <c r="C1342" t="b">
        <v>1</v>
      </c>
      <c r="D1342">
        <v>1</v>
      </c>
      <c r="E1342" t="s">
        <v>3264</v>
      </c>
      <c r="F1342">
        <v>52</v>
      </c>
      <c r="G1342">
        <v>11</v>
      </c>
    </row>
    <row r="1343" spans="1:7">
      <c r="A1343">
        <f t="shared" si="1"/>
        <v>65010</v>
      </c>
      <c r="B1343" s="15">
        <v>6501</v>
      </c>
      <c r="C1343" t="b">
        <v>1</v>
      </c>
      <c r="D1343">
        <v>1</v>
      </c>
      <c r="E1343" t="s">
        <v>3264</v>
      </c>
      <c r="F1343">
        <v>52</v>
      </c>
      <c r="G1343">
        <v>11</v>
      </c>
    </row>
    <row r="1344" spans="1:7">
      <c r="A1344">
        <f t="shared" si="1"/>
        <v>65020</v>
      </c>
      <c r="B1344" s="15">
        <v>6502</v>
      </c>
      <c r="C1344" t="b">
        <v>1</v>
      </c>
      <c r="D1344">
        <v>1</v>
      </c>
      <c r="E1344" t="s">
        <v>3264</v>
      </c>
      <c r="F1344">
        <v>52</v>
      </c>
      <c r="G1344">
        <v>11</v>
      </c>
    </row>
    <row r="1345" spans="1:7">
      <c r="A1345">
        <f t="shared" si="1"/>
        <v>65030</v>
      </c>
      <c r="B1345" s="15">
        <v>6503</v>
      </c>
      <c r="C1345" t="b">
        <v>1</v>
      </c>
      <c r="D1345">
        <v>1</v>
      </c>
      <c r="E1345" t="s">
        <v>3264</v>
      </c>
      <c r="F1345">
        <v>52</v>
      </c>
      <c r="G1345">
        <v>11</v>
      </c>
    </row>
    <row r="1346" spans="1:7">
      <c r="A1346">
        <f t="shared" si="1"/>
        <v>65040</v>
      </c>
      <c r="B1346" s="15">
        <v>6504</v>
      </c>
      <c r="C1346" t="b">
        <v>1</v>
      </c>
      <c r="D1346">
        <v>1</v>
      </c>
      <c r="E1346" t="s">
        <v>3264</v>
      </c>
      <c r="F1346">
        <v>52</v>
      </c>
      <c r="G1346">
        <v>11</v>
      </c>
    </row>
    <row r="1347" spans="1:7">
      <c r="A1347">
        <f t="shared" si="1"/>
        <v>65050</v>
      </c>
      <c r="B1347" s="15">
        <v>6505</v>
      </c>
      <c r="C1347" t="b">
        <v>1</v>
      </c>
      <c r="D1347">
        <v>1</v>
      </c>
      <c r="E1347" t="s">
        <v>3264</v>
      </c>
      <c r="F1347">
        <v>52</v>
      </c>
      <c r="G1347">
        <v>11</v>
      </c>
    </row>
    <row r="1348" spans="1:7">
      <c r="A1348">
        <f t="shared" si="1"/>
        <v>65060</v>
      </c>
      <c r="B1348" s="15">
        <v>6506</v>
      </c>
      <c r="C1348" t="b">
        <v>1</v>
      </c>
      <c r="D1348">
        <v>1</v>
      </c>
      <c r="E1348" t="s">
        <v>3264</v>
      </c>
      <c r="F1348">
        <v>52</v>
      </c>
      <c r="G1348">
        <v>11</v>
      </c>
    </row>
    <row r="1349" spans="1:7">
      <c r="A1349">
        <f t="shared" si="1"/>
        <v>65110</v>
      </c>
      <c r="B1349" s="129">
        <v>6511</v>
      </c>
      <c r="C1349" t="b">
        <v>1</v>
      </c>
      <c r="D1349">
        <v>1</v>
      </c>
      <c r="E1349" t="s">
        <v>3264</v>
      </c>
      <c r="F1349">
        <v>52</v>
      </c>
      <c r="G1349">
        <v>11</v>
      </c>
    </row>
    <row r="1350" spans="1:7">
      <c r="A1350">
        <f t="shared" si="1"/>
        <v>65120</v>
      </c>
      <c r="B1350" s="15">
        <v>6512</v>
      </c>
      <c r="C1350" t="b">
        <v>1</v>
      </c>
      <c r="D1350">
        <v>1</v>
      </c>
      <c r="E1350" t="s">
        <v>3264</v>
      </c>
      <c r="F1350">
        <v>52</v>
      </c>
      <c r="G1350">
        <v>11</v>
      </c>
    </row>
    <row r="1351" spans="1:7">
      <c r="A1351">
        <f t="shared" si="1"/>
        <v>65130</v>
      </c>
      <c r="B1351" s="15">
        <v>6513</v>
      </c>
      <c r="C1351" t="b">
        <v>1</v>
      </c>
      <c r="D1351">
        <v>1</v>
      </c>
      <c r="E1351" t="s">
        <v>3264</v>
      </c>
      <c r="F1351">
        <v>52</v>
      </c>
      <c r="G1351">
        <v>11</v>
      </c>
    </row>
    <row r="1352" spans="1:7">
      <c r="A1352">
        <f t="shared" si="1"/>
        <v>70010</v>
      </c>
      <c r="B1352" s="129">
        <v>7001</v>
      </c>
      <c r="C1352" t="b">
        <v>1</v>
      </c>
      <c r="D1352">
        <v>1</v>
      </c>
      <c r="E1352" t="s">
        <v>3264</v>
      </c>
      <c r="F1352">
        <v>52</v>
      </c>
      <c r="G1352">
        <v>12</v>
      </c>
    </row>
    <row r="1353" spans="1:7">
      <c r="A1353">
        <f t="shared" si="1"/>
        <v>70020</v>
      </c>
      <c r="B1353" s="15">
        <v>7002</v>
      </c>
      <c r="C1353" t="b">
        <v>1</v>
      </c>
      <c r="D1353">
        <v>1</v>
      </c>
      <c r="E1353" t="s">
        <v>3264</v>
      </c>
      <c r="F1353">
        <v>52</v>
      </c>
      <c r="G1353">
        <v>12</v>
      </c>
    </row>
    <row r="1354" spans="1:7">
      <c r="A1354">
        <f t="shared" si="1"/>
        <v>70030</v>
      </c>
      <c r="B1354" s="15">
        <v>7003</v>
      </c>
      <c r="C1354" t="b">
        <v>1</v>
      </c>
      <c r="D1354">
        <v>1</v>
      </c>
      <c r="E1354" t="s">
        <v>3264</v>
      </c>
      <c r="F1354">
        <v>52</v>
      </c>
      <c r="G1354">
        <v>12</v>
      </c>
    </row>
    <row r="1355" spans="1:7">
      <c r="A1355">
        <f t="shared" si="1"/>
        <v>70040</v>
      </c>
      <c r="B1355" s="15">
        <v>7004</v>
      </c>
      <c r="C1355" t="b">
        <v>1</v>
      </c>
      <c r="D1355">
        <v>1</v>
      </c>
      <c r="E1355" t="s">
        <v>3264</v>
      </c>
      <c r="F1355">
        <v>52</v>
      </c>
      <c r="G1355">
        <v>12</v>
      </c>
    </row>
    <row r="1356" spans="1:7">
      <c r="A1356">
        <f t="shared" si="1"/>
        <v>70050</v>
      </c>
      <c r="B1356" s="15">
        <v>7005</v>
      </c>
      <c r="C1356" t="b">
        <v>1</v>
      </c>
      <c r="D1356">
        <v>1</v>
      </c>
      <c r="E1356" t="s">
        <v>3264</v>
      </c>
      <c r="F1356">
        <v>52</v>
      </c>
      <c r="G1356">
        <v>12</v>
      </c>
    </row>
    <row r="1357" spans="1:7">
      <c r="A1357">
        <f t="shared" si="1"/>
        <v>70060</v>
      </c>
      <c r="B1357" s="15">
        <v>7006</v>
      </c>
      <c r="C1357" t="b">
        <v>1</v>
      </c>
      <c r="D1357">
        <v>1</v>
      </c>
      <c r="E1357" t="s">
        <v>3264</v>
      </c>
      <c r="F1357">
        <v>52</v>
      </c>
      <c r="G1357">
        <v>12</v>
      </c>
    </row>
    <row r="1358" spans="1:7">
      <c r="A1358">
        <f t="shared" si="1"/>
        <v>70070</v>
      </c>
      <c r="B1358" s="15">
        <v>7007</v>
      </c>
      <c r="C1358" t="b">
        <v>1</v>
      </c>
      <c r="D1358">
        <v>1</v>
      </c>
      <c r="E1358" t="s">
        <v>3264</v>
      </c>
      <c r="F1358">
        <v>52</v>
      </c>
      <c r="G1358">
        <v>12</v>
      </c>
    </row>
    <row r="1359" spans="1:7">
      <c r="A1359">
        <f t="shared" si="1"/>
        <v>70080</v>
      </c>
      <c r="B1359" s="130">
        <v>7008</v>
      </c>
      <c r="C1359" t="b">
        <v>1</v>
      </c>
      <c r="D1359">
        <v>1</v>
      </c>
      <c r="E1359" t="s">
        <v>3264</v>
      </c>
      <c r="F1359">
        <v>52</v>
      </c>
      <c r="G1359">
        <v>12</v>
      </c>
    </row>
    <row r="1360" spans="1:7">
      <c r="A1360">
        <f t="shared" si="1"/>
        <v>70090</v>
      </c>
      <c r="B1360" s="15">
        <v>7009</v>
      </c>
      <c r="C1360" t="b">
        <v>1</v>
      </c>
      <c r="D1360">
        <v>1</v>
      </c>
      <c r="E1360" t="s">
        <v>3264</v>
      </c>
      <c r="F1360">
        <v>52</v>
      </c>
      <c r="G1360">
        <v>12</v>
      </c>
    </row>
    <row r="1361" spans="1:7">
      <c r="A1361">
        <f t="shared" si="1"/>
        <v>71010</v>
      </c>
      <c r="B1361" s="129">
        <v>7101</v>
      </c>
      <c r="C1361" t="b">
        <v>1</v>
      </c>
      <c r="D1361">
        <v>1</v>
      </c>
      <c r="E1361" t="s">
        <v>3264</v>
      </c>
      <c r="F1361">
        <v>52</v>
      </c>
      <c r="G1361">
        <v>12</v>
      </c>
    </row>
    <row r="1362" spans="1:7">
      <c r="A1362">
        <f t="shared" si="1"/>
        <v>71020</v>
      </c>
      <c r="B1362" s="15">
        <v>7102</v>
      </c>
      <c r="C1362" t="b">
        <v>1</v>
      </c>
      <c r="D1362">
        <v>1</v>
      </c>
      <c r="E1362" t="s">
        <v>3264</v>
      </c>
      <c r="F1362">
        <v>52</v>
      </c>
      <c r="G1362">
        <v>12</v>
      </c>
    </row>
    <row r="1363" spans="1:7">
      <c r="A1363">
        <f t="shared" si="1"/>
        <v>71030</v>
      </c>
      <c r="B1363" s="15">
        <v>7103</v>
      </c>
      <c r="C1363" t="b">
        <v>1</v>
      </c>
      <c r="D1363">
        <v>1</v>
      </c>
      <c r="E1363" t="s">
        <v>3264</v>
      </c>
      <c r="F1363">
        <v>52</v>
      </c>
      <c r="G1363">
        <v>12</v>
      </c>
    </row>
    <row r="1364" spans="1:7">
      <c r="A1364">
        <f t="shared" si="1"/>
        <v>71040</v>
      </c>
      <c r="B1364" s="129">
        <v>7104</v>
      </c>
      <c r="C1364" t="b">
        <v>1</v>
      </c>
      <c r="D1364">
        <v>1</v>
      </c>
      <c r="E1364" t="s">
        <v>3264</v>
      </c>
      <c r="F1364">
        <v>52</v>
      </c>
      <c r="G1364">
        <v>12</v>
      </c>
    </row>
    <row r="1365" spans="1:7">
      <c r="A1365">
        <f t="shared" si="1"/>
        <v>71110</v>
      </c>
      <c r="B1365" s="15">
        <v>7111</v>
      </c>
      <c r="C1365" t="b">
        <v>1</v>
      </c>
      <c r="D1365">
        <v>1</v>
      </c>
      <c r="E1365" t="s">
        <v>3264</v>
      </c>
      <c r="F1365">
        <v>52</v>
      </c>
      <c r="G1365">
        <v>12</v>
      </c>
    </row>
    <row r="1366" spans="1:7">
      <c r="A1366">
        <f t="shared" si="1"/>
        <v>71120</v>
      </c>
      <c r="B1366" s="15">
        <v>7112</v>
      </c>
      <c r="C1366" t="b">
        <v>1</v>
      </c>
      <c r="D1366">
        <v>1</v>
      </c>
      <c r="E1366" t="s">
        <v>3264</v>
      </c>
      <c r="F1366">
        <v>52</v>
      </c>
      <c r="G1366">
        <v>12</v>
      </c>
    </row>
    <row r="1367" spans="1:7">
      <c r="A1367">
        <f t="shared" si="1"/>
        <v>71130</v>
      </c>
      <c r="B1367" s="15">
        <v>7113</v>
      </c>
      <c r="C1367" t="b">
        <v>1</v>
      </c>
      <c r="D1367">
        <v>1</v>
      </c>
      <c r="E1367" t="s">
        <v>3264</v>
      </c>
      <c r="F1367">
        <v>52</v>
      </c>
      <c r="G1367">
        <v>12</v>
      </c>
    </row>
    <row r="1368" spans="1:7">
      <c r="A1368">
        <f t="shared" si="1"/>
        <v>71140</v>
      </c>
      <c r="B1368" s="15">
        <v>7114</v>
      </c>
      <c r="C1368" t="b">
        <v>1</v>
      </c>
      <c r="D1368">
        <v>1</v>
      </c>
      <c r="E1368" t="s">
        <v>3264</v>
      </c>
      <c r="F1368">
        <v>52</v>
      </c>
      <c r="G1368">
        <v>12</v>
      </c>
    </row>
    <row r="1369" spans="1:7">
      <c r="A1369">
        <f t="shared" si="1"/>
        <v>71150</v>
      </c>
      <c r="B1369" s="129">
        <v>7115</v>
      </c>
      <c r="C1369" t="b">
        <v>1</v>
      </c>
      <c r="D1369">
        <v>1</v>
      </c>
      <c r="E1369" t="s">
        <v>3264</v>
      </c>
      <c r="F1369">
        <v>52</v>
      </c>
      <c r="G1369">
        <v>12</v>
      </c>
    </row>
    <row r="1370" spans="1:7">
      <c r="A1370">
        <f t="shared" si="1"/>
        <v>72010</v>
      </c>
      <c r="B1370" s="129">
        <v>7201</v>
      </c>
      <c r="C1370" t="b">
        <v>1</v>
      </c>
      <c r="D1370">
        <v>1</v>
      </c>
      <c r="E1370" t="s">
        <v>3264</v>
      </c>
      <c r="F1370">
        <v>52</v>
      </c>
      <c r="G1370">
        <v>12</v>
      </c>
    </row>
    <row r="1371" spans="1:7">
      <c r="A1371">
        <f t="shared" si="1"/>
        <v>72020</v>
      </c>
      <c r="B1371" s="15">
        <v>7202</v>
      </c>
      <c r="C1371" t="b">
        <v>1</v>
      </c>
      <c r="D1371">
        <v>1</v>
      </c>
      <c r="E1371" t="s">
        <v>3264</v>
      </c>
      <c r="F1371">
        <v>52</v>
      </c>
      <c r="G1371">
        <v>12</v>
      </c>
    </row>
    <row r="1372" spans="1:7">
      <c r="A1372">
        <f t="shared" si="1"/>
        <v>72030</v>
      </c>
      <c r="B1372" s="15">
        <v>7203</v>
      </c>
      <c r="C1372" t="b">
        <v>1</v>
      </c>
      <c r="D1372">
        <v>1</v>
      </c>
      <c r="E1372" t="s">
        <v>3264</v>
      </c>
      <c r="F1372">
        <v>52</v>
      </c>
      <c r="G1372">
        <v>12</v>
      </c>
    </row>
    <row r="1373" spans="1:7">
      <c r="A1373">
        <f t="shared" si="1"/>
        <v>72040</v>
      </c>
      <c r="B1373" s="15">
        <v>7204</v>
      </c>
      <c r="C1373" t="b">
        <v>1</v>
      </c>
      <c r="D1373">
        <v>1</v>
      </c>
      <c r="E1373" t="s">
        <v>3264</v>
      </c>
      <c r="F1373">
        <v>52</v>
      </c>
      <c r="G1373">
        <v>12</v>
      </c>
    </row>
    <row r="1374" spans="1:7">
      <c r="A1374">
        <f t="shared" si="1"/>
        <v>72050</v>
      </c>
      <c r="B1374" s="129">
        <v>7205</v>
      </c>
      <c r="C1374" t="b">
        <v>1</v>
      </c>
      <c r="D1374">
        <v>1</v>
      </c>
      <c r="E1374" t="s">
        <v>3264</v>
      </c>
      <c r="F1374">
        <v>52</v>
      </c>
      <c r="G1374">
        <v>12</v>
      </c>
    </row>
    <row r="1375" spans="1:7">
      <c r="A1375">
        <f t="shared" si="1"/>
        <v>72110</v>
      </c>
      <c r="B1375" s="15">
        <v>7211</v>
      </c>
      <c r="C1375" t="b">
        <v>1</v>
      </c>
      <c r="D1375">
        <v>1</v>
      </c>
      <c r="E1375" t="s">
        <v>3264</v>
      </c>
      <c r="F1375">
        <v>52</v>
      </c>
      <c r="G1375">
        <v>12</v>
      </c>
    </row>
    <row r="1376" spans="1:7">
      <c r="A1376">
        <f t="shared" si="1"/>
        <v>72120</v>
      </c>
      <c r="B1376" s="15">
        <v>7212</v>
      </c>
      <c r="C1376" t="b">
        <v>1</v>
      </c>
      <c r="D1376">
        <v>1</v>
      </c>
      <c r="E1376" t="s">
        <v>3264</v>
      </c>
      <c r="F1376">
        <v>52</v>
      </c>
      <c r="G1376">
        <v>12</v>
      </c>
    </row>
    <row r="1377" spans="1:7">
      <c r="A1377">
        <f t="shared" si="1"/>
        <v>72130</v>
      </c>
      <c r="B1377" s="129">
        <v>7213</v>
      </c>
      <c r="C1377" t="b">
        <v>1</v>
      </c>
      <c r="D1377">
        <v>1</v>
      </c>
      <c r="E1377" t="s">
        <v>3264</v>
      </c>
      <c r="F1377">
        <v>52</v>
      </c>
      <c r="G1377">
        <v>12</v>
      </c>
    </row>
    <row r="1378" spans="1:7">
      <c r="A1378">
        <f t="shared" si="1"/>
        <v>72210</v>
      </c>
      <c r="B1378" s="15">
        <v>7221</v>
      </c>
      <c r="C1378" t="b">
        <v>1</v>
      </c>
      <c r="D1378">
        <v>1</v>
      </c>
      <c r="E1378" t="s">
        <v>3264</v>
      </c>
      <c r="F1378">
        <v>52</v>
      </c>
      <c r="G1378">
        <v>12</v>
      </c>
    </row>
    <row r="1379" spans="1:7">
      <c r="A1379">
        <f t="shared" ref="A1379:A1442" si="2">B1379*10</f>
        <v>72220</v>
      </c>
      <c r="B1379" s="129">
        <v>7222</v>
      </c>
      <c r="C1379" t="b">
        <v>1</v>
      </c>
      <c r="D1379">
        <v>1</v>
      </c>
      <c r="E1379" t="s">
        <v>3264</v>
      </c>
      <c r="F1379">
        <v>52</v>
      </c>
      <c r="G1379">
        <v>12</v>
      </c>
    </row>
    <row r="1380" spans="1:7">
      <c r="A1380">
        <f t="shared" si="2"/>
        <v>72310</v>
      </c>
      <c r="B1380" s="15">
        <v>7231</v>
      </c>
      <c r="C1380" t="b">
        <v>1</v>
      </c>
      <c r="D1380">
        <v>1</v>
      </c>
      <c r="E1380" t="s">
        <v>3264</v>
      </c>
      <c r="F1380">
        <v>52</v>
      </c>
      <c r="G1380">
        <v>12</v>
      </c>
    </row>
    <row r="1381" spans="1:7">
      <c r="A1381">
        <f t="shared" si="2"/>
        <v>72320</v>
      </c>
      <c r="B1381" s="15">
        <v>7232</v>
      </c>
      <c r="C1381" t="b">
        <v>1</v>
      </c>
      <c r="D1381">
        <v>1</v>
      </c>
      <c r="E1381" t="s">
        <v>3264</v>
      </c>
      <c r="F1381">
        <v>52</v>
      </c>
      <c r="G1381">
        <v>12</v>
      </c>
    </row>
    <row r="1382" spans="1:7">
      <c r="A1382">
        <f t="shared" si="2"/>
        <v>72330</v>
      </c>
      <c r="B1382" s="15">
        <v>7233</v>
      </c>
      <c r="C1382" t="b">
        <v>1</v>
      </c>
      <c r="D1382">
        <v>1</v>
      </c>
      <c r="E1382" t="s">
        <v>3264</v>
      </c>
      <c r="F1382">
        <v>52</v>
      </c>
      <c r="G1382">
        <v>12</v>
      </c>
    </row>
    <row r="1383" spans="1:7">
      <c r="A1383">
        <f t="shared" si="2"/>
        <v>72410</v>
      </c>
      <c r="B1383" s="15">
        <v>7241</v>
      </c>
      <c r="C1383" t="b">
        <v>1</v>
      </c>
      <c r="D1383">
        <v>1</v>
      </c>
      <c r="E1383" t="s">
        <v>3264</v>
      </c>
      <c r="F1383">
        <v>52</v>
      </c>
      <c r="G1383">
        <v>12</v>
      </c>
    </row>
    <row r="1384" spans="1:7">
      <c r="A1384">
        <f t="shared" si="2"/>
        <v>72420</v>
      </c>
      <c r="B1384" s="15">
        <v>7242</v>
      </c>
      <c r="C1384" t="b">
        <v>1</v>
      </c>
      <c r="D1384">
        <v>1</v>
      </c>
      <c r="E1384" t="s">
        <v>3264</v>
      </c>
      <c r="F1384">
        <v>52</v>
      </c>
      <c r="G1384">
        <v>12</v>
      </c>
    </row>
    <row r="1385" spans="1:7">
      <c r="A1385">
        <f t="shared" si="2"/>
        <v>72430</v>
      </c>
      <c r="B1385" s="15">
        <v>7243</v>
      </c>
      <c r="C1385" t="b">
        <v>1</v>
      </c>
      <c r="D1385">
        <v>1</v>
      </c>
      <c r="E1385" t="s">
        <v>3264</v>
      </c>
      <c r="F1385">
        <v>52</v>
      </c>
      <c r="G1385">
        <v>12</v>
      </c>
    </row>
    <row r="1386" spans="1:7">
      <c r="A1386">
        <f t="shared" si="2"/>
        <v>72440</v>
      </c>
      <c r="B1386" s="129">
        <v>7244</v>
      </c>
      <c r="C1386" t="b">
        <v>1</v>
      </c>
      <c r="D1386">
        <v>1</v>
      </c>
      <c r="E1386" t="s">
        <v>3264</v>
      </c>
      <c r="F1386">
        <v>52</v>
      </c>
      <c r="G1386">
        <v>12</v>
      </c>
    </row>
    <row r="1387" spans="1:7">
      <c r="A1387">
        <f t="shared" si="2"/>
        <v>73010</v>
      </c>
      <c r="B1387" s="129">
        <v>7301</v>
      </c>
      <c r="C1387" t="b">
        <v>1</v>
      </c>
      <c r="D1387">
        <v>1</v>
      </c>
      <c r="E1387" t="s">
        <v>3264</v>
      </c>
      <c r="F1387">
        <v>52</v>
      </c>
      <c r="G1387">
        <v>12</v>
      </c>
    </row>
    <row r="1388" spans="1:7">
      <c r="A1388">
        <f t="shared" si="2"/>
        <v>73020</v>
      </c>
      <c r="B1388" s="15">
        <v>7302</v>
      </c>
      <c r="C1388" t="b">
        <v>1</v>
      </c>
      <c r="D1388">
        <v>1</v>
      </c>
      <c r="E1388" t="s">
        <v>3264</v>
      </c>
      <c r="F1388">
        <v>52</v>
      </c>
      <c r="G1388">
        <v>12</v>
      </c>
    </row>
    <row r="1389" spans="1:7">
      <c r="A1389">
        <f t="shared" si="2"/>
        <v>73030</v>
      </c>
      <c r="B1389" s="15">
        <v>7303</v>
      </c>
      <c r="C1389" t="b">
        <v>1</v>
      </c>
      <c r="D1389">
        <v>1</v>
      </c>
      <c r="E1389" t="s">
        <v>3264</v>
      </c>
      <c r="F1389">
        <v>52</v>
      </c>
      <c r="G1389">
        <v>12</v>
      </c>
    </row>
    <row r="1390" spans="1:7">
      <c r="A1390">
        <f t="shared" si="2"/>
        <v>73040</v>
      </c>
      <c r="B1390" s="15">
        <v>7304</v>
      </c>
      <c r="C1390" t="b">
        <v>1</v>
      </c>
      <c r="D1390">
        <v>1</v>
      </c>
      <c r="E1390" t="s">
        <v>3264</v>
      </c>
      <c r="F1390">
        <v>52</v>
      </c>
      <c r="G1390">
        <v>12</v>
      </c>
    </row>
    <row r="1391" spans="1:7">
      <c r="A1391">
        <f t="shared" si="2"/>
        <v>73050</v>
      </c>
      <c r="B1391" s="129">
        <v>7305</v>
      </c>
      <c r="C1391" t="b">
        <v>1</v>
      </c>
      <c r="D1391">
        <v>1</v>
      </c>
      <c r="E1391" t="s">
        <v>3264</v>
      </c>
      <c r="F1391">
        <v>52</v>
      </c>
      <c r="G1391">
        <v>12</v>
      </c>
    </row>
    <row r="1392" spans="1:7">
      <c r="A1392">
        <f t="shared" si="2"/>
        <v>73110</v>
      </c>
      <c r="B1392" s="15">
        <v>7311</v>
      </c>
      <c r="C1392" t="b">
        <v>1</v>
      </c>
      <c r="D1392">
        <v>1</v>
      </c>
      <c r="E1392" t="s">
        <v>3264</v>
      </c>
      <c r="F1392">
        <v>52</v>
      </c>
      <c r="G1392">
        <v>12</v>
      </c>
    </row>
    <row r="1393" spans="1:7">
      <c r="A1393">
        <f t="shared" si="2"/>
        <v>73120</v>
      </c>
      <c r="B1393" s="129">
        <v>7312</v>
      </c>
      <c r="C1393" t="b">
        <v>1</v>
      </c>
      <c r="D1393">
        <v>1</v>
      </c>
      <c r="E1393" t="s">
        <v>3264</v>
      </c>
      <c r="F1393">
        <v>52</v>
      </c>
      <c r="G1393">
        <v>12</v>
      </c>
    </row>
    <row r="1394" spans="1:7">
      <c r="A1394">
        <f t="shared" si="2"/>
        <v>73210</v>
      </c>
      <c r="B1394" s="15">
        <v>7321</v>
      </c>
      <c r="C1394" t="b">
        <v>1</v>
      </c>
      <c r="D1394">
        <v>1</v>
      </c>
      <c r="E1394" t="s">
        <v>3264</v>
      </c>
      <c r="F1394">
        <v>52</v>
      </c>
      <c r="G1394">
        <v>12</v>
      </c>
    </row>
    <row r="1395" spans="1:7">
      <c r="A1395">
        <f t="shared" si="2"/>
        <v>73220</v>
      </c>
      <c r="B1395" s="15">
        <v>7322</v>
      </c>
      <c r="C1395" t="b">
        <v>1</v>
      </c>
      <c r="D1395">
        <v>1</v>
      </c>
      <c r="E1395" t="s">
        <v>3264</v>
      </c>
      <c r="F1395">
        <v>52</v>
      </c>
      <c r="G1395">
        <v>12</v>
      </c>
    </row>
    <row r="1396" spans="1:7">
      <c r="A1396">
        <f t="shared" si="2"/>
        <v>73230</v>
      </c>
      <c r="B1396" s="15">
        <v>7323</v>
      </c>
      <c r="C1396" t="b">
        <v>1</v>
      </c>
      <c r="D1396">
        <v>1</v>
      </c>
      <c r="E1396" t="s">
        <v>3264</v>
      </c>
      <c r="F1396">
        <v>52</v>
      </c>
      <c r="G1396">
        <v>12</v>
      </c>
    </row>
    <row r="1397" spans="1:7">
      <c r="A1397">
        <f t="shared" si="2"/>
        <v>73310</v>
      </c>
      <c r="B1397" s="15">
        <v>7331</v>
      </c>
      <c r="C1397" t="b">
        <v>1</v>
      </c>
      <c r="D1397">
        <v>1</v>
      </c>
      <c r="E1397" t="s">
        <v>3264</v>
      </c>
      <c r="F1397">
        <v>52</v>
      </c>
      <c r="G1397">
        <v>12</v>
      </c>
    </row>
    <row r="1398" spans="1:7">
      <c r="A1398">
        <f t="shared" si="2"/>
        <v>73320</v>
      </c>
      <c r="B1398" s="15">
        <v>7332</v>
      </c>
      <c r="C1398" t="b">
        <v>1</v>
      </c>
      <c r="D1398">
        <v>1</v>
      </c>
      <c r="E1398" t="s">
        <v>3264</v>
      </c>
      <c r="F1398">
        <v>52</v>
      </c>
      <c r="G1398">
        <v>12</v>
      </c>
    </row>
    <row r="1399" spans="1:7">
      <c r="A1399">
        <f t="shared" si="2"/>
        <v>73330</v>
      </c>
      <c r="B1399" s="15">
        <v>7333</v>
      </c>
      <c r="C1399" t="b">
        <v>1</v>
      </c>
      <c r="D1399">
        <v>1</v>
      </c>
      <c r="E1399" t="s">
        <v>3264</v>
      </c>
      <c r="F1399">
        <v>52</v>
      </c>
      <c r="G1399">
        <v>12</v>
      </c>
    </row>
    <row r="1400" spans="1:7">
      <c r="A1400">
        <f t="shared" si="2"/>
        <v>73340</v>
      </c>
      <c r="B1400" s="129">
        <v>7334</v>
      </c>
      <c r="C1400" t="b">
        <v>1</v>
      </c>
      <c r="D1400">
        <v>1</v>
      </c>
      <c r="E1400" t="s">
        <v>3264</v>
      </c>
      <c r="F1400">
        <v>52</v>
      </c>
      <c r="G1400">
        <v>12</v>
      </c>
    </row>
    <row r="1401" spans="1:7">
      <c r="A1401">
        <f t="shared" si="2"/>
        <v>73410</v>
      </c>
      <c r="B1401" s="15">
        <v>7341</v>
      </c>
      <c r="C1401" t="b">
        <v>1</v>
      </c>
      <c r="D1401">
        <v>1</v>
      </c>
      <c r="E1401" t="s">
        <v>3264</v>
      </c>
      <c r="F1401">
        <v>52</v>
      </c>
      <c r="G1401">
        <v>12</v>
      </c>
    </row>
    <row r="1402" spans="1:7">
      <c r="A1402">
        <f t="shared" si="2"/>
        <v>73420</v>
      </c>
      <c r="B1402" s="15">
        <v>7342</v>
      </c>
      <c r="C1402" t="b">
        <v>1</v>
      </c>
      <c r="D1402">
        <v>1</v>
      </c>
      <c r="E1402" t="s">
        <v>3264</v>
      </c>
      <c r="F1402">
        <v>52</v>
      </c>
      <c r="G1402">
        <v>12</v>
      </c>
    </row>
    <row r="1403" spans="1:7">
      <c r="A1403">
        <f t="shared" si="2"/>
        <v>73430</v>
      </c>
      <c r="B1403" s="129">
        <v>7343</v>
      </c>
      <c r="C1403" t="b">
        <v>1</v>
      </c>
      <c r="D1403">
        <v>1</v>
      </c>
      <c r="E1403" t="s">
        <v>3264</v>
      </c>
      <c r="F1403">
        <v>52</v>
      </c>
      <c r="G1403">
        <v>12</v>
      </c>
    </row>
    <row r="1404" spans="1:7">
      <c r="A1404">
        <f t="shared" si="2"/>
        <v>73510</v>
      </c>
      <c r="B1404" s="15">
        <v>7351</v>
      </c>
      <c r="C1404" t="b">
        <v>1</v>
      </c>
      <c r="D1404">
        <v>1</v>
      </c>
      <c r="E1404" t="s">
        <v>3264</v>
      </c>
      <c r="F1404">
        <v>52</v>
      </c>
      <c r="G1404">
        <v>12</v>
      </c>
    </row>
    <row r="1405" spans="1:7">
      <c r="A1405">
        <f t="shared" si="2"/>
        <v>73520</v>
      </c>
      <c r="B1405" s="15">
        <v>7352</v>
      </c>
      <c r="C1405" t="b">
        <v>1</v>
      </c>
      <c r="D1405">
        <v>1</v>
      </c>
      <c r="E1405" t="s">
        <v>3264</v>
      </c>
      <c r="F1405">
        <v>52</v>
      </c>
      <c r="G1405">
        <v>12</v>
      </c>
    </row>
    <row r="1406" spans="1:7">
      <c r="A1406">
        <f t="shared" si="2"/>
        <v>73530</v>
      </c>
      <c r="B1406" s="15">
        <v>7353</v>
      </c>
      <c r="C1406" t="b">
        <v>1</v>
      </c>
      <c r="D1406">
        <v>1</v>
      </c>
      <c r="E1406" t="s">
        <v>3264</v>
      </c>
      <c r="F1406">
        <v>52</v>
      </c>
      <c r="G1406">
        <v>12</v>
      </c>
    </row>
    <row r="1407" spans="1:7">
      <c r="A1407">
        <f t="shared" si="2"/>
        <v>73540</v>
      </c>
      <c r="B1407" s="129">
        <v>7354</v>
      </c>
      <c r="C1407" t="b">
        <v>1</v>
      </c>
      <c r="D1407">
        <v>1</v>
      </c>
      <c r="E1407" t="s">
        <v>3264</v>
      </c>
      <c r="F1407">
        <v>52</v>
      </c>
      <c r="G1407">
        <v>12</v>
      </c>
    </row>
    <row r="1408" spans="1:7">
      <c r="A1408">
        <f t="shared" si="2"/>
        <v>73610</v>
      </c>
      <c r="B1408" s="129">
        <v>7361</v>
      </c>
      <c r="C1408" t="b">
        <v>1</v>
      </c>
      <c r="D1408">
        <v>1</v>
      </c>
      <c r="E1408" t="s">
        <v>3264</v>
      </c>
      <c r="F1408">
        <v>52</v>
      </c>
      <c r="G1408">
        <v>12</v>
      </c>
    </row>
    <row r="1409" spans="1:7">
      <c r="A1409">
        <f t="shared" si="2"/>
        <v>73620</v>
      </c>
      <c r="B1409" s="129">
        <v>7362</v>
      </c>
      <c r="C1409" t="b">
        <v>1</v>
      </c>
      <c r="D1409">
        <v>1</v>
      </c>
      <c r="E1409" t="s">
        <v>3264</v>
      </c>
      <c r="F1409">
        <v>52</v>
      </c>
      <c r="G1409">
        <v>12</v>
      </c>
    </row>
    <row r="1410" spans="1:7">
      <c r="A1410">
        <f t="shared" si="2"/>
        <v>74010</v>
      </c>
      <c r="B1410" s="129">
        <v>7401</v>
      </c>
      <c r="C1410" t="b">
        <v>1</v>
      </c>
      <c r="D1410">
        <v>1</v>
      </c>
      <c r="E1410" t="s">
        <v>3264</v>
      </c>
      <c r="F1410">
        <v>52</v>
      </c>
      <c r="G1410">
        <v>12</v>
      </c>
    </row>
    <row r="1411" spans="1:7">
      <c r="A1411">
        <f t="shared" si="2"/>
        <v>74020</v>
      </c>
      <c r="B1411" s="15">
        <v>7402</v>
      </c>
      <c r="C1411" t="b">
        <v>1</v>
      </c>
      <c r="D1411">
        <v>1</v>
      </c>
      <c r="E1411" t="s">
        <v>3264</v>
      </c>
      <c r="F1411">
        <v>52</v>
      </c>
      <c r="G1411">
        <v>12</v>
      </c>
    </row>
    <row r="1412" spans="1:7">
      <c r="A1412">
        <f t="shared" si="2"/>
        <v>74030</v>
      </c>
      <c r="B1412" s="15">
        <v>7403</v>
      </c>
      <c r="C1412" t="b">
        <v>1</v>
      </c>
      <c r="D1412">
        <v>1</v>
      </c>
      <c r="E1412" t="s">
        <v>3264</v>
      </c>
      <c r="F1412">
        <v>52</v>
      </c>
      <c r="G1412">
        <v>12</v>
      </c>
    </row>
    <row r="1413" spans="1:7">
      <c r="A1413">
        <f t="shared" si="2"/>
        <v>74040</v>
      </c>
      <c r="B1413" s="15">
        <v>7404</v>
      </c>
      <c r="C1413" t="b">
        <v>1</v>
      </c>
      <c r="D1413">
        <v>1</v>
      </c>
      <c r="E1413" t="s">
        <v>3264</v>
      </c>
      <c r="F1413">
        <v>52</v>
      </c>
      <c r="G1413">
        <v>12</v>
      </c>
    </row>
    <row r="1414" spans="1:7">
      <c r="A1414">
        <f t="shared" si="2"/>
        <v>74050</v>
      </c>
      <c r="B1414" s="129">
        <v>7405</v>
      </c>
      <c r="C1414" t="b">
        <v>1</v>
      </c>
      <c r="D1414">
        <v>1</v>
      </c>
      <c r="E1414" t="s">
        <v>3264</v>
      </c>
      <c r="F1414">
        <v>52</v>
      </c>
      <c r="G1414">
        <v>12</v>
      </c>
    </row>
    <row r="1415" spans="1:7">
      <c r="A1415">
        <f t="shared" si="2"/>
        <v>74110</v>
      </c>
      <c r="B1415" s="15">
        <v>7411</v>
      </c>
      <c r="C1415" t="b">
        <v>1</v>
      </c>
      <c r="D1415">
        <v>1</v>
      </c>
      <c r="E1415" t="s">
        <v>3264</v>
      </c>
      <c r="F1415">
        <v>52</v>
      </c>
      <c r="G1415">
        <v>12</v>
      </c>
    </row>
    <row r="1416" spans="1:7">
      <c r="A1416">
        <f t="shared" si="2"/>
        <v>74120</v>
      </c>
      <c r="B1416" s="129">
        <v>7412</v>
      </c>
      <c r="C1416" t="b">
        <v>1</v>
      </c>
      <c r="D1416">
        <v>1</v>
      </c>
      <c r="E1416" t="s">
        <v>3264</v>
      </c>
      <c r="F1416">
        <v>52</v>
      </c>
      <c r="G1416">
        <v>12</v>
      </c>
    </row>
    <row r="1417" spans="1:7">
      <c r="A1417">
        <f t="shared" si="2"/>
        <v>74210</v>
      </c>
      <c r="B1417" s="15">
        <v>7421</v>
      </c>
      <c r="C1417" t="b">
        <v>1</v>
      </c>
      <c r="D1417">
        <v>1</v>
      </c>
      <c r="E1417" t="s">
        <v>3264</v>
      </c>
      <c r="F1417">
        <v>52</v>
      </c>
      <c r="G1417">
        <v>12</v>
      </c>
    </row>
    <row r="1418" spans="1:7">
      <c r="A1418">
        <f t="shared" si="2"/>
        <v>74220</v>
      </c>
      <c r="B1418" s="15">
        <v>7422</v>
      </c>
      <c r="C1418" t="b">
        <v>1</v>
      </c>
      <c r="D1418">
        <v>1</v>
      </c>
      <c r="E1418" t="s">
        <v>3264</v>
      </c>
      <c r="F1418">
        <v>52</v>
      </c>
      <c r="G1418">
        <v>12</v>
      </c>
    </row>
    <row r="1419" spans="1:7">
      <c r="A1419">
        <f t="shared" si="2"/>
        <v>74230</v>
      </c>
      <c r="B1419" s="15">
        <v>7423</v>
      </c>
      <c r="C1419" t="b">
        <v>1</v>
      </c>
      <c r="D1419">
        <v>1</v>
      </c>
      <c r="E1419" t="s">
        <v>3264</v>
      </c>
      <c r="F1419">
        <v>52</v>
      </c>
      <c r="G1419">
        <v>12</v>
      </c>
    </row>
    <row r="1420" spans="1:7">
      <c r="A1420">
        <f t="shared" si="2"/>
        <v>74310</v>
      </c>
      <c r="B1420" s="15">
        <v>7431</v>
      </c>
      <c r="C1420" t="b">
        <v>1</v>
      </c>
      <c r="D1420">
        <v>1</v>
      </c>
      <c r="E1420" t="s">
        <v>3264</v>
      </c>
      <c r="F1420">
        <v>52</v>
      </c>
      <c r="G1420">
        <v>12</v>
      </c>
    </row>
    <row r="1421" spans="1:7">
      <c r="A1421">
        <f t="shared" si="2"/>
        <v>74320</v>
      </c>
      <c r="B1421" s="15">
        <v>7432</v>
      </c>
      <c r="C1421" t="b">
        <v>1</v>
      </c>
      <c r="D1421">
        <v>1</v>
      </c>
      <c r="E1421" t="s">
        <v>3264</v>
      </c>
      <c r="F1421">
        <v>52</v>
      </c>
      <c r="G1421">
        <v>12</v>
      </c>
    </row>
    <row r="1422" spans="1:7">
      <c r="A1422">
        <f t="shared" si="2"/>
        <v>74330</v>
      </c>
      <c r="B1422" s="129">
        <v>7433</v>
      </c>
      <c r="C1422" t="b">
        <v>1</v>
      </c>
      <c r="D1422">
        <v>1</v>
      </c>
      <c r="E1422" t="s">
        <v>3264</v>
      </c>
      <c r="F1422">
        <v>52</v>
      </c>
      <c r="G1422">
        <v>12</v>
      </c>
    </row>
    <row r="1423" spans="1:7">
      <c r="A1423">
        <f t="shared" si="2"/>
        <v>74410</v>
      </c>
      <c r="B1423" s="15">
        <v>7441</v>
      </c>
      <c r="C1423" t="b">
        <v>1</v>
      </c>
      <c r="D1423">
        <v>1</v>
      </c>
      <c r="E1423" t="s">
        <v>3264</v>
      </c>
      <c r="F1423">
        <v>52</v>
      </c>
      <c r="G1423">
        <v>12</v>
      </c>
    </row>
    <row r="1424" spans="1:7">
      <c r="A1424">
        <f t="shared" si="2"/>
        <v>74420</v>
      </c>
      <c r="B1424" s="15">
        <v>7442</v>
      </c>
      <c r="C1424" t="b">
        <v>1</v>
      </c>
      <c r="D1424">
        <v>1</v>
      </c>
      <c r="E1424" t="s">
        <v>3264</v>
      </c>
      <c r="F1424">
        <v>52</v>
      </c>
      <c r="G1424">
        <v>12</v>
      </c>
    </row>
    <row r="1425" spans="1:7">
      <c r="A1425">
        <f t="shared" si="2"/>
        <v>74430</v>
      </c>
      <c r="B1425" s="15">
        <v>7443</v>
      </c>
      <c r="C1425" t="b">
        <v>1</v>
      </c>
      <c r="D1425">
        <v>1</v>
      </c>
      <c r="E1425" t="s">
        <v>3264</v>
      </c>
      <c r="F1425">
        <v>52</v>
      </c>
      <c r="G1425">
        <v>12</v>
      </c>
    </row>
    <row r="1426" spans="1:7">
      <c r="A1426">
        <f t="shared" si="2"/>
        <v>74440</v>
      </c>
      <c r="B1426" s="129">
        <v>7444</v>
      </c>
      <c r="C1426" t="b">
        <v>1</v>
      </c>
      <c r="D1426">
        <v>1</v>
      </c>
      <c r="E1426" t="s">
        <v>3264</v>
      </c>
      <c r="F1426">
        <v>52</v>
      </c>
      <c r="G1426">
        <v>12</v>
      </c>
    </row>
    <row r="1427" spans="1:7">
      <c r="A1427">
        <f t="shared" si="2"/>
        <v>74710</v>
      </c>
      <c r="B1427" s="15">
        <v>7471</v>
      </c>
      <c r="C1427" t="b">
        <v>1</v>
      </c>
      <c r="D1427">
        <v>1</v>
      </c>
      <c r="E1427" t="s">
        <v>3264</v>
      </c>
      <c r="F1427">
        <v>52</v>
      </c>
      <c r="G1427">
        <v>12</v>
      </c>
    </row>
    <row r="1428" spans="1:7">
      <c r="A1428">
        <f t="shared" si="2"/>
        <v>74720</v>
      </c>
      <c r="B1428" s="15">
        <v>7472</v>
      </c>
      <c r="C1428" t="b">
        <v>1</v>
      </c>
      <c r="D1428">
        <v>1</v>
      </c>
      <c r="E1428" t="s">
        <v>3264</v>
      </c>
      <c r="F1428">
        <v>52</v>
      </c>
      <c r="G1428">
        <v>12</v>
      </c>
    </row>
    <row r="1429" spans="1:7">
      <c r="A1429">
        <f t="shared" si="2"/>
        <v>74730</v>
      </c>
      <c r="B1429" s="15">
        <v>7473</v>
      </c>
      <c r="C1429" t="b">
        <v>1</v>
      </c>
      <c r="D1429">
        <v>1</v>
      </c>
      <c r="E1429" t="s">
        <v>3264</v>
      </c>
      <c r="F1429">
        <v>52</v>
      </c>
      <c r="G1429">
        <v>12</v>
      </c>
    </row>
    <row r="1430" spans="1:7">
      <c r="A1430">
        <f t="shared" si="2"/>
        <v>74810</v>
      </c>
      <c r="B1430" s="15">
        <v>7481</v>
      </c>
      <c r="C1430" t="b">
        <v>1</v>
      </c>
      <c r="D1430">
        <v>1</v>
      </c>
      <c r="E1430" t="s">
        <v>3264</v>
      </c>
      <c r="F1430">
        <v>52</v>
      </c>
      <c r="G1430">
        <v>12</v>
      </c>
    </row>
    <row r="1431" spans="1:7">
      <c r="A1431">
        <f t="shared" si="2"/>
        <v>74820</v>
      </c>
      <c r="B1431" s="15">
        <v>7482</v>
      </c>
      <c r="C1431" t="b">
        <v>1</v>
      </c>
      <c r="D1431">
        <v>1</v>
      </c>
      <c r="E1431" t="s">
        <v>3264</v>
      </c>
      <c r="F1431">
        <v>52</v>
      </c>
      <c r="G1431">
        <v>12</v>
      </c>
    </row>
    <row r="1432" spans="1:7">
      <c r="A1432">
        <f t="shared" si="2"/>
        <v>75010</v>
      </c>
      <c r="B1432" s="15">
        <v>7501</v>
      </c>
      <c r="C1432" t="b">
        <v>1</v>
      </c>
      <c r="D1432">
        <v>1</v>
      </c>
      <c r="E1432" t="s">
        <v>3264</v>
      </c>
      <c r="F1432">
        <v>52</v>
      </c>
      <c r="G1432">
        <v>12</v>
      </c>
    </row>
    <row r="1433" spans="1:7">
      <c r="A1433">
        <f t="shared" si="2"/>
        <v>75020</v>
      </c>
      <c r="B1433" s="15">
        <v>7502</v>
      </c>
      <c r="C1433" t="b">
        <v>1</v>
      </c>
      <c r="D1433">
        <v>1</v>
      </c>
      <c r="E1433" t="s">
        <v>3264</v>
      </c>
      <c r="F1433">
        <v>52</v>
      </c>
      <c r="G1433">
        <v>12</v>
      </c>
    </row>
    <row r="1434" spans="1:7">
      <c r="A1434">
        <f t="shared" si="2"/>
        <v>75030</v>
      </c>
      <c r="B1434" s="15">
        <v>7503</v>
      </c>
      <c r="C1434" t="b">
        <v>1</v>
      </c>
      <c r="D1434">
        <v>1</v>
      </c>
      <c r="E1434" t="s">
        <v>3264</v>
      </c>
      <c r="F1434">
        <v>52</v>
      </c>
      <c r="G1434">
        <v>12</v>
      </c>
    </row>
    <row r="1435" spans="1:7">
      <c r="A1435">
        <f t="shared" si="2"/>
        <v>75040</v>
      </c>
      <c r="B1435" s="15">
        <v>7504</v>
      </c>
      <c r="C1435" t="b">
        <v>1</v>
      </c>
      <c r="D1435">
        <v>1</v>
      </c>
      <c r="E1435" t="s">
        <v>3264</v>
      </c>
      <c r="F1435">
        <v>52</v>
      </c>
      <c r="G1435">
        <v>12</v>
      </c>
    </row>
    <row r="1436" spans="1:7">
      <c r="A1436">
        <f t="shared" si="2"/>
        <v>75050</v>
      </c>
      <c r="B1436" s="15">
        <v>7505</v>
      </c>
      <c r="C1436" t="b">
        <v>1</v>
      </c>
      <c r="D1436">
        <v>1</v>
      </c>
      <c r="E1436" t="s">
        <v>3264</v>
      </c>
      <c r="F1436">
        <v>52</v>
      </c>
      <c r="G1436">
        <v>12</v>
      </c>
    </row>
    <row r="1437" spans="1:7">
      <c r="A1437">
        <f t="shared" si="2"/>
        <v>75110</v>
      </c>
      <c r="B1437" s="15">
        <v>7511</v>
      </c>
      <c r="C1437" t="b">
        <v>1</v>
      </c>
      <c r="D1437">
        <v>1</v>
      </c>
      <c r="E1437" t="s">
        <v>3264</v>
      </c>
      <c r="F1437">
        <v>52</v>
      </c>
      <c r="G1437">
        <v>12</v>
      </c>
    </row>
    <row r="1438" spans="1:7">
      <c r="A1438">
        <f t="shared" si="2"/>
        <v>75120</v>
      </c>
      <c r="B1438" s="129">
        <v>7512</v>
      </c>
      <c r="C1438" t="b">
        <v>1</v>
      </c>
      <c r="D1438">
        <v>1</v>
      </c>
      <c r="E1438" t="s">
        <v>3264</v>
      </c>
      <c r="F1438">
        <v>52</v>
      </c>
      <c r="G1438">
        <v>12</v>
      </c>
    </row>
    <row r="1439" spans="1:7">
      <c r="A1439">
        <f t="shared" si="2"/>
        <v>80010</v>
      </c>
      <c r="B1439" s="15">
        <v>8001</v>
      </c>
      <c r="C1439" t="b">
        <v>1</v>
      </c>
      <c r="D1439">
        <v>1</v>
      </c>
      <c r="E1439" t="s">
        <v>3264</v>
      </c>
      <c r="F1439">
        <v>52</v>
      </c>
      <c r="G1439">
        <v>11</v>
      </c>
    </row>
    <row r="1440" spans="1:7">
      <c r="A1440">
        <f t="shared" si="2"/>
        <v>80020</v>
      </c>
      <c r="B1440" s="15">
        <v>8002</v>
      </c>
      <c r="C1440" t="b">
        <v>1</v>
      </c>
      <c r="D1440">
        <v>1</v>
      </c>
      <c r="E1440" t="s">
        <v>3264</v>
      </c>
      <c r="F1440">
        <v>52</v>
      </c>
      <c r="G1440">
        <v>11</v>
      </c>
    </row>
    <row r="1441" spans="1:7">
      <c r="A1441">
        <f t="shared" si="2"/>
        <v>80030</v>
      </c>
      <c r="B1441" s="15">
        <v>8003</v>
      </c>
      <c r="C1441" t="b">
        <v>1</v>
      </c>
      <c r="D1441">
        <v>1</v>
      </c>
      <c r="E1441" t="s">
        <v>3264</v>
      </c>
      <c r="F1441">
        <v>52</v>
      </c>
      <c r="G1441">
        <v>11</v>
      </c>
    </row>
    <row r="1442" spans="1:7">
      <c r="A1442">
        <f t="shared" si="2"/>
        <v>80040</v>
      </c>
      <c r="B1442" s="15">
        <v>8004</v>
      </c>
      <c r="C1442" t="b">
        <v>1</v>
      </c>
      <c r="D1442">
        <v>1</v>
      </c>
      <c r="E1442" t="s">
        <v>3264</v>
      </c>
      <c r="F1442">
        <v>52</v>
      </c>
      <c r="G1442">
        <v>11</v>
      </c>
    </row>
    <row r="1443" spans="1:7">
      <c r="A1443">
        <f t="shared" ref="A1443:A1506" si="3">B1443*10</f>
        <v>80050</v>
      </c>
      <c r="B1443" s="15">
        <v>8005</v>
      </c>
      <c r="C1443" t="b">
        <v>1</v>
      </c>
      <c r="D1443">
        <v>1</v>
      </c>
      <c r="E1443" t="s">
        <v>3264</v>
      </c>
      <c r="F1443">
        <v>52</v>
      </c>
      <c r="G1443">
        <v>11</v>
      </c>
    </row>
    <row r="1444" spans="1:7">
      <c r="A1444">
        <f t="shared" si="3"/>
        <v>80060</v>
      </c>
      <c r="B1444" s="15">
        <v>8006</v>
      </c>
      <c r="C1444" t="b">
        <v>1</v>
      </c>
      <c r="D1444">
        <v>1</v>
      </c>
      <c r="E1444" t="s">
        <v>3264</v>
      </c>
      <c r="F1444">
        <v>52</v>
      </c>
      <c r="G1444">
        <v>11</v>
      </c>
    </row>
    <row r="1445" spans="1:7">
      <c r="A1445">
        <f t="shared" si="3"/>
        <v>80070</v>
      </c>
      <c r="B1445" s="15">
        <v>8007</v>
      </c>
      <c r="C1445" t="b">
        <v>1</v>
      </c>
      <c r="D1445">
        <v>1</v>
      </c>
      <c r="E1445" t="s">
        <v>3264</v>
      </c>
      <c r="F1445">
        <v>52</v>
      </c>
      <c r="G1445">
        <v>11</v>
      </c>
    </row>
    <row r="1446" spans="1:7">
      <c r="A1446">
        <f t="shared" si="3"/>
        <v>80080</v>
      </c>
      <c r="B1446" s="15">
        <v>8008</v>
      </c>
      <c r="C1446" t="b">
        <v>1</v>
      </c>
      <c r="D1446">
        <v>1</v>
      </c>
      <c r="E1446" t="s">
        <v>3264</v>
      </c>
      <c r="F1446">
        <v>52</v>
      </c>
      <c r="G1446">
        <v>11</v>
      </c>
    </row>
    <row r="1447" spans="1:7">
      <c r="A1447">
        <f t="shared" si="3"/>
        <v>80090</v>
      </c>
      <c r="B1447" s="15">
        <v>8009</v>
      </c>
      <c r="C1447" t="b">
        <v>1</v>
      </c>
      <c r="D1447">
        <v>1</v>
      </c>
      <c r="E1447" t="s">
        <v>3264</v>
      </c>
      <c r="F1447">
        <v>52</v>
      </c>
      <c r="G1447">
        <v>11</v>
      </c>
    </row>
    <row r="1448" spans="1:7">
      <c r="A1448">
        <f t="shared" si="3"/>
        <v>80100</v>
      </c>
      <c r="B1448" s="15">
        <v>8010</v>
      </c>
      <c r="C1448" t="b">
        <v>1</v>
      </c>
      <c r="D1448">
        <v>1</v>
      </c>
      <c r="E1448" t="s">
        <v>3264</v>
      </c>
      <c r="F1448">
        <v>52</v>
      </c>
      <c r="G1448">
        <v>11</v>
      </c>
    </row>
    <row r="1449" spans="1:7">
      <c r="A1449">
        <f t="shared" si="3"/>
        <v>80110</v>
      </c>
      <c r="B1449" s="15">
        <v>8011</v>
      </c>
      <c r="C1449" t="b">
        <v>1</v>
      </c>
      <c r="D1449">
        <v>1</v>
      </c>
      <c r="E1449" t="s">
        <v>3264</v>
      </c>
      <c r="F1449">
        <v>52</v>
      </c>
      <c r="G1449">
        <v>11</v>
      </c>
    </row>
    <row r="1450" spans="1:7">
      <c r="A1450">
        <f t="shared" si="3"/>
        <v>80120</v>
      </c>
      <c r="B1450" s="15">
        <v>8012</v>
      </c>
      <c r="C1450" t="b">
        <v>1</v>
      </c>
      <c r="D1450">
        <v>1</v>
      </c>
      <c r="E1450" t="s">
        <v>3264</v>
      </c>
      <c r="F1450">
        <v>52</v>
      </c>
      <c r="G1450">
        <v>11</v>
      </c>
    </row>
    <row r="1451" spans="1:7">
      <c r="A1451">
        <f t="shared" si="3"/>
        <v>80130</v>
      </c>
      <c r="B1451" s="15">
        <v>8013</v>
      </c>
      <c r="C1451" t="b">
        <v>1</v>
      </c>
      <c r="D1451">
        <v>1</v>
      </c>
      <c r="E1451" t="s">
        <v>3264</v>
      </c>
      <c r="F1451">
        <v>52</v>
      </c>
      <c r="G1451">
        <v>11</v>
      </c>
    </row>
    <row r="1452" spans="1:7">
      <c r="A1452">
        <f t="shared" si="3"/>
        <v>80140</v>
      </c>
      <c r="B1452" s="15">
        <v>8014</v>
      </c>
      <c r="C1452" t="b">
        <v>1</v>
      </c>
      <c r="D1452">
        <v>1</v>
      </c>
      <c r="E1452" t="s">
        <v>3264</v>
      </c>
      <c r="F1452">
        <v>52</v>
      </c>
      <c r="G1452">
        <v>11</v>
      </c>
    </row>
    <row r="1453" spans="1:7">
      <c r="A1453">
        <f t="shared" si="3"/>
        <v>80150</v>
      </c>
      <c r="B1453" s="15">
        <v>8015</v>
      </c>
      <c r="C1453" t="b">
        <v>1</v>
      </c>
      <c r="D1453">
        <v>1</v>
      </c>
      <c r="E1453" t="s">
        <v>3264</v>
      </c>
      <c r="F1453">
        <v>52</v>
      </c>
      <c r="G1453">
        <v>11</v>
      </c>
    </row>
    <row r="1454" spans="1:7">
      <c r="A1454">
        <f t="shared" si="3"/>
        <v>80160</v>
      </c>
      <c r="B1454" s="15">
        <v>8016</v>
      </c>
      <c r="C1454" t="b">
        <v>1</v>
      </c>
      <c r="D1454">
        <v>1</v>
      </c>
      <c r="E1454" t="s">
        <v>3264</v>
      </c>
      <c r="F1454">
        <v>52</v>
      </c>
      <c r="G1454">
        <v>11</v>
      </c>
    </row>
    <row r="1455" spans="1:7">
      <c r="A1455">
        <f t="shared" si="3"/>
        <v>80170</v>
      </c>
      <c r="B1455" s="15">
        <v>8017</v>
      </c>
      <c r="D1455">
        <v>1</v>
      </c>
      <c r="E1455" t="s">
        <v>3264</v>
      </c>
      <c r="F1455">
        <v>52</v>
      </c>
      <c r="G1455">
        <v>11</v>
      </c>
    </row>
    <row r="1456" spans="1:7">
      <c r="A1456">
        <f t="shared" si="3"/>
        <v>81010</v>
      </c>
      <c r="B1456" s="129">
        <v>8101</v>
      </c>
      <c r="C1456" t="b">
        <v>1</v>
      </c>
      <c r="D1456">
        <v>1</v>
      </c>
      <c r="E1456" t="s">
        <v>3264</v>
      </c>
      <c r="F1456">
        <v>52</v>
      </c>
      <c r="G1456">
        <v>11</v>
      </c>
    </row>
    <row r="1457" spans="1:7">
      <c r="A1457">
        <f t="shared" si="3"/>
        <v>81020</v>
      </c>
      <c r="B1457" s="129">
        <v>8102</v>
      </c>
      <c r="C1457" t="b">
        <v>1</v>
      </c>
      <c r="D1457">
        <v>1</v>
      </c>
      <c r="E1457" t="s">
        <v>3264</v>
      </c>
      <c r="F1457">
        <v>52</v>
      </c>
      <c r="G1457">
        <v>11</v>
      </c>
    </row>
    <row r="1458" spans="1:7">
      <c r="A1458">
        <f t="shared" si="3"/>
        <v>81030</v>
      </c>
      <c r="B1458" s="15">
        <v>8103</v>
      </c>
      <c r="C1458" t="b">
        <v>1</v>
      </c>
      <c r="D1458">
        <v>1</v>
      </c>
      <c r="E1458" t="s">
        <v>3264</v>
      </c>
      <c r="F1458">
        <v>52</v>
      </c>
      <c r="G1458">
        <v>11</v>
      </c>
    </row>
    <row r="1459" spans="1:7">
      <c r="A1459">
        <f t="shared" si="3"/>
        <v>81040</v>
      </c>
      <c r="B1459" s="15">
        <v>8104</v>
      </c>
      <c r="C1459" t="b">
        <v>1</v>
      </c>
      <c r="D1459">
        <v>1</v>
      </c>
      <c r="E1459" t="s">
        <v>3264</v>
      </c>
      <c r="F1459">
        <v>52</v>
      </c>
      <c r="G1459">
        <v>11</v>
      </c>
    </row>
    <row r="1460" spans="1:7">
      <c r="A1460">
        <f t="shared" si="3"/>
        <v>81050</v>
      </c>
      <c r="B1460" s="129">
        <v>8105</v>
      </c>
      <c r="C1460" t="b">
        <v>1</v>
      </c>
      <c r="D1460">
        <v>1</v>
      </c>
      <c r="E1460" t="s">
        <v>3264</v>
      </c>
      <c r="F1460">
        <v>52</v>
      </c>
      <c r="G1460">
        <v>11</v>
      </c>
    </row>
    <row r="1461" spans="1:7">
      <c r="A1461">
        <f t="shared" si="3"/>
        <v>81110</v>
      </c>
      <c r="B1461" s="129">
        <v>8111</v>
      </c>
      <c r="C1461" t="b">
        <v>1</v>
      </c>
      <c r="D1461">
        <v>1</v>
      </c>
      <c r="E1461" t="s">
        <v>3264</v>
      </c>
      <c r="F1461">
        <v>52</v>
      </c>
      <c r="G1461">
        <v>11</v>
      </c>
    </row>
    <row r="1462" spans="1:7">
      <c r="A1462">
        <f t="shared" si="3"/>
        <v>81120</v>
      </c>
      <c r="B1462" s="15">
        <v>8112</v>
      </c>
      <c r="C1462" t="b">
        <v>1</v>
      </c>
      <c r="D1462">
        <v>1</v>
      </c>
      <c r="E1462" t="s">
        <v>3264</v>
      </c>
      <c r="F1462">
        <v>52</v>
      </c>
      <c r="G1462">
        <v>11</v>
      </c>
    </row>
    <row r="1463" spans="1:7">
      <c r="A1463">
        <f t="shared" si="3"/>
        <v>81130</v>
      </c>
      <c r="B1463" s="15">
        <v>8113</v>
      </c>
      <c r="C1463" t="b">
        <v>1</v>
      </c>
      <c r="D1463">
        <v>1</v>
      </c>
      <c r="E1463" t="s">
        <v>3264</v>
      </c>
      <c r="F1463">
        <v>52</v>
      </c>
      <c r="G1463">
        <v>11</v>
      </c>
    </row>
    <row r="1464" spans="1:7">
      <c r="A1464">
        <f t="shared" si="3"/>
        <v>81140</v>
      </c>
      <c r="B1464" s="15">
        <v>8114</v>
      </c>
      <c r="C1464" t="b">
        <v>1</v>
      </c>
      <c r="D1464">
        <v>1</v>
      </c>
      <c r="E1464" t="s">
        <v>3264</v>
      </c>
      <c r="F1464">
        <v>52</v>
      </c>
      <c r="G1464">
        <v>11</v>
      </c>
    </row>
    <row r="1465" spans="1:7">
      <c r="A1465">
        <f t="shared" si="3"/>
        <v>81150</v>
      </c>
      <c r="B1465" s="15">
        <v>8115</v>
      </c>
      <c r="C1465" t="b">
        <v>1</v>
      </c>
      <c r="D1465">
        <v>1</v>
      </c>
      <c r="E1465" t="s">
        <v>3264</v>
      </c>
      <c r="F1465">
        <v>52</v>
      </c>
      <c r="G1465">
        <v>11</v>
      </c>
    </row>
    <row r="1466" spans="1:7">
      <c r="A1466">
        <f t="shared" si="3"/>
        <v>81160</v>
      </c>
      <c r="B1466" s="15">
        <v>8116</v>
      </c>
      <c r="C1466" t="b">
        <v>1</v>
      </c>
      <c r="D1466">
        <v>1</v>
      </c>
      <c r="E1466" t="s">
        <v>3264</v>
      </c>
      <c r="F1466">
        <v>52</v>
      </c>
      <c r="G1466">
        <v>11</v>
      </c>
    </row>
    <row r="1467" spans="1:7">
      <c r="A1467">
        <f t="shared" si="3"/>
        <v>81170</v>
      </c>
      <c r="B1467" s="15">
        <v>8117</v>
      </c>
      <c r="C1467" t="b">
        <v>1</v>
      </c>
      <c r="D1467">
        <v>1</v>
      </c>
      <c r="E1467" t="s">
        <v>3264</v>
      </c>
      <c r="F1467">
        <v>52</v>
      </c>
      <c r="G1467">
        <v>11</v>
      </c>
    </row>
    <row r="1468" spans="1:7">
      <c r="A1468">
        <f t="shared" si="3"/>
        <v>82010</v>
      </c>
      <c r="B1468" s="129">
        <v>8201</v>
      </c>
      <c r="C1468" t="b">
        <v>1</v>
      </c>
      <c r="D1468">
        <v>1</v>
      </c>
      <c r="E1468" t="s">
        <v>3264</v>
      </c>
      <c r="F1468">
        <v>52</v>
      </c>
      <c r="G1468">
        <v>11</v>
      </c>
    </row>
    <row r="1469" spans="1:7">
      <c r="A1469">
        <f t="shared" si="3"/>
        <v>82020</v>
      </c>
      <c r="B1469" s="15">
        <v>8202</v>
      </c>
      <c r="C1469" t="b">
        <v>1</v>
      </c>
      <c r="D1469">
        <v>1</v>
      </c>
      <c r="E1469" t="s">
        <v>3264</v>
      </c>
      <c r="F1469">
        <v>52</v>
      </c>
      <c r="G1469">
        <v>11</v>
      </c>
    </row>
    <row r="1470" spans="1:7">
      <c r="A1470">
        <f t="shared" si="3"/>
        <v>82030</v>
      </c>
      <c r="B1470" s="15">
        <v>8203</v>
      </c>
      <c r="C1470" t="b">
        <v>1</v>
      </c>
      <c r="D1470">
        <v>1</v>
      </c>
      <c r="E1470" t="s">
        <v>3264</v>
      </c>
      <c r="F1470">
        <v>52</v>
      </c>
      <c r="G1470">
        <v>11</v>
      </c>
    </row>
    <row r="1471" spans="1:7">
      <c r="A1471">
        <f t="shared" si="3"/>
        <v>82040</v>
      </c>
      <c r="B1471" s="15">
        <v>8204</v>
      </c>
      <c r="C1471" t="b">
        <v>1</v>
      </c>
      <c r="D1471">
        <v>1</v>
      </c>
      <c r="E1471" t="s">
        <v>3264</v>
      </c>
      <c r="F1471">
        <v>52</v>
      </c>
      <c r="G1471">
        <v>11</v>
      </c>
    </row>
    <row r="1472" spans="1:7">
      <c r="A1472">
        <f t="shared" si="3"/>
        <v>82050</v>
      </c>
      <c r="B1472" s="129">
        <v>8205</v>
      </c>
      <c r="C1472" t="b">
        <v>1</v>
      </c>
      <c r="D1472">
        <v>1</v>
      </c>
      <c r="E1472" t="s">
        <v>3264</v>
      </c>
      <c r="F1472">
        <v>52</v>
      </c>
      <c r="G1472">
        <v>11</v>
      </c>
    </row>
    <row r="1473" spans="1:7">
      <c r="A1473">
        <f t="shared" si="3"/>
        <v>82110</v>
      </c>
      <c r="B1473" s="129">
        <v>8211</v>
      </c>
      <c r="C1473" t="b">
        <v>1</v>
      </c>
      <c r="D1473">
        <v>1</v>
      </c>
      <c r="E1473" t="s">
        <v>3264</v>
      </c>
      <c r="F1473">
        <v>52</v>
      </c>
      <c r="G1473">
        <v>11</v>
      </c>
    </row>
    <row r="1474" spans="1:7">
      <c r="A1474">
        <f t="shared" si="3"/>
        <v>82120</v>
      </c>
      <c r="B1474" s="15">
        <v>8212</v>
      </c>
      <c r="C1474" t="b">
        <v>1</v>
      </c>
      <c r="D1474">
        <v>1</v>
      </c>
      <c r="E1474" t="s">
        <v>3264</v>
      </c>
      <c r="F1474">
        <v>52</v>
      </c>
      <c r="G1474">
        <v>11</v>
      </c>
    </row>
    <row r="1475" spans="1:7">
      <c r="A1475">
        <f t="shared" si="3"/>
        <v>82130</v>
      </c>
      <c r="B1475" s="15">
        <v>8213</v>
      </c>
      <c r="C1475" t="b">
        <v>1</v>
      </c>
      <c r="D1475">
        <v>1</v>
      </c>
      <c r="E1475" t="s">
        <v>3264</v>
      </c>
      <c r="F1475">
        <v>52</v>
      </c>
      <c r="G1475">
        <v>11</v>
      </c>
    </row>
    <row r="1476" spans="1:7">
      <c r="A1476">
        <f t="shared" si="3"/>
        <v>82210</v>
      </c>
      <c r="B1476" s="129">
        <v>8221</v>
      </c>
      <c r="C1476" t="b">
        <v>1</v>
      </c>
      <c r="D1476">
        <v>1</v>
      </c>
      <c r="E1476" t="s">
        <v>3264</v>
      </c>
      <c r="F1476">
        <v>52</v>
      </c>
      <c r="G1476">
        <v>11</v>
      </c>
    </row>
    <row r="1477" spans="1:7">
      <c r="A1477">
        <f t="shared" si="3"/>
        <v>82220</v>
      </c>
      <c r="B1477" s="15">
        <v>8222</v>
      </c>
      <c r="C1477" t="b">
        <v>1</v>
      </c>
      <c r="D1477">
        <v>1</v>
      </c>
      <c r="E1477" t="s">
        <v>3264</v>
      </c>
      <c r="F1477">
        <v>52</v>
      </c>
      <c r="G1477">
        <v>11</v>
      </c>
    </row>
    <row r="1478" spans="1:7">
      <c r="A1478">
        <f t="shared" si="3"/>
        <v>82310</v>
      </c>
      <c r="B1478" s="15">
        <v>8231</v>
      </c>
      <c r="C1478" t="b">
        <v>1</v>
      </c>
      <c r="D1478">
        <v>1</v>
      </c>
      <c r="E1478" t="s">
        <v>3264</v>
      </c>
      <c r="F1478">
        <v>52</v>
      </c>
      <c r="G1478">
        <v>11</v>
      </c>
    </row>
    <row r="1479" spans="1:7">
      <c r="A1479">
        <f t="shared" si="3"/>
        <v>82320</v>
      </c>
      <c r="B1479" s="15">
        <v>8232</v>
      </c>
      <c r="C1479" t="b">
        <v>1</v>
      </c>
      <c r="D1479">
        <v>1</v>
      </c>
      <c r="E1479" t="s">
        <v>3264</v>
      </c>
      <c r="F1479">
        <v>52</v>
      </c>
      <c r="G1479">
        <v>11</v>
      </c>
    </row>
    <row r="1480" spans="1:7">
      <c r="A1480">
        <f t="shared" si="3"/>
        <v>82330</v>
      </c>
      <c r="B1480" s="15">
        <v>8233</v>
      </c>
      <c r="C1480" t="b">
        <v>1</v>
      </c>
      <c r="D1480">
        <v>1</v>
      </c>
      <c r="E1480" t="s">
        <v>3264</v>
      </c>
      <c r="F1480">
        <v>52</v>
      </c>
      <c r="G1480">
        <v>11</v>
      </c>
    </row>
    <row r="1481" spans="1:7">
      <c r="A1481">
        <f t="shared" si="3"/>
        <v>82410</v>
      </c>
      <c r="B1481" s="15">
        <v>8241</v>
      </c>
      <c r="C1481" t="b">
        <v>1</v>
      </c>
      <c r="D1481">
        <v>1</v>
      </c>
      <c r="E1481" t="s">
        <v>3264</v>
      </c>
      <c r="F1481">
        <v>52</v>
      </c>
      <c r="G1481">
        <v>11</v>
      </c>
    </row>
    <row r="1482" spans="1:7">
      <c r="A1482">
        <f t="shared" si="3"/>
        <v>82420</v>
      </c>
      <c r="B1482" s="129">
        <v>8242</v>
      </c>
      <c r="C1482" t="b">
        <v>1</v>
      </c>
      <c r="D1482">
        <v>1</v>
      </c>
      <c r="E1482" t="s">
        <v>3264</v>
      </c>
      <c r="F1482">
        <v>52</v>
      </c>
      <c r="G1482">
        <v>11</v>
      </c>
    </row>
    <row r="1483" spans="1:7">
      <c r="A1483">
        <f t="shared" si="3"/>
        <v>83010</v>
      </c>
      <c r="B1483" s="129">
        <v>8301</v>
      </c>
      <c r="C1483" t="b">
        <v>1</v>
      </c>
      <c r="D1483">
        <v>1</v>
      </c>
      <c r="E1483" t="s">
        <v>3264</v>
      </c>
      <c r="F1483">
        <v>52</v>
      </c>
      <c r="G1483">
        <v>11</v>
      </c>
    </row>
    <row r="1484" spans="1:7">
      <c r="A1484">
        <f t="shared" si="3"/>
        <v>83020</v>
      </c>
      <c r="B1484" s="15">
        <v>8302</v>
      </c>
      <c r="C1484" t="b">
        <v>1</v>
      </c>
      <c r="D1484">
        <v>1</v>
      </c>
      <c r="E1484" t="s">
        <v>3264</v>
      </c>
      <c r="F1484">
        <v>52</v>
      </c>
      <c r="G1484">
        <v>11</v>
      </c>
    </row>
    <row r="1485" spans="1:7">
      <c r="A1485">
        <f t="shared" si="3"/>
        <v>83030</v>
      </c>
      <c r="B1485" s="15">
        <v>8303</v>
      </c>
      <c r="C1485" t="b">
        <v>1</v>
      </c>
      <c r="D1485">
        <v>1</v>
      </c>
      <c r="E1485" t="s">
        <v>3264</v>
      </c>
      <c r="F1485">
        <v>52</v>
      </c>
      <c r="G1485">
        <v>11</v>
      </c>
    </row>
    <row r="1486" spans="1:7">
      <c r="A1486">
        <f t="shared" si="3"/>
        <v>83040</v>
      </c>
      <c r="B1486" s="15">
        <v>8304</v>
      </c>
      <c r="C1486" t="b">
        <v>1</v>
      </c>
      <c r="D1486">
        <v>1</v>
      </c>
      <c r="E1486" t="s">
        <v>3264</v>
      </c>
      <c r="F1486">
        <v>52</v>
      </c>
      <c r="G1486">
        <v>11</v>
      </c>
    </row>
    <row r="1487" spans="1:7">
      <c r="A1487">
        <f t="shared" si="3"/>
        <v>83050</v>
      </c>
      <c r="B1487" s="129">
        <v>8305</v>
      </c>
      <c r="C1487" t="b">
        <v>1</v>
      </c>
      <c r="D1487">
        <v>1</v>
      </c>
      <c r="E1487" t="s">
        <v>3264</v>
      </c>
      <c r="F1487">
        <v>52</v>
      </c>
      <c r="G1487">
        <v>11</v>
      </c>
    </row>
    <row r="1488" spans="1:7">
      <c r="A1488">
        <f t="shared" si="3"/>
        <v>83110</v>
      </c>
      <c r="B1488" s="129">
        <v>8311</v>
      </c>
      <c r="C1488" t="b">
        <v>1</v>
      </c>
      <c r="D1488">
        <v>1</v>
      </c>
      <c r="E1488" t="s">
        <v>3264</v>
      </c>
      <c r="F1488">
        <v>52</v>
      </c>
      <c r="G1488">
        <v>11</v>
      </c>
    </row>
    <row r="1489" spans="1:7">
      <c r="A1489">
        <f t="shared" si="3"/>
        <v>83120</v>
      </c>
      <c r="B1489" s="15">
        <v>8312</v>
      </c>
      <c r="C1489" t="b">
        <v>1</v>
      </c>
      <c r="D1489">
        <v>1</v>
      </c>
      <c r="E1489" t="s">
        <v>3264</v>
      </c>
      <c r="F1489">
        <v>52</v>
      </c>
      <c r="G1489">
        <v>11</v>
      </c>
    </row>
    <row r="1490" spans="1:7">
      <c r="A1490">
        <f t="shared" si="3"/>
        <v>83210</v>
      </c>
      <c r="B1490" s="15">
        <v>8321</v>
      </c>
      <c r="C1490" t="b">
        <v>1</v>
      </c>
      <c r="D1490">
        <v>1</v>
      </c>
      <c r="E1490" t="s">
        <v>3264</v>
      </c>
      <c r="F1490">
        <v>52</v>
      </c>
      <c r="G1490">
        <v>11</v>
      </c>
    </row>
    <row r="1491" spans="1:7">
      <c r="A1491">
        <f t="shared" si="3"/>
        <v>83220</v>
      </c>
      <c r="B1491" s="15">
        <v>8322</v>
      </c>
      <c r="C1491" t="b">
        <v>1</v>
      </c>
      <c r="D1491">
        <v>1</v>
      </c>
      <c r="E1491" t="s">
        <v>3264</v>
      </c>
      <c r="F1491">
        <v>52</v>
      </c>
      <c r="G1491">
        <v>11</v>
      </c>
    </row>
    <row r="1492" spans="1:7">
      <c r="A1492">
        <f t="shared" si="3"/>
        <v>83230</v>
      </c>
      <c r="B1492" s="15">
        <v>8323</v>
      </c>
      <c r="C1492" t="b">
        <v>1</v>
      </c>
      <c r="D1492">
        <v>1</v>
      </c>
      <c r="E1492" t="s">
        <v>3264</v>
      </c>
      <c r="F1492">
        <v>52</v>
      </c>
      <c r="G1492">
        <v>11</v>
      </c>
    </row>
    <row r="1493" spans="1:7">
      <c r="A1493">
        <f t="shared" si="3"/>
        <v>83310</v>
      </c>
      <c r="B1493" s="15">
        <v>8331</v>
      </c>
      <c r="C1493" t="b">
        <v>1</v>
      </c>
      <c r="D1493">
        <v>1</v>
      </c>
      <c r="E1493" t="s">
        <v>3264</v>
      </c>
      <c r="F1493">
        <v>52</v>
      </c>
      <c r="G1493">
        <v>11</v>
      </c>
    </row>
    <row r="1494" spans="1:7">
      <c r="A1494">
        <f t="shared" si="3"/>
        <v>83320</v>
      </c>
      <c r="B1494" s="129">
        <v>8332</v>
      </c>
      <c r="C1494" t="b">
        <v>1</v>
      </c>
      <c r="D1494">
        <v>1</v>
      </c>
      <c r="E1494" t="s">
        <v>3264</v>
      </c>
      <c r="F1494">
        <v>52</v>
      </c>
      <c r="G1494">
        <v>11</v>
      </c>
    </row>
    <row r="1495" spans="1:7">
      <c r="A1495">
        <f t="shared" si="3"/>
        <v>83410</v>
      </c>
      <c r="B1495" s="129">
        <v>8341</v>
      </c>
      <c r="C1495" t="b">
        <v>1</v>
      </c>
      <c r="D1495">
        <v>1</v>
      </c>
      <c r="E1495" t="s">
        <v>3264</v>
      </c>
      <c r="F1495">
        <v>52</v>
      </c>
      <c r="G1495">
        <v>11</v>
      </c>
    </row>
    <row r="1496" spans="1:7">
      <c r="A1496">
        <f t="shared" si="3"/>
        <v>83420</v>
      </c>
      <c r="B1496" s="15">
        <v>8342</v>
      </c>
      <c r="C1496" t="b">
        <v>1</v>
      </c>
      <c r="D1496">
        <v>1</v>
      </c>
      <c r="E1496" t="s">
        <v>3264</v>
      </c>
      <c r="F1496">
        <v>52</v>
      </c>
      <c r="G1496">
        <v>11</v>
      </c>
    </row>
    <row r="1497" spans="1:7">
      <c r="A1497">
        <f t="shared" si="3"/>
        <v>83430</v>
      </c>
      <c r="B1497" s="15">
        <v>8343</v>
      </c>
      <c r="C1497" t="b">
        <v>1</v>
      </c>
      <c r="D1497">
        <v>1</v>
      </c>
      <c r="E1497" t="s">
        <v>3264</v>
      </c>
      <c r="F1497">
        <v>52</v>
      </c>
      <c r="G1497">
        <v>11</v>
      </c>
    </row>
    <row r="1498" spans="1:7">
      <c r="A1498">
        <f t="shared" si="3"/>
        <v>83510</v>
      </c>
      <c r="B1498" s="129">
        <v>8351</v>
      </c>
      <c r="C1498" t="b">
        <v>1</v>
      </c>
      <c r="D1498">
        <v>1</v>
      </c>
      <c r="E1498" t="s">
        <v>3264</v>
      </c>
      <c r="F1498">
        <v>52</v>
      </c>
      <c r="G1498">
        <v>11</v>
      </c>
    </row>
    <row r="1499" spans="1:7">
      <c r="A1499">
        <f t="shared" si="3"/>
        <v>83520</v>
      </c>
      <c r="B1499" s="15">
        <v>8352</v>
      </c>
      <c r="C1499" t="b">
        <v>1</v>
      </c>
      <c r="D1499">
        <v>1</v>
      </c>
      <c r="E1499" t="s">
        <v>3264</v>
      </c>
      <c r="F1499">
        <v>52</v>
      </c>
      <c r="G1499">
        <v>11</v>
      </c>
    </row>
    <row r="1500" spans="1:7">
      <c r="A1500">
        <f t="shared" si="3"/>
        <v>83530</v>
      </c>
      <c r="B1500" s="15">
        <v>8353</v>
      </c>
      <c r="C1500" t="b">
        <v>1</v>
      </c>
      <c r="D1500">
        <v>1</v>
      </c>
      <c r="E1500" t="s">
        <v>3264</v>
      </c>
      <c r="F1500">
        <v>52</v>
      </c>
      <c r="G1500">
        <v>11</v>
      </c>
    </row>
    <row r="1501" spans="1:7">
      <c r="A1501">
        <f t="shared" si="3"/>
        <v>83540</v>
      </c>
      <c r="B1501" s="15">
        <v>8354</v>
      </c>
      <c r="C1501" t="b">
        <v>1</v>
      </c>
      <c r="D1501">
        <v>1</v>
      </c>
      <c r="E1501" t="s">
        <v>3264</v>
      </c>
      <c r="F1501">
        <v>52</v>
      </c>
      <c r="G1501">
        <v>11</v>
      </c>
    </row>
    <row r="1502" spans="1:7">
      <c r="A1502">
        <f t="shared" si="3"/>
        <v>83550</v>
      </c>
      <c r="B1502" s="15">
        <v>8355</v>
      </c>
      <c r="C1502" t="b">
        <v>1</v>
      </c>
      <c r="D1502">
        <v>1</v>
      </c>
      <c r="E1502" t="s">
        <v>3264</v>
      </c>
      <c r="F1502">
        <v>52</v>
      </c>
      <c r="G1502">
        <v>11</v>
      </c>
    </row>
    <row r="1503" spans="1:7">
      <c r="A1503">
        <f t="shared" si="3"/>
        <v>83560</v>
      </c>
      <c r="B1503" s="15">
        <v>8356</v>
      </c>
      <c r="C1503" t="b">
        <v>1</v>
      </c>
      <c r="D1503">
        <v>1</v>
      </c>
      <c r="E1503" t="s">
        <v>3264</v>
      </c>
      <c r="F1503">
        <v>52</v>
      </c>
      <c r="G1503">
        <v>11</v>
      </c>
    </row>
    <row r="1504" spans="1:7">
      <c r="A1504">
        <f t="shared" si="3"/>
        <v>83610</v>
      </c>
      <c r="B1504" s="129">
        <v>8361</v>
      </c>
      <c r="C1504" t="b">
        <v>1</v>
      </c>
      <c r="D1504">
        <v>1</v>
      </c>
      <c r="E1504" t="s">
        <v>3264</v>
      </c>
      <c r="F1504">
        <v>52</v>
      </c>
      <c r="G1504">
        <v>11</v>
      </c>
    </row>
    <row r="1505" spans="1:7">
      <c r="A1505">
        <f t="shared" si="3"/>
        <v>83620</v>
      </c>
      <c r="B1505" s="129">
        <v>8362</v>
      </c>
      <c r="C1505" t="b">
        <v>1</v>
      </c>
      <c r="D1505">
        <v>1</v>
      </c>
      <c r="E1505" t="s">
        <v>3264</v>
      </c>
      <c r="F1505">
        <v>52</v>
      </c>
      <c r="G1505">
        <v>11</v>
      </c>
    </row>
    <row r="1506" spans="1:7">
      <c r="A1506">
        <f t="shared" si="3"/>
        <v>83710</v>
      </c>
      <c r="B1506" s="15">
        <v>8371</v>
      </c>
      <c r="C1506" t="b">
        <v>1</v>
      </c>
      <c r="D1506">
        <v>1</v>
      </c>
      <c r="E1506" t="s">
        <v>3264</v>
      </c>
      <c r="F1506">
        <v>52</v>
      </c>
      <c r="G1506">
        <v>11</v>
      </c>
    </row>
    <row r="1507" spans="1:7">
      <c r="A1507">
        <f t="shared" ref="A1507:A1570" si="4">B1507*10</f>
        <v>83720</v>
      </c>
      <c r="B1507" s="15">
        <v>8372</v>
      </c>
      <c r="C1507" t="b">
        <v>1</v>
      </c>
      <c r="D1507">
        <v>1</v>
      </c>
      <c r="E1507" t="s">
        <v>3264</v>
      </c>
      <c r="F1507">
        <v>52</v>
      </c>
      <c r="G1507">
        <v>11</v>
      </c>
    </row>
    <row r="1508" spans="1:7">
      <c r="A1508">
        <f t="shared" si="4"/>
        <v>83730</v>
      </c>
      <c r="B1508" s="15">
        <v>8373</v>
      </c>
      <c r="C1508" t="b">
        <v>1</v>
      </c>
      <c r="D1508">
        <v>1</v>
      </c>
      <c r="E1508" t="s">
        <v>3264</v>
      </c>
      <c r="F1508">
        <v>52</v>
      </c>
      <c r="G1508">
        <v>11</v>
      </c>
    </row>
    <row r="1509" spans="1:7">
      <c r="A1509">
        <f t="shared" si="4"/>
        <v>83740</v>
      </c>
      <c r="B1509" s="15">
        <v>8374</v>
      </c>
      <c r="C1509" t="b">
        <v>1</v>
      </c>
      <c r="D1509">
        <v>1</v>
      </c>
      <c r="E1509" t="s">
        <v>3264</v>
      </c>
      <c r="F1509">
        <v>52</v>
      </c>
      <c r="G1509">
        <v>11</v>
      </c>
    </row>
    <row r="1510" spans="1:7">
      <c r="A1510">
        <f t="shared" si="4"/>
        <v>83750</v>
      </c>
      <c r="B1510" s="15">
        <v>8375</v>
      </c>
      <c r="C1510" t="b">
        <v>1</v>
      </c>
      <c r="D1510">
        <v>1</v>
      </c>
      <c r="E1510" t="s">
        <v>3264</v>
      </c>
      <c r="F1510">
        <v>52</v>
      </c>
      <c r="G1510">
        <v>11</v>
      </c>
    </row>
    <row r="1511" spans="1:7">
      <c r="A1511">
        <f t="shared" si="4"/>
        <v>84010</v>
      </c>
      <c r="B1511" s="129">
        <v>8401</v>
      </c>
      <c r="C1511" t="b">
        <v>1</v>
      </c>
      <c r="D1511">
        <v>1</v>
      </c>
      <c r="E1511" t="s">
        <v>3264</v>
      </c>
      <c r="F1511">
        <v>52</v>
      </c>
      <c r="G1511">
        <v>11</v>
      </c>
    </row>
    <row r="1512" spans="1:7">
      <c r="A1512">
        <f t="shared" si="4"/>
        <v>84020</v>
      </c>
      <c r="B1512" s="15">
        <v>8402</v>
      </c>
      <c r="C1512" t="b">
        <v>1</v>
      </c>
      <c r="D1512">
        <v>1</v>
      </c>
      <c r="E1512" t="s">
        <v>3264</v>
      </c>
      <c r="F1512">
        <v>52</v>
      </c>
      <c r="G1512">
        <v>11</v>
      </c>
    </row>
    <row r="1513" spans="1:7">
      <c r="A1513">
        <f t="shared" si="4"/>
        <v>84030</v>
      </c>
      <c r="B1513" s="15">
        <v>8403</v>
      </c>
      <c r="C1513" t="b">
        <v>1</v>
      </c>
      <c r="D1513">
        <v>1</v>
      </c>
      <c r="E1513" t="s">
        <v>3264</v>
      </c>
      <c r="F1513">
        <v>52</v>
      </c>
      <c r="G1513">
        <v>11</v>
      </c>
    </row>
    <row r="1514" spans="1:7">
      <c r="A1514">
        <f t="shared" si="4"/>
        <v>84040</v>
      </c>
      <c r="B1514" s="15">
        <v>8404</v>
      </c>
      <c r="C1514" t="b">
        <v>1</v>
      </c>
      <c r="D1514">
        <v>1</v>
      </c>
      <c r="E1514" t="s">
        <v>3264</v>
      </c>
      <c r="F1514">
        <v>52</v>
      </c>
      <c r="G1514">
        <v>11</v>
      </c>
    </row>
    <row r="1515" spans="1:7">
      <c r="A1515">
        <f t="shared" si="4"/>
        <v>84050</v>
      </c>
      <c r="B1515" s="129">
        <v>8405</v>
      </c>
      <c r="C1515" t="b">
        <v>1</v>
      </c>
      <c r="D1515">
        <v>1</v>
      </c>
      <c r="E1515" t="s">
        <v>3264</v>
      </c>
      <c r="F1515">
        <v>52</v>
      </c>
      <c r="G1515">
        <v>11</v>
      </c>
    </row>
    <row r="1516" spans="1:7">
      <c r="A1516">
        <f t="shared" si="4"/>
        <v>84110</v>
      </c>
      <c r="B1516" s="129">
        <v>8411</v>
      </c>
      <c r="C1516" t="b">
        <v>1</v>
      </c>
      <c r="D1516">
        <v>1</v>
      </c>
      <c r="E1516" t="s">
        <v>3264</v>
      </c>
      <c r="F1516">
        <v>52</v>
      </c>
      <c r="G1516">
        <v>11</v>
      </c>
    </row>
    <row r="1517" spans="1:7">
      <c r="A1517">
        <f t="shared" si="4"/>
        <v>84120</v>
      </c>
      <c r="B1517" s="15">
        <v>8412</v>
      </c>
      <c r="C1517" t="b">
        <v>1</v>
      </c>
      <c r="D1517">
        <v>1</v>
      </c>
      <c r="E1517" t="s">
        <v>3264</v>
      </c>
      <c r="F1517">
        <v>52</v>
      </c>
      <c r="G1517">
        <v>11</v>
      </c>
    </row>
    <row r="1518" spans="1:7">
      <c r="A1518">
        <f t="shared" si="4"/>
        <v>84210</v>
      </c>
      <c r="B1518" s="15">
        <v>8421</v>
      </c>
      <c r="C1518" t="b">
        <v>1</v>
      </c>
      <c r="D1518">
        <v>1</v>
      </c>
      <c r="E1518" t="s">
        <v>3264</v>
      </c>
      <c r="F1518">
        <v>52</v>
      </c>
      <c r="G1518">
        <v>11</v>
      </c>
    </row>
    <row r="1519" spans="1:7">
      <c r="A1519">
        <f t="shared" si="4"/>
        <v>84220</v>
      </c>
      <c r="B1519" s="15">
        <v>8422</v>
      </c>
      <c r="C1519" t="b">
        <v>1</v>
      </c>
      <c r="D1519">
        <v>1</v>
      </c>
      <c r="E1519" t="s">
        <v>3264</v>
      </c>
      <c r="F1519">
        <v>52</v>
      </c>
      <c r="G1519">
        <v>11</v>
      </c>
    </row>
    <row r="1520" spans="1:7">
      <c r="A1520">
        <f t="shared" si="4"/>
        <v>84230</v>
      </c>
      <c r="B1520" s="15">
        <v>8423</v>
      </c>
      <c r="C1520" t="b">
        <v>1</v>
      </c>
      <c r="D1520">
        <v>1</v>
      </c>
      <c r="E1520" t="s">
        <v>3264</v>
      </c>
      <c r="F1520">
        <v>52</v>
      </c>
      <c r="G1520">
        <v>11</v>
      </c>
    </row>
    <row r="1521" spans="1:7">
      <c r="A1521">
        <f t="shared" si="4"/>
        <v>84310</v>
      </c>
      <c r="B1521" s="129">
        <v>8431</v>
      </c>
      <c r="C1521" t="b">
        <v>1</v>
      </c>
      <c r="D1521">
        <v>1</v>
      </c>
      <c r="E1521" t="s">
        <v>3264</v>
      </c>
      <c r="F1521">
        <v>52</v>
      </c>
      <c r="G1521">
        <v>11</v>
      </c>
    </row>
    <row r="1522" spans="1:7">
      <c r="A1522">
        <f t="shared" si="4"/>
        <v>84320</v>
      </c>
      <c r="B1522" s="15">
        <v>8432</v>
      </c>
      <c r="C1522" t="b">
        <v>1</v>
      </c>
      <c r="D1522">
        <v>1</v>
      </c>
      <c r="E1522" t="s">
        <v>3264</v>
      </c>
      <c r="F1522">
        <v>52</v>
      </c>
      <c r="G1522">
        <v>11</v>
      </c>
    </row>
    <row r="1523" spans="1:7">
      <c r="A1523">
        <f t="shared" si="4"/>
        <v>84330</v>
      </c>
      <c r="B1523" s="15">
        <v>8433</v>
      </c>
      <c r="C1523" t="b">
        <v>1</v>
      </c>
      <c r="D1523">
        <v>1</v>
      </c>
      <c r="E1523" t="s">
        <v>3264</v>
      </c>
      <c r="F1523">
        <v>52</v>
      </c>
      <c r="G1523">
        <v>11</v>
      </c>
    </row>
    <row r="1524" spans="1:7">
      <c r="A1524">
        <f t="shared" si="4"/>
        <v>84410</v>
      </c>
      <c r="B1524" s="129">
        <v>8441</v>
      </c>
      <c r="C1524" t="b">
        <v>1</v>
      </c>
      <c r="D1524">
        <v>1</v>
      </c>
      <c r="E1524" t="s">
        <v>3264</v>
      </c>
      <c r="F1524">
        <v>52</v>
      </c>
      <c r="G1524">
        <v>11</v>
      </c>
    </row>
    <row r="1525" spans="1:7">
      <c r="A1525">
        <f t="shared" si="4"/>
        <v>84420</v>
      </c>
      <c r="B1525" s="15">
        <v>8442</v>
      </c>
      <c r="C1525" t="b">
        <v>1</v>
      </c>
      <c r="D1525">
        <v>1</v>
      </c>
      <c r="E1525" t="s">
        <v>3264</v>
      </c>
      <c r="F1525">
        <v>52</v>
      </c>
      <c r="G1525">
        <v>11</v>
      </c>
    </row>
    <row r="1526" spans="1:7">
      <c r="A1526">
        <f t="shared" si="4"/>
        <v>84430</v>
      </c>
      <c r="B1526" s="15">
        <v>8443</v>
      </c>
      <c r="C1526" t="b">
        <v>1</v>
      </c>
      <c r="D1526">
        <v>1</v>
      </c>
      <c r="E1526" t="s">
        <v>3264</v>
      </c>
      <c r="F1526">
        <v>52</v>
      </c>
      <c r="G1526">
        <v>11</v>
      </c>
    </row>
    <row r="1527" spans="1:7">
      <c r="A1527">
        <f t="shared" si="4"/>
        <v>84440</v>
      </c>
      <c r="B1527" s="15">
        <v>8444</v>
      </c>
      <c r="C1527" t="b">
        <v>1</v>
      </c>
      <c r="D1527">
        <v>1</v>
      </c>
      <c r="E1527" t="s">
        <v>3264</v>
      </c>
      <c r="F1527">
        <v>52</v>
      </c>
      <c r="G1527">
        <v>11</v>
      </c>
    </row>
    <row r="1528" spans="1:7">
      <c r="A1528">
        <f t="shared" si="4"/>
        <v>84450</v>
      </c>
      <c r="B1528" s="15">
        <v>8445</v>
      </c>
      <c r="C1528" t="b">
        <v>1</v>
      </c>
      <c r="D1528">
        <v>1</v>
      </c>
      <c r="E1528" t="s">
        <v>3264</v>
      </c>
      <c r="F1528">
        <v>52</v>
      </c>
      <c r="G1528">
        <v>11</v>
      </c>
    </row>
    <row r="1529" spans="1:7">
      <c r="A1529">
        <f t="shared" si="4"/>
        <v>84460</v>
      </c>
      <c r="B1529" s="15">
        <v>8446</v>
      </c>
      <c r="C1529" t="b">
        <v>1</v>
      </c>
      <c r="D1529">
        <v>1</v>
      </c>
      <c r="E1529" t="s">
        <v>3264</v>
      </c>
      <c r="F1529">
        <v>52</v>
      </c>
      <c r="G1529">
        <v>11</v>
      </c>
    </row>
    <row r="1530" spans="1:7">
      <c r="A1530">
        <f t="shared" si="4"/>
        <v>84510</v>
      </c>
      <c r="B1530" s="15">
        <v>8451</v>
      </c>
      <c r="C1530" t="b">
        <v>1</v>
      </c>
      <c r="D1530">
        <v>1</v>
      </c>
      <c r="E1530" t="s">
        <v>3264</v>
      </c>
      <c r="F1530">
        <v>52</v>
      </c>
      <c r="G1530">
        <v>11</v>
      </c>
    </row>
    <row r="1531" spans="1:7">
      <c r="A1531">
        <f t="shared" si="4"/>
        <v>84520</v>
      </c>
      <c r="B1531" s="15">
        <v>8452</v>
      </c>
      <c r="C1531" t="b">
        <v>1</v>
      </c>
      <c r="D1531">
        <v>1</v>
      </c>
      <c r="E1531" t="s">
        <v>3264</v>
      </c>
      <c r="F1531">
        <v>52</v>
      </c>
      <c r="G1531">
        <v>11</v>
      </c>
    </row>
    <row r="1532" spans="1:7">
      <c r="A1532">
        <f t="shared" si="4"/>
        <v>84530</v>
      </c>
      <c r="B1532" s="15">
        <v>8453</v>
      </c>
      <c r="C1532" t="b">
        <v>1</v>
      </c>
      <c r="D1532">
        <v>1</v>
      </c>
      <c r="E1532" t="s">
        <v>3264</v>
      </c>
      <c r="F1532">
        <v>52</v>
      </c>
      <c r="G1532">
        <v>11</v>
      </c>
    </row>
    <row r="1533" spans="1:7">
      <c r="A1533">
        <f t="shared" si="4"/>
        <v>84540</v>
      </c>
      <c r="B1533" s="15">
        <v>8454</v>
      </c>
      <c r="C1533" t="b">
        <v>1</v>
      </c>
      <c r="D1533">
        <v>1</v>
      </c>
      <c r="E1533" t="s">
        <v>3264</v>
      </c>
      <c r="F1533">
        <v>52</v>
      </c>
      <c r="G1533">
        <v>11</v>
      </c>
    </row>
    <row r="1534" spans="1:7">
      <c r="A1534">
        <f t="shared" si="4"/>
        <v>84550</v>
      </c>
      <c r="B1534" s="15">
        <v>8455</v>
      </c>
      <c r="C1534" t="b">
        <v>1</v>
      </c>
      <c r="D1534">
        <v>1</v>
      </c>
      <c r="E1534" t="s">
        <v>3264</v>
      </c>
      <c r="F1534">
        <v>52</v>
      </c>
      <c r="G1534">
        <v>11</v>
      </c>
    </row>
    <row r="1535" spans="1:7">
      <c r="A1535">
        <f t="shared" si="4"/>
        <v>84610</v>
      </c>
      <c r="B1535" s="15">
        <v>8461</v>
      </c>
      <c r="C1535" t="b">
        <v>1</v>
      </c>
      <c r="D1535">
        <v>1</v>
      </c>
      <c r="E1535" t="s">
        <v>3264</v>
      </c>
      <c r="F1535">
        <v>52</v>
      </c>
      <c r="G1535">
        <v>11</v>
      </c>
    </row>
    <row r="1536" spans="1:7">
      <c r="A1536">
        <f t="shared" si="4"/>
        <v>84620</v>
      </c>
      <c r="B1536" s="15">
        <v>8462</v>
      </c>
      <c r="C1536" t="b">
        <v>1</v>
      </c>
      <c r="D1536">
        <v>1</v>
      </c>
      <c r="E1536" t="s">
        <v>3264</v>
      </c>
      <c r="F1536">
        <v>52</v>
      </c>
      <c r="G1536">
        <v>11</v>
      </c>
    </row>
    <row r="1537" spans="1:7">
      <c r="A1537">
        <f t="shared" si="4"/>
        <v>84630</v>
      </c>
      <c r="B1537" s="15">
        <v>8463</v>
      </c>
      <c r="C1537" t="b">
        <v>1</v>
      </c>
      <c r="D1537">
        <v>1</v>
      </c>
      <c r="E1537" t="s">
        <v>3264</v>
      </c>
      <c r="F1537">
        <v>52</v>
      </c>
      <c r="G1537">
        <v>11</v>
      </c>
    </row>
    <row r="1538" spans="1:7">
      <c r="A1538">
        <f t="shared" si="4"/>
        <v>84640</v>
      </c>
      <c r="B1538" s="15">
        <v>8464</v>
      </c>
      <c r="C1538" t="b">
        <v>1</v>
      </c>
      <c r="D1538">
        <v>1</v>
      </c>
      <c r="E1538" t="s">
        <v>3264</v>
      </c>
      <c r="F1538">
        <v>52</v>
      </c>
      <c r="G1538">
        <v>11</v>
      </c>
    </row>
    <row r="1539" spans="1:7">
      <c r="A1539">
        <f t="shared" si="4"/>
        <v>84650</v>
      </c>
      <c r="B1539" s="15">
        <v>8465</v>
      </c>
      <c r="C1539" t="b">
        <v>1</v>
      </c>
      <c r="D1539">
        <v>1</v>
      </c>
      <c r="E1539" t="s">
        <v>3264</v>
      </c>
      <c r="F1539">
        <v>52</v>
      </c>
      <c r="G1539">
        <v>11</v>
      </c>
    </row>
    <row r="1540" spans="1:7">
      <c r="A1540">
        <f t="shared" si="4"/>
        <v>84660</v>
      </c>
      <c r="B1540" s="15">
        <v>8466</v>
      </c>
      <c r="C1540" t="b">
        <v>1</v>
      </c>
      <c r="D1540">
        <v>1</v>
      </c>
      <c r="E1540" t="s">
        <v>3264</v>
      </c>
      <c r="F1540">
        <v>52</v>
      </c>
      <c r="G1540">
        <v>11</v>
      </c>
    </row>
    <row r="1541" spans="1:7">
      <c r="A1541">
        <f t="shared" si="4"/>
        <v>84710</v>
      </c>
      <c r="B1541" s="15">
        <v>8471</v>
      </c>
      <c r="C1541" t="b">
        <v>1</v>
      </c>
      <c r="D1541">
        <v>1</v>
      </c>
      <c r="E1541" t="s">
        <v>3264</v>
      </c>
      <c r="F1541">
        <v>52</v>
      </c>
      <c r="G1541">
        <v>11</v>
      </c>
    </row>
    <row r="1542" spans="1:7">
      <c r="A1542">
        <f t="shared" si="4"/>
        <v>84720</v>
      </c>
      <c r="B1542" s="15">
        <v>8472</v>
      </c>
      <c r="C1542" t="b">
        <v>1</v>
      </c>
      <c r="D1542">
        <v>1</v>
      </c>
      <c r="E1542" t="s">
        <v>3264</v>
      </c>
      <c r="F1542">
        <v>52</v>
      </c>
      <c r="G1542">
        <v>11</v>
      </c>
    </row>
    <row r="1543" spans="1:7">
      <c r="A1543">
        <f t="shared" si="4"/>
        <v>85010</v>
      </c>
      <c r="B1543" s="15">
        <v>8501</v>
      </c>
      <c r="C1543" t="b">
        <v>1</v>
      </c>
      <c r="D1543">
        <v>1</v>
      </c>
      <c r="E1543" t="s">
        <v>3264</v>
      </c>
      <c r="F1543">
        <v>52</v>
      </c>
      <c r="G1543">
        <v>11</v>
      </c>
    </row>
    <row r="1544" spans="1:7">
      <c r="A1544">
        <f t="shared" si="4"/>
        <v>85020</v>
      </c>
      <c r="B1544" s="15">
        <v>8502</v>
      </c>
      <c r="C1544" t="b">
        <v>1</v>
      </c>
      <c r="D1544">
        <v>1</v>
      </c>
      <c r="E1544" t="s">
        <v>3264</v>
      </c>
      <c r="F1544">
        <v>52</v>
      </c>
      <c r="G1544">
        <v>11</v>
      </c>
    </row>
    <row r="1545" spans="1:7">
      <c r="A1545">
        <f t="shared" si="4"/>
        <v>85030</v>
      </c>
      <c r="B1545" s="15">
        <v>8503</v>
      </c>
      <c r="C1545" t="b">
        <v>1</v>
      </c>
      <c r="D1545">
        <v>1</v>
      </c>
      <c r="E1545" t="s">
        <v>3264</v>
      </c>
      <c r="F1545">
        <v>52</v>
      </c>
      <c r="G1545">
        <v>11</v>
      </c>
    </row>
    <row r="1546" spans="1:7">
      <c r="A1546">
        <f t="shared" si="4"/>
        <v>85040</v>
      </c>
      <c r="B1546" s="15">
        <v>8504</v>
      </c>
      <c r="C1546" t="b">
        <v>1</v>
      </c>
      <c r="D1546">
        <v>1</v>
      </c>
      <c r="E1546" t="s">
        <v>3264</v>
      </c>
      <c r="F1546">
        <v>52</v>
      </c>
      <c r="G1546">
        <v>11</v>
      </c>
    </row>
    <row r="1547" spans="1:7">
      <c r="A1547">
        <f t="shared" si="4"/>
        <v>85050</v>
      </c>
      <c r="B1547" s="15">
        <v>8505</v>
      </c>
      <c r="C1547" t="b">
        <v>1</v>
      </c>
      <c r="D1547">
        <v>1</v>
      </c>
      <c r="E1547" t="s">
        <v>3264</v>
      </c>
      <c r="F1547">
        <v>52</v>
      </c>
      <c r="G1547">
        <v>11</v>
      </c>
    </row>
    <row r="1548" spans="1:7">
      <c r="A1548">
        <f t="shared" si="4"/>
        <v>85060</v>
      </c>
      <c r="B1548" s="15">
        <v>8506</v>
      </c>
      <c r="C1548" t="b">
        <v>1</v>
      </c>
      <c r="D1548">
        <v>1</v>
      </c>
      <c r="E1548" t="s">
        <v>3264</v>
      </c>
      <c r="F1548">
        <v>52</v>
      </c>
      <c r="G1548">
        <v>11</v>
      </c>
    </row>
    <row r="1549" spans="1:7">
      <c r="A1549">
        <f t="shared" si="4"/>
        <v>85110</v>
      </c>
      <c r="B1549" s="15">
        <v>8511</v>
      </c>
      <c r="C1549" t="b">
        <v>1</v>
      </c>
      <c r="D1549">
        <v>1</v>
      </c>
      <c r="E1549" t="s">
        <v>3264</v>
      </c>
      <c r="F1549">
        <v>52</v>
      </c>
      <c r="G1549">
        <v>11</v>
      </c>
    </row>
    <row r="1550" spans="1:7">
      <c r="A1550">
        <f t="shared" si="4"/>
        <v>85120</v>
      </c>
      <c r="B1550" s="15">
        <v>8512</v>
      </c>
      <c r="C1550" t="b">
        <v>1</v>
      </c>
      <c r="D1550">
        <v>1</v>
      </c>
      <c r="E1550" t="s">
        <v>3264</v>
      </c>
      <c r="F1550">
        <v>52</v>
      </c>
      <c r="G1550">
        <v>11</v>
      </c>
    </row>
    <row r="1551" spans="1:7">
      <c r="A1551">
        <f t="shared" si="4"/>
        <v>85130</v>
      </c>
      <c r="B1551" s="15">
        <v>8513</v>
      </c>
      <c r="C1551" t="b">
        <v>1</v>
      </c>
      <c r="D1551">
        <v>1</v>
      </c>
      <c r="E1551" t="s">
        <v>3264</v>
      </c>
      <c r="F1551">
        <v>52</v>
      </c>
      <c r="G1551">
        <v>11</v>
      </c>
    </row>
    <row r="1552" spans="1:7">
      <c r="A1552">
        <f t="shared" si="4"/>
        <v>85140</v>
      </c>
      <c r="B1552" s="15">
        <v>8514</v>
      </c>
      <c r="C1552" t="b">
        <v>1</v>
      </c>
      <c r="D1552">
        <v>1</v>
      </c>
      <c r="E1552" t="s">
        <v>3264</v>
      </c>
      <c r="F1552">
        <v>52</v>
      </c>
      <c r="G1552">
        <v>11</v>
      </c>
    </row>
    <row r="1553" spans="1:7">
      <c r="A1553">
        <f t="shared" si="4"/>
        <v>90010</v>
      </c>
      <c r="B1553" s="15">
        <v>9001</v>
      </c>
      <c r="C1553" t="b">
        <v>1</v>
      </c>
      <c r="D1553">
        <v>1</v>
      </c>
      <c r="E1553" t="s">
        <v>3264</v>
      </c>
      <c r="F1553">
        <v>52</v>
      </c>
      <c r="G1553">
        <v>12</v>
      </c>
    </row>
    <row r="1554" spans="1:7">
      <c r="A1554">
        <f t="shared" si="4"/>
        <v>90020</v>
      </c>
      <c r="B1554" s="15">
        <v>9002</v>
      </c>
      <c r="C1554" t="b">
        <v>1</v>
      </c>
      <c r="D1554">
        <v>1</v>
      </c>
      <c r="E1554" t="s">
        <v>3264</v>
      </c>
      <c r="F1554">
        <v>52</v>
      </c>
      <c r="G1554">
        <v>12</v>
      </c>
    </row>
    <row r="1555" spans="1:7">
      <c r="A1555">
        <f t="shared" si="4"/>
        <v>90030</v>
      </c>
      <c r="B1555" s="15">
        <v>9003</v>
      </c>
      <c r="C1555" t="b">
        <v>1</v>
      </c>
      <c r="D1555">
        <v>1</v>
      </c>
      <c r="E1555" t="s">
        <v>3264</v>
      </c>
      <c r="F1555">
        <v>52</v>
      </c>
      <c r="G1555">
        <v>12</v>
      </c>
    </row>
    <row r="1556" spans="1:7">
      <c r="A1556">
        <f t="shared" si="4"/>
        <v>90040</v>
      </c>
      <c r="B1556" s="15">
        <v>9004</v>
      </c>
      <c r="C1556" t="b">
        <v>1</v>
      </c>
      <c r="D1556">
        <v>1</v>
      </c>
      <c r="E1556" t="s">
        <v>3264</v>
      </c>
      <c r="F1556">
        <v>52</v>
      </c>
      <c r="G1556">
        <v>12</v>
      </c>
    </row>
    <row r="1557" spans="1:7">
      <c r="A1557">
        <f t="shared" si="4"/>
        <v>90050</v>
      </c>
      <c r="B1557" s="15">
        <v>9005</v>
      </c>
      <c r="C1557" t="b">
        <v>1</v>
      </c>
      <c r="D1557">
        <v>1</v>
      </c>
      <c r="E1557" t="s">
        <v>3264</v>
      </c>
      <c r="F1557">
        <v>52</v>
      </c>
      <c r="G1557">
        <v>12</v>
      </c>
    </row>
    <row r="1558" spans="1:7">
      <c r="A1558">
        <f t="shared" si="4"/>
        <v>90060</v>
      </c>
      <c r="B1558" s="15">
        <v>9006</v>
      </c>
      <c r="C1558" t="b">
        <v>1</v>
      </c>
      <c r="D1558">
        <v>1</v>
      </c>
      <c r="E1558" t="s">
        <v>3264</v>
      </c>
      <c r="F1558">
        <v>52</v>
      </c>
      <c r="G1558">
        <v>12</v>
      </c>
    </row>
    <row r="1559" spans="1:7">
      <c r="A1559">
        <f t="shared" si="4"/>
        <v>90070</v>
      </c>
      <c r="B1559" s="15">
        <v>9007</v>
      </c>
      <c r="C1559" t="b">
        <v>1</v>
      </c>
      <c r="D1559">
        <v>1</v>
      </c>
      <c r="E1559" t="s">
        <v>3264</v>
      </c>
      <c r="F1559">
        <v>52</v>
      </c>
      <c r="G1559">
        <v>12</v>
      </c>
    </row>
    <row r="1560" spans="1:7">
      <c r="A1560">
        <f t="shared" si="4"/>
        <v>90080</v>
      </c>
      <c r="B1560" s="15">
        <v>9008</v>
      </c>
      <c r="C1560" t="b">
        <v>1</v>
      </c>
      <c r="D1560">
        <v>1</v>
      </c>
      <c r="E1560" t="s">
        <v>3264</v>
      </c>
      <c r="F1560">
        <v>52</v>
      </c>
      <c r="G1560">
        <v>12</v>
      </c>
    </row>
    <row r="1561" spans="1:7">
      <c r="A1561">
        <f t="shared" si="4"/>
        <v>90090</v>
      </c>
      <c r="B1561" s="15">
        <v>9009</v>
      </c>
      <c r="C1561" t="b">
        <v>1</v>
      </c>
      <c r="D1561">
        <v>1</v>
      </c>
      <c r="E1561" t="s">
        <v>3264</v>
      </c>
      <c r="F1561">
        <v>52</v>
      </c>
      <c r="G1561">
        <v>12</v>
      </c>
    </row>
    <row r="1562" spans="1:7">
      <c r="A1562">
        <f t="shared" si="4"/>
        <v>90100</v>
      </c>
      <c r="B1562" s="15">
        <v>9010</v>
      </c>
      <c r="C1562" t="b">
        <v>1</v>
      </c>
      <c r="D1562">
        <v>1</v>
      </c>
      <c r="E1562" t="s">
        <v>3264</v>
      </c>
      <c r="F1562">
        <v>52</v>
      </c>
      <c r="G1562">
        <v>12</v>
      </c>
    </row>
    <row r="1563" spans="1:7">
      <c r="A1563">
        <f t="shared" si="4"/>
        <v>90110</v>
      </c>
      <c r="B1563" s="15">
        <v>9011</v>
      </c>
      <c r="C1563" t="b">
        <v>1</v>
      </c>
      <c r="D1563">
        <v>1</v>
      </c>
      <c r="E1563" t="s">
        <v>3264</v>
      </c>
      <c r="F1563">
        <v>52</v>
      </c>
      <c r="G1563">
        <v>12</v>
      </c>
    </row>
    <row r="1564" spans="1:7">
      <c r="A1564">
        <f t="shared" si="4"/>
        <v>90120</v>
      </c>
      <c r="B1564" s="15">
        <v>9012</v>
      </c>
      <c r="C1564" t="b">
        <v>1</v>
      </c>
      <c r="D1564">
        <v>1</v>
      </c>
      <c r="E1564" t="s">
        <v>3264</v>
      </c>
      <c r="F1564">
        <v>52</v>
      </c>
      <c r="G1564">
        <v>12</v>
      </c>
    </row>
    <row r="1565" spans="1:7">
      <c r="A1565">
        <f t="shared" si="4"/>
        <v>90130</v>
      </c>
      <c r="B1565" s="15">
        <v>9013</v>
      </c>
      <c r="C1565" t="b">
        <v>1</v>
      </c>
      <c r="D1565">
        <v>1</v>
      </c>
      <c r="E1565" t="s">
        <v>3264</v>
      </c>
      <c r="F1565">
        <v>52</v>
      </c>
      <c r="G1565">
        <v>12</v>
      </c>
    </row>
    <row r="1566" spans="1:7">
      <c r="A1566">
        <f t="shared" si="4"/>
        <v>90140</v>
      </c>
      <c r="B1566" s="15">
        <v>9014</v>
      </c>
      <c r="C1566" t="b">
        <v>1</v>
      </c>
      <c r="D1566">
        <v>1</v>
      </c>
      <c r="E1566" t="s">
        <v>3264</v>
      </c>
      <c r="F1566">
        <v>52</v>
      </c>
      <c r="G1566">
        <v>12</v>
      </c>
    </row>
    <row r="1567" spans="1:7">
      <c r="A1567">
        <f t="shared" si="4"/>
        <v>90150</v>
      </c>
      <c r="B1567" s="15">
        <v>9015</v>
      </c>
      <c r="C1567" t="b">
        <v>1</v>
      </c>
      <c r="D1567">
        <v>1</v>
      </c>
      <c r="E1567" t="s">
        <v>3264</v>
      </c>
      <c r="F1567">
        <v>52</v>
      </c>
      <c r="G1567">
        <v>12</v>
      </c>
    </row>
    <row r="1568" spans="1:7">
      <c r="A1568">
        <f t="shared" si="4"/>
        <v>90160</v>
      </c>
      <c r="B1568" s="15">
        <v>9016</v>
      </c>
      <c r="C1568" t="b">
        <v>1</v>
      </c>
      <c r="D1568">
        <v>1</v>
      </c>
      <c r="E1568" t="s">
        <v>3264</v>
      </c>
      <c r="F1568">
        <v>52</v>
      </c>
      <c r="G1568">
        <v>12</v>
      </c>
    </row>
    <row r="1569" spans="1:7">
      <c r="A1569">
        <f t="shared" si="4"/>
        <v>90170</v>
      </c>
      <c r="B1569" s="15">
        <v>9017</v>
      </c>
      <c r="C1569" t="b">
        <v>1</v>
      </c>
      <c r="D1569">
        <v>1</v>
      </c>
      <c r="E1569" t="s">
        <v>3264</v>
      </c>
      <c r="F1569">
        <v>52</v>
      </c>
      <c r="G1569">
        <v>12</v>
      </c>
    </row>
    <row r="1570" spans="1:7">
      <c r="A1570">
        <f t="shared" si="4"/>
        <v>90180</v>
      </c>
      <c r="B1570" s="15">
        <v>9018</v>
      </c>
      <c r="C1570" t="b">
        <v>1</v>
      </c>
      <c r="D1570">
        <v>1</v>
      </c>
      <c r="E1570" t="s">
        <v>3264</v>
      </c>
      <c r="F1570">
        <v>52</v>
      </c>
      <c r="G1570">
        <v>12</v>
      </c>
    </row>
    <row r="1571" spans="1:7">
      <c r="A1571">
        <f t="shared" ref="A1571:A1638" si="5">B1571*10</f>
        <v>90190</v>
      </c>
      <c r="B1571" s="15">
        <v>9019</v>
      </c>
      <c r="C1571" t="b">
        <v>1</v>
      </c>
      <c r="D1571">
        <v>1</v>
      </c>
      <c r="E1571" t="s">
        <v>3264</v>
      </c>
      <c r="F1571">
        <v>52</v>
      </c>
      <c r="G1571">
        <v>12</v>
      </c>
    </row>
    <row r="1572" spans="1:7">
      <c r="A1572">
        <f t="shared" si="5"/>
        <v>90200</v>
      </c>
      <c r="B1572" s="15">
        <v>9020</v>
      </c>
      <c r="C1572" t="b">
        <v>1</v>
      </c>
      <c r="D1572">
        <v>1</v>
      </c>
      <c r="E1572" t="s">
        <v>3264</v>
      </c>
      <c r="F1572">
        <v>52</v>
      </c>
      <c r="G1572">
        <v>12</v>
      </c>
    </row>
    <row r="1573" spans="1:7">
      <c r="A1573">
        <v>90210</v>
      </c>
      <c r="B1573" s="15">
        <v>9021</v>
      </c>
      <c r="C1573" t="b">
        <v>1</v>
      </c>
      <c r="D1573">
        <v>1</v>
      </c>
      <c r="E1573" t="s">
        <v>3264</v>
      </c>
      <c r="F1573">
        <v>52</v>
      </c>
      <c r="G1573">
        <v>12</v>
      </c>
    </row>
    <row r="1574" spans="1:7">
      <c r="A1574">
        <f t="shared" si="5"/>
        <v>91010</v>
      </c>
      <c r="B1574" s="129">
        <v>9101</v>
      </c>
      <c r="C1574" t="b">
        <v>1</v>
      </c>
      <c r="D1574">
        <v>1</v>
      </c>
      <c r="E1574" t="s">
        <v>3264</v>
      </c>
      <c r="F1574">
        <v>52</v>
      </c>
      <c r="G1574">
        <v>12</v>
      </c>
    </row>
    <row r="1575" spans="1:7">
      <c r="A1575">
        <f t="shared" si="5"/>
        <v>91020</v>
      </c>
      <c r="B1575" s="15">
        <v>9102</v>
      </c>
      <c r="C1575" t="b">
        <v>1</v>
      </c>
      <c r="D1575">
        <v>1</v>
      </c>
      <c r="E1575" t="s">
        <v>3264</v>
      </c>
      <c r="F1575">
        <v>52</v>
      </c>
      <c r="G1575">
        <v>12</v>
      </c>
    </row>
    <row r="1576" spans="1:7">
      <c r="A1576">
        <f t="shared" si="5"/>
        <v>91030</v>
      </c>
      <c r="B1576" s="15">
        <v>9103</v>
      </c>
      <c r="C1576" t="b">
        <v>1</v>
      </c>
      <c r="D1576">
        <v>1</v>
      </c>
      <c r="E1576" t="s">
        <v>3264</v>
      </c>
      <c r="F1576">
        <v>52</v>
      </c>
      <c r="G1576">
        <v>12</v>
      </c>
    </row>
    <row r="1577" spans="1:7">
      <c r="A1577">
        <f t="shared" si="5"/>
        <v>91040</v>
      </c>
      <c r="B1577" s="129">
        <v>9104</v>
      </c>
      <c r="C1577" t="b">
        <v>1</v>
      </c>
      <c r="D1577">
        <v>1</v>
      </c>
      <c r="E1577" t="s">
        <v>3264</v>
      </c>
      <c r="F1577">
        <v>52</v>
      </c>
      <c r="G1577">
        <v>12</v>
      </c>
    </row>
    <row r="1578" spans="1:7">
      <c r="A1578">
        <f t="shared" si="5"/>
        <v>91110</v>
      </c>
      <c r="B1578" s="15">
        <v>9111</v>
      </c>
      <c r="C1578" t="b">
        <v>1</v>
      </c>
      <c r="D1578">
        <v>1</v>
      </c>
      <c r="E1578" t="s">
        <v>3264</v>
      </c>
      <c r="F1578">
        <v>52</v>
      </c>
      <c r="G1578">
        <v>12</v>
      </c>
    </row>
    <row r="1579" spans="1:7">
      <c r="A1579">
        <f t="shared" si="5"/>
        <v>91120</v>
      </c>
      <c r="B1579" s="15">
        <v>9112</v>
      </c>
      <c r="C1579" t="b">
        <v>1</v>
      </c>
      <c r="D1579">
        <v>1</v>
      </c>
      <c r="E1579" t="s">
        <v>3264</v>
      </c>
      <c r="F1579">
        <v>52</v>
      </c>
      <c r="G1579">
        <v>12</v>
      </c>
    </row>
    <row r="1580" spans="1:7">
      <c r="A1580">
        <f t="shared" si="5"/>
        <v>91130</v>
      </c>
      <c r="B1580" s="15">
        <v>9113</v>
      </c>
      <c r="C1580" t="b">
        <v>1</v>
      </c>
      <c r="D1580">
        <v>1</v>
      </c>
      <c r="E1580" t="s">
        <v>3264</v>
      </c>
      <c r="F1580">
        <v>52</v>
      </c>
      <c r="G1580">
        <v>12</v>
      </c>
    </row>
    <row r="1581" spans="1:7">
      <c r="A1581">
        <f t="shared" si="5"/>
        <v>91140</v>
      </c>
      <c r="B1581" s="15">
        <v>9114</v>
      </c>
      <c r="C1581" t="b">
        <v>1</v>
      </c>
      <c r="D1581">
        <v>1</v>
      </c>
      <c r="E1581" t="s">
        <v>3264</v>
      </c>
      <c r="F1581">
        <v>52</v>
      </c>
      <c r="G1581">
        <v>12</v>
      </c>
    </row>
    <row r="1582" spans="1:7">
      <c r="A1582">
        <f t="shared" si="5"/>
        <v>91150</v>
      </c>
      <c r="B1582" s="129">
        <v>9115</v>
      </c>
      <c r="C1582" t="b">
        <v>1</v>
      </c>
      <c r="D1582">
        <v>1</v>
      </c>
      <c r="E1582" t="s">
        <v>3264</v>
      </c>
      <c r="F1582">
        <v>52</v>
      </c>
      <c r="G1582">
        <v>12</v>
      </c>
    </row>
    <row r="1583" spans="1:7">
      <c r="A1583">
        <v>92000</v>
      </c>
      <c r="B1583" s="129">
        <v>9200</v>
      </c>
      <c r="C1583" t="b">
        <v>1</v>
      </c>
      <c r="D1583">
        <v>1</v>
      </c>
      <c r="E1583" t="s">
        <v>3264</v>
      </c>
      <c r="F1583">
        <v>52</v>
      </c>
      <c r="G1583">
        <v>12</v>
      </c>
    </row>
    <row r="1584" spans="1:7">
      <c r="A1584">
        <f t="shared" si="5"/>
        <v>92010</v>
      </c>
      <c r="B1584" s="15">
        <v>9201</v>
      </c>
      <c r="C1584" t="b">
        <v>1</v>
      </c>
      <c r="D1584">
        <v>1</v>
      </c>
      <c r="E1584" t="s">
        <v>3264</v>
      </c>
      <c r="F1584">
        <v>52</v>
      </c>
      <c r="G1584">
        <v>12</v>
      </c>
    </row>
    <row r="1585" spans="1:7">
      <c r="A1585">
        <f t="shared" si="5"/>
        <v>92020</v>
      </c>
      <c r="B1585" s="15">
        <v>9202</v>
      </c>
      <c r="C1585" t="b">
        <v>1</v>
      </c>
      <c r="D1585">
        <v>1</v>
      </c>
      <c r="E1585" t="s">
        <v>3264</v>
      </c>
      <c r="F1585">
        <v>52</v>
      </c>
      <c r="G1585">
        <v>12</v>
      </c>
    </row>
    <row r="1586" spans="1:7">
      <c r="A1586">
        <f t="shared" si="5"/>
        <v>92030</v>
      </c>
      <c r="B1586" s="15">
        <v>9203</v>
      </c>
      <c r="C1586" t="b">
        <v>1</v>
      </c>
      <c r="D1586">
        <v>1</v>
      </c>
      <c r="E1586" t="s">
        <v>3264</v>
      </c>
      <c r="F1586">
        <v>52</v>
      </c>
      <c r="G1586">
        <v>12</v>
      </c>
    </row>
    <row r="1587" spans="1:7">
      <c r="A1587">
        <f t="shared" si="5"/>
        <v>92040</v>
      </c>
      <c r="B1587" s="129">
        <v>9204</v>
      </c>
      <c r="C1587" t="b">
        <v>1</v>
      </c>
      <c r="D1587">
        <v>1</v>
      </c>
      <c r="E1587" t="s">
        <v>3264</v>
      </c>
      <c r="F1587">
        <v>52</v>
      </c>
      <c r="G1587">
        <v>12</v>
      </c>
    </row>
    <row r="1588" spans="1:7">
      <c r="A1588">
        <f t="shared" si="5"/>
        <v>92110</v>
      </c>
      <c r="B1588" s="15">
        <v>9211</v>
      </c>
      <c r="C1588" t="b">
        <v>1</v>
      </c>
      <c r="D1588">
        <v>1</v>
      </c>
      <c r="E1588" t="s">
        <v>3264</v>
      </c>
      <c r="F1588">
        <v>52</v>
      </c>
      <c r="G1588">
        <v>12</v>
      </c>
    </row>
    <row r="1589" spans="1:7">
      <c r="A1589">
        <f t="shared" si="5"/>
        <v>92120</v>
      </c>
      <c r="B1589" s="15">
        <v>9212</v>
      </c>
      <c r="C1589" t="b">
        <v>1</v>
      </c>
      <c r="D1589">
        <v>1</v>
      </c>
      <c r="E1589" t="s">
        <v>3264</v>
      </c>
      <c r="F1589">
        <v>52</v>
      </c>
      <c r="G1589">
        <v>12</v>
      </c>
    </row>
    <row r="1590" spans="1:7">
      <c r="A1590">
        <f t="shared" si="5"/>
        <v>92130</v>
      </c>
      <c r="B1590" s="129">
        <v>9213</v>
      </c>
      <c r="C1590" t="b">
        <v>1</v>
      </c>
      <c r="D1590">
        <v>1</v>
      </c>
      <c r="E1590" t="s">
        <v>3264</v>
      </c>
      <c r="F1590">
        <v>52</v>
      </c>
      <c r="G1590">
        <v>12</v>
      </c>
    </row>
    <row r="1591" spans="1:7">
      <c r="A1591">
        <f t="shared" si="5"/>
        <v>92210</v>
      </c>
      <c r="B1591" s="15">
        <v>9221</v>
      </c>
      <c r="C1591" t="b">
        <v>1</v>
      </c>
      <c r="D1591">
        <v>1</v>
      </c>
      <c r="E1591" t="s">
        <v>3264</v>
      </c>
      <c r="F1591">
        <v>52</v>
      </c>
      <c r="G1591">
        <v>12</v>
      </c>
    </row>
    <row r="1592" spans="1:7">
      <c r="A1592">
        <f t="shared" si="5"/>
        <v>92220</v>
      </c>
      <c r="B1592" s="129">
        <v>9222</v>
      </c>
      <c r="C1592" t="b">
        <v>1</v>
      </c>
      <c r="D1592">
        <v>1</v>
      </c>
      <c r="E1592" t="s">
        <v>3264</v>
      </c>
      <c r="F1592">
        <v>52</v>
      </c>
      <c r="G1592">
        <v>12</v>
      </c>
    </row>
    <row r="1593" spans="1:7">
      <c r="A1593">
        <f t="shared" si="5"/>
        <v>92310</v>
      </c>
      <c r="B1593" s="15">
        <v>9231</v>
      </c>
      <c r="C1593" t="b">
        <v>1</v>
      </c>
      <c r="D1593">
        <v>1</v>
      </c>
      <c r="E1593" t="s">
        <v>3264</v>
      </c>
      <c r="F1593">
        <v>52</v>
      </c>
      <c r="G1593">
        <v>12</v>
      </c>
    </row>
    <row r="1594" spans="1:7">
      <c r="A1594">
        <f t="shared" si="5"/>
        <v>92320</v>
      </c>
      <c r="B1594" s="15">
        <v>9232</v>
      </c>
      <c r="C1594" t="b">
        <v>1</v>
      </c>
      <c r="D1594">
        <v>1</v>
      </c>
      <c r="E1594" t="s">
        <v>3264</v>
      </c>
      <c r="F1594">
        <v>52</v>
      </c>
      <c r="G1594">
        <v>12</v>
      </c>
    </row>
    <row r="1595" spans="1:7">
      <c r="A1595">
        <f t="shared" si="5"/>
        <v>92330</v>
      </c>
      <c r="B1595" s="15">
        <v>9233</v>
      </c>
      <c r="C1595" t="b">
        <v>1</v>
      </c>
      <c r="D1595">
        <v>1</v>
      </c>
      <c r="E1595" t="s">
        <v>3264</v>
      </c>
      <c r="F1595">
        <v>52</v>
      </c>
      <c r="G1595">
        <v>12</v>
      </c>
    </row>
    <row r="1596" spans="1:7">
      <c r="A1596">
        <f t="shared" si="5"/>
        <v>92410</v>
      </c>
      <c r="B1596" s="15">
        <v>9241</v>
      </c>
      <c r="C1596" t="b">
        <v>1</v>
      </c>
      <c r="D1596">
        <v>1</v>
      </c>
      <c r="E1596" t="s">
        <v>3264</v>
      </c>
      <c r="F1596">
        <v>52</v>
      </c>
      <c r="G1596">
        <v>12</v>
      </c>
    </row>
    <row r="1597" spans="1:7">
      <c r="A1597">
        <f t="shared" si="5"/>
        <v>92420</v>
      </c>
      <c r="B1597" s="129">
        <v>9242</v>
      </c>
      <c r="C1597" t="b">
        <v>1</v>
      </c>
      <c r="D1597">
        <v>1</v>
      </c>
      <c r="E1597" t="s">
        <v>3264</v>
      </c>
      <c r="F1597">
        <v>52</v>
      </c>
      <c r="G1597">
        <v>12</v>
      </c>
    </row>
    <row r="1598" spans="1:7">
      <c r="A1598">
        <v>93000</v>
      </c>
      <c r="B1598" s="129">
        <v>9300</v>
      </c>
      <c r="C1598" t="b">
        <v>1</v>
      </c>
      <c r="D1598">
        <v>1</v>
      </c>
      <c r="E1598" t="s">
        <v>3264</v>
      </c>
      <c r="F1598">
        <v>52</v>
      </c>
      <c r="G1598">
        <v>12</v>
      </c>
    </row>
    <row r="1599" spans="1:7">
      <c r="A1599">
        <f t="shared" si="5"/>
        <v>93010</v>
      </c>
      <c r="B1599" s="15">
        <v>9301</v>
      </c>
      <c r="C1599" t="b">
        <v>1</v>
      </c>
      <c r="D1599">
        <v>1</v>
      </c>
      <c r="E1599" t="s">
        <v>3264</v>
      </c>
      <c r="F1599">
        <v>52</v>
      </c>
      <c r="G1599">
        <v>12</v>
      </c>
    </row>
    <row r="1600" spans="1:7">
      <c r="A1600">
        <f t="shared" si="5"/>
        <v>93020</v>
      </c>
      <c r="B1600" s="15">
        <v>9302</v>
      </c>
      <c r="C1600" t="b">
        <v>1</v>
      </c>
      <c r="D1600">
        <v>1</v>
      </c>
      <c r="E1600" t="s">
        <v>3264</v>
      </c>
      <c r="F1600">
        <v>52</v>
      </c>
      <c r="G1600">
        <v>12</v>
      </c>
    </row>
    <row r="1601" spans="1:7">
      <c r="A1601">
        <f t="shared" si="5"/>
        <v>93030</v>
      </c>
      <c r="B1601" s="15">
        <v>9303</v>
      </c>
      <c r="C1601" t="b">
        <v>1</v>
      </c>
      <c r="D1601">
        <v>1</v>
      </c>
      <c r="E1601" t="s">
        <v>3264</v>
      </c>
      <c r="F1601">
        <v>52</v>
      </c>
      <c r="G1601">
        <v>12</v>
      </c>
    </row>
    <row r="1602" spans="1:7">
      <c r="A1602">
        <f t="shared" si="5"/>
        <v>93040</v>
      </c>
      <c r="B1602" s="129">
        <v>9304</v>
      </c>
      <c r="C1602" t="b">
        <v>1</v>
      </c>
      <c r="D1602">
        <v>1</v>
      </c>
      <c r="E1602" t="s">
        <v>3264</v>
      </c>
      <c r="F1602">
        <v>52</v>
      </c>
      <c r="G1602">
        <v>12</v>
      </c>
    </row>
    <row r="1603" spans="1:7">
      <c r="A1603">
        <f t="shared" si="5"/>
        <v>93110</v>
      </c>
      <c r="B1603" s="15">
        <v>9311</v>
      </c>
      <c r="C1603" t="b">
        <v>1</v>
      </c>
      <c r="D1603">
        <v>1</v>
      </c>
      <c r="E1603" t="s">
        <v>3264</v>
      </c>
      <c r="F1603">
        <v>52</v>
      </c>
      <c r="G1603">
        <v>12</v>
      </c>
    </row>
    <row r="1604" spans="1:7">
      <c r="A1604">
        <f t="shared" si="5"/>
        <v>93120</v>
      </c>
      <c r="B1604" s="129">
        <v>9312</v>
      </c>
      <c r="C1604" t="b">
        <v>1</v>
      </c>
      <c r="D1604">
        <v>1</v>
      </c>
      <c r="E1604" t="s">
        <v>3264</v>
      </c>
      <c r="F1604">
        <v>52</v>
      </c>
      <c r="G1604">
        <v>12</v>
      </c>
    </row>
    <row r="1605" spans="1:7">
      <c r="A1605">
        <f t="shared" si="5"/>
        <v>93210</v>
      </c>
      <c r="B1605" s="15">
        <v>9321</v>
      </c>
      <c r="C1605" t="b">
        <v>1</v>
      </c>
      <c r="D1605">
        <v>1</v>
      </c>
      <c r="E1605" t="s">
        <v>3264</v>
      </c>
      <c r="F1605">
        <v>52</v>
      </c>
      <c r="G1605">
        <v>12</v>
      </c>
    </row>
    <row r="1606" spans="1:7">
      <c r="A1606">
        <f t="shared" si="5"/>
        <v>93220</v>
      </c>
      <c r="B1606" s="15">
        <v>9322</v>
      </c>
      <c r="C1606" t="b">
        <v>1</v>
      </c>
      <c r="D1606">
        <v>1</v>
      </c>
      <c r="E1606" t="s">
        <v>3264</v>
      </c>
      <c r="F1606">
        <v>52</v>
      </c>
      <c r="G1606">
        <v>12</v>
      </c>
    </row>
    <row r="1607" spans="1:7">
      <c r="A1607">
        <f t="shared" si="5"/>
        <v>93230</v>
      </c>
      <c r="B1607" s="15">
        <v>9323</v>
      </c>
      <c r="C1607" t="b">
        <v>1</v>
      </c>
      <c r="D1607">
        <v>1</v>
      </c>
      <c r="E1607" t="s">
        <v>3264</v>
      </c>
      <c r="F1607">
        <v>52</v>
      </c>
      <c r="G1607">
        <v>12</v>
      </c>
    </row>
    <row r="1608" spans="1:7">
      <c r="A1608">
        <f t="shared" si="5"/>
        <v>93310</v>
      </c>
      <c r="B1608" s="15">
        <v>9331</v>
      </c>
      <c r="C1608" t="b">
        <v>1</v>
      </c>
      <c r="D1608">
        <v>1</v>
      </c>
      <c r="E1608" t="s">
        <v>3264</v>
      </c>
      <c r="F1608">
        <v>52</v>
      </c>
      <c r="G1608">
        <v>12</v>
      </c>
    </row>
    <row r="1609" spans="1:7">
      <c r="A1609">
        <f t="shared" si="5"/>
        <v>93320</v>
      </c>
      <c r="B1609" s="129">
        <v>9332</v>
      </c>
      <c r="C1609" t="b">
        <v>1</v>
      </c>
      <c r="D1609">
        <v>1</v>
      </c>
      <c r="E1609" t="s">
        <v>3264</v>
      </c>
      <c r="F1609">
        <v>52</v>
      </c>
      <c r="G1609">
        <v>12</v>
      </c>
    </row>
    <row r="1610" spans="1:7">
      <c r="A1610">
        <f t="shared" si="5"/>
        <v>93410</v>
      </c>
      <c r="B1610" s="15">
        <v>9341</v>
      </c>
      <c r="C1610" t="b">
        <v>1</v>
      </c>
      <c r="D1610">
        <v>1</v>
      </c>
      <c r="E1610" t="s">
        <v>3264</v>
      </c>
      <c r="F1610">
        <v>52</v>
      </c>
      <c r="G1610">
        <v>12</v>
      </c>
    </row>
    <row r="1611" spans="1:7">
      <c r="A1611">
        <f t="shared" si="5"/>
        <v>93420</v>
      </c>
      <c r="B1611" s="15">
        <v>9342</v>
      </c>
      <c r="C1611" t="b">
        <v>1</v>
      </c>
      <c r="D1611">
        <v>1</v>
      </c>
      <c r="E1611" t="s">
        <v>3264</v>
      </c>
      <c r="F1611">
        <v>52</v>
      </c>
      <c r="G1611">
        <v>12</v>
      </c>
    </row>
    <row r="1612" spans="1:7">
      <c r="A1612">
        <f t="shared" si="5"/>
        <v>93430</v>
      </c>
      <c r="B1612" s="129">
        <v>9343</v>
      </c>
      <c r="C1612" t="b">
        <v>1</v>
      </c>
      <c r="D1612">
        <v>1</v>
      </c>
      <c r="E1612" t="s">
        <v>3264</v>
      </c>
      <c r="F1612">
        <v>52</v>
      </c>
      <c r="G1612">
        <v>12</v>
      </c>
    </row>
    <row r="1613" spans="1:7">
      <c r="A1613">
        <f t="shared" si="5"/>
        <v>93510</v>
      </c>
      <c r="B1613" s="15">
        <v>9351</v>
      </c>
      <c r="C1613" t="b">
        <v>1</v>
      </c>
      <c r="D1613">
        <v>1</v>
      </c>
      <c r="E1613" t="s">
        <v>3264</v>
      </c>
      <c r="F1613">
        <v>52</v>
      </c>
      <c r="G1613">
        <v>12</v>
      </c>
    </row>
    <row r="1614" spans="1:7">
      <c r="A1614">
        <f t="shared" si="5"/>
        <v>93520</v>
      </c>
      <c r="B1614" s="15">
        <v>9352</v>
      </c>
      <c r="C1614" t="b">
        <v>1</v>
      </c>
      <c r="D1614">
        <v>1</v>
      </c>
      <c r="E1614" t="s">
        <v>3264</v>
      </c>
      <c r="F1614">
        <v>52</v>
      </c>
      <c r="G1614">
        <v>12</v>
      </c>
    </row>
    <row r="1615" spans="1:7">
      <c r="A1615">
        <f t="shared" si="5"/>
        <v>93530</v>
      </c>
      <c r="B1615" s="15">
        <v>9353</v>
      </c>
      <c r="C1615" t="b">
        <v>1</v>
      </c>
      <c r="D1615">
        <v>1</v>
      </c>
      <c r="E1615" t="s">
        <v>3264</v>
      </c>
      <c r="F1615">
        <v>52</v>
      </c>
      <c r="G1615">
        <v>12</v>
      </c>
    </row>
    <row r="1616" spans="1:7">
      <c r="A1616">
        <f t="shared" si="5"/>
        <v>93540</v>
      </c>
      <c r="B1616" s="129">
        <v>9354</v>
      </c>
      <c r="C1616" t="b">
        <v>1</v>
      </c>
      <c r="D1616">
        <v>1</v>
      </c>
      <c r="E1616" t="s">
        <v>3264</v>
      </c>
      <c r="F1616">
        <v>52</v>
      </c>
      <c r="G1616">
        <v>12</v>
      </c>
    </row>
    <row r="1617" spans="1:7">
      <c r="A1617">
        <f t="shared" si="5"/>
        <v>93610</v>
      </c>
      <c r="B1617" s="129">
        <v>9361</v>
      </c>
      <c r="C1617" t="b">
        <v>1</v>
      </c>
      <c r="D1617">
        <v>1</v>
      </c>
      <c r="E1617" t="s">
        <v>3264</v>
      </c>
      <c r="F1617">
        <v>52</v>
      </c>
      <c r="G1617">
        <v>12</v>
      </c>
    </row>
    <row r="1618" spans="1:7">
      <c r="A1618">
        <f t="shared" si="5"/>
        <v>93620</v>
      </c>
      <c r="B1618" s="129">
        <v>9362</v>
      </c>
      <c r="C1618" t="b">
        <v>1</v>
      </c>
      <c r="D1618">
        <v>1</v>
      </c>
      <c r="E1618" t="s">
        <v>3264</v>
      </c>
      <c r="F1618">
        <v>52</v>
      </c>
      <c r="G1618">
        <v>12</v>
      </c>
    </row>
    <row r="1619" spans="1:7">
      <c r="A1619">
        <f t="shared" si="5"/>
        <v>93710</v>
      </c>
      <c r="B1619" s="15">
        <v>9371</v>
      </c>
      <c r="C1619" t="b">
        <v>1</v>
      </c>
      <c r="D1619">
        <v>1</v>
      </c>
      <c r="E1619" t="s">
        <v>3264</v>
      </c>
      <c r="F1619">
        <v>52</v>
      </c>
      <c r="G1619">
        <v>12</v>
      </c>
    </row>
    <row r="1620" spans="1:7">
      <c r="A1620">
        <f t="shared" si="5"/>
        <v>93720</v>
      </c>
      <c r="B1620" s="15">
        <v>9372</v>
      </c>
      <c r="C1620" t="b">
        <v>1</v>
      </c>
      <c r="D1620">
        <v>1</v>
      </c>
      <c r="E1620" t="s">
        <v>3264</v>
      </c>
      <c r="F1620">
        <v>52</v>
      </c>
      <c r="G1620">
        <v>12</v>
      </c>
    </row>
    <row r="1621" spans="1:7">
      <c r="A1621">
        <f t="shared" si="5"/>
        <v>93730</v>
      </c>
      <c r="B1621" s="15">
        <v>9373</v>
      </c>
      <c r="C1621" t="b">
        <v>1</v>
      </c>
      <c r="D1621">
        <v>1</v>
      </c>
      <c r="E1621" t="s">
        <v>3264</v>
      </c>
      <c r="F1621">
        <v>52</v>
      </c>
      <c r="G1621">
        <v>12</v>
      </c>
    </row>
    <row r="1622" spans="1:7">
      <c r="A1622">
        <v>94000</v>
      </c>
      <c r="B1622" s="15">
        <v>9400</v>
      </c>
      <c r="C1622" t="b">
        <v>1</v>
      </c>
      <c r="D1622">
        <v>1</v>
      </c>
      <c r="E1622" t="s">
        <v>3264</v>
      </c>
      <c r="F1622">
        <v>52</v>
      </c>
      <c r="G1622">
        <v>12</v>
      </c>
    </row>
    <row r="1623" spans="1:7">
      <c r="A1623">
        <f t="shared" si="5"/>
        <v>94010</v>
      </c>
      <c r="B1623" s="15">
        <v>9401</v>
      </c>
      <c r="C1623" t="b">
        <v>1</v>
      </c>
      <c r="D1623">
        <v>1</v>
      </c>
      <c r="E1623" t="s">
        <v>3264</v>
      </c>
      <c r="F1623">
        <v>52</v>
      </c>
      <c r="G1623">
        <v>12</v>
      </c>
    </row>
    <row r="1624" spans="1:7">
      <c r="A1624">
        <f t="shared" si="5"/>
        <v>94020</v>
      </c>
      <c r="B1624" s="15">
        <v>9402</v>
      </c>
      <c r="C1624" t="b">
        <v>1</v>
      </c>
      <c r="D1624">
        <v>1</v>
      </c>
      <c r="E1624" t="s">
        <v>3264</v>
      </c>
      <c r="F1624">
        <v>52</v>
      </c>
      <c r="G1624">
        <v>12</v>
      </c>
    </row>
    <row r="1625" spans="1:7">
      <c r="A1625">
        <f t="shared" si="5"/>
        <v>94030</v>
      </c>
      <c r="B1625" s="15">
        <v>9403</v>
      </c>
      <c r="C1625" t="b">
        <v>1</v>
      </c>
      <c r="D1625">
        <v>1</v>
      </c>
      <c r="E1625" t="s">
        <v>3264</v>
      </c>
      <c r="F1625">
        <v>52</v>
      </c>
      <c r="G1625">
        <v>12</v>
      </c>
    </row>
    <row r="1626" spans="1:7">
      <c r="A1626">
        <f t="shared" si="5"/>
        <v>94040</v>
      </c>
      <c r="B1626" s="129">
        <v>9404</v>
      </c>
      <c r="C1626" t="b">
        <v>1</v>
      </c>
      <c r="D1626">
        <v>1</v>
      </c>
      <c r="E1626" t="s">
        <v>3264</v>
      </c>
      <c r="F1626">
        <v>52</v>
      </c>
      <c r="G1626">
        <v>12</v>
      </c>
    </row>
    <row r="1627" spans="1:7">
      <c r="A1627">
        <f t="shared" si="5"/>
        <v>94110</v>
      </c>
      <c r="B1627" s="15">
        <v>9411</v>
      </c>
      <c r="C1627" t="b">
        <v>1</v>
      </c>
      <c r="D1627">
        <v>1</v>
      </c>
      <c r="E1627" t="s">
        <v>3264</v>
      </c>
      <c r="F1627">
        <v>52</v>
      </c>
      <c r="G1627">
        <v>12</v>
      </c>
    </row>
    <row r="1628" spans="1:7">
      <c r="A1628">
        <f t="shared" si="5"/>
        <v>94120</v>
      </c>
      <c r="B1628" s="129">
        <v>9412</v>
      </c>
      <c r="C1628" t="b">
        <v>1</v>
      </c>
      <c r="D1628">
        <v>1</v>
      </c>
      <c r="E1628" t="s">
        <v>3264</v>
      </c>
      <c r="F1628">
        <v>52</v>
      </c>
      <c r="G1628">
        <v>12</v>
      </c>
    </row>
    <row r="1629" spans="1:7">
      <c r="A1629">
        <f t="shared" si="5"/>
        <v>94210</v>
      </c>
      <c r="B1629" s="15">
        <v>9421</v>
      </c>
      <c r="C1629" t="b">
        <v>1</v>
      </c>
      <c r="D1629">
        <v>1</v>
      </c>
      <c r="E1629" t="s">
        <v>3264</v>
      </c>
      <c r="F1629">
        <v>52</v>
      </c>
      <c r="G1629">
        <v>12</v>
      </c>
    </row>
    <row r="1630" spans="1:7">
      <c r="A1630">
        <f t="shared" si="5"/>
        <v>94220</v>
      </c>
      <c r="B1630" s="15">
        <v>9422</v>
      </c>
      <c r="C1630" t="b">
        <v>1</v>
      </c>
      <c r="D1630">
        <v>1</v>
      </c>
      <c r="E1630" t="s">
        <v>3264</v>
      </c>
      <c r="F1630">
        <v>52</v>
      </c>
      <c r="G1630">
        <v>12</v>
      </c>
    </row>
    <row r="1631" spans="1:7">
      <c r="A1631">
        <f t="shared" si="5"/>
        <v>94230</v>
      </c>
      <c r="B1631" s="15">
        <v>9423</v>
      </c>
      <c r="C1631" t="b">
        <v>1</v>
      </c>
      <c r="D1631">
        <v>1</v>
      </c>
      <c r="E1631" t="s">
        <v>3264</v>
      </c>
      <c r="F1631">
        <v>52</v>
      </c>
      <c r="G1631">
        <v>12</v>
      </c>
    </row>
    <row r="1632" spans="1:7">
      <c r="A1632">
        <f t="shared" si="5"/>
        <v>94310</v>
      </c>
      <c r="B1632" s="15">
        <v>9431</v>
      </c>
      <c r="C1632" t="b">
        <v>1</v>
      </c>
      <c r="D1632">
        <v>1</v>
      </c>
      <c r="E1632" t="s">
        <v>3264</v>
      </c>
      <c r="F1632">
        <v>52</v>
      </c>
      <c r="G1632">
        <v>12</v>
      </c>
    </row>
    <row r="1633" spans="1:7">
      <c r="A1633">
        <f t="shared" si="5"/>
        <v>94320</v>
      </c>
      <c r="B1633" s="15">
        <v>9432</v>
      </c>
      <c r="C1633" t="b">
        <v>1</v>
      </c>
      <c r="D1633">
        <v>1</v>
      </c>
      <c r="E1633" t="s">
        <v>3264</v>
      </c>
      <c r="F1633">
        <v>52</v>
      </c>
      <c r="G1633">
        <v>12</v>
      </c>
    </row>
    <row r="1634" spans="1:7">
      <c r="A1634">
        <f t="shared" si="5"/>
        <v>94330</v>
      </c>
      <c r="B1634" s="129">
        <v>9433</v>
      </c>
      <c r="C1634" t="b">
        <v>1</v>
      </c>
      <c r="D1634">
        <v>1</v>
      </c>
      <c r="E1634" t="s">
        <v>3264</v>
      </c>
      <c r="F1634">
        <v>52</v>
      </c>
      <c r="G1634">
        <v>12</v>
      </c>
    </row>
    <row r="1635" spans="1:7">
      <c r="A1635">
        <f t="shared" si="5"/>
        <v>94410</v>
      </c>
      <c r="B1635" s="15">
        <v>9441</v>
      </c>
      <c r="C1635" t="b">
        <v>1</v>
      </c>
      <c r="D1635">
        <v>1</v>
      </c>
      <c r="E1635" t="s">
        <v>3264</v>
      </c>
      <c r="F1635">
        <v>52</v>
      </c>
      <c r="G1635">
        <v>12</v>
      </c>
    </row>
    <row r="1636" spans="1:7">
      <c r="A1636">
        <f t="shared" si="5"/>
        <v>94420</v>
      </c>
      <c r="B1636" s="15">
        <v>9442</v>
      </c>
      <c r="C1636" t="b">
        <v>1</v>
      </c>
      <c r="D1636">
        <v>1</v>
      </c>
      <c r="E1636" t="s">
        <v>3264</v>
      </c>
      <c r="F1636">
        <v>52</v>
      </c>
      <c r="G1636">
        <v>12</v>
      </c>
    </row>
    <row r="1637" spans="1:7">
      <c r="A1637">
        <f t="shared" si="5"/>
        <v>94430</v>
      </c>
      <c r="B1637" s="15">
        <v>9443</v>
      </c>
      <c r="C1637" t="b">
        <v>1</v>
      </c>
      <c r="D1637">
        <v>1</v>
      </c>
      <c r="E1637" t="s">
        <v>3264</v>
      </c>
      <c r="F1637">
        <v>52</v>
      </c>
      <c r="G1637">
        <v>12</v>
      </c>
    </row>
    <row r="1638" spans="1:7">
      <c r="A1638">
        <f t="shared" si="5"/>
        <v>94440</v>
      </c>
      <c r="B1638" s="129">
        <v>9444</v>
      </c>
      <c r="C1638" t="b">
        <v>1</v>
      </c>
      <c r="D1638">
        <v>1</v>
      </c>
      <c r="E1638" t="s">
        <v>3264</v>
      </c>
      <c r="F1638">
        <v>52</v>
      </c>
      <c r="G1638">
        <v>12</v>
      </c>
    </row>
    <row r="1639" spans="1:7">
      <c r="A1639">
        <f t="shared" ref="A1639:A1653" si="6">B1639*10</f>
        <v>94510</v>
      </c>
      <c r="B1639" s="15">
        <v>9451</v>
      </c>
      <c r="C1639" t="b">
        <v>1</v>
      </c>
      <c r="D1639">
        <v>1</v>
      </c>
      <c r="E1639" t="s">
        <v>3264</v>
      </c>
      <c r="F1639">
        <v>52</v>
      </c>
      <c r="G1639">
        <v>12</v>
      </c>
    </row>
    <row r="1640" spans="1:7">
      <c r="A1640">
        <f t="shared" si="6"/>
        <v>94520</v>
      </c>
      <c r="B1640" s="15">
        <v>9452</v>
      </c>
      <c r="C1640" t="b">
        <v>1</v>
      </c>
      <c r="D1640">
        <v>1</v>
      </c>
      <c r="E1640" t="s">
        <v>3264</v>
      </c>
      <c r="F1640">
        <v>52</v>
      </c>
      <c r="G1640">
        <v>12</v>
      </c>
    </row>
    <row r="1641" spans="1:7">
      <c r="A1641">
        <f t="shared" si="6"/>
        <v>94530</v>
      </c>
      <c r="B1641" s="15">
        <v>9453</v>
      </c>
      <c r="C1641" t="b">
        <v>1</v>
      </c>
      <c r="D1641">
        <v>1</v>
      </c>
      <c r="E1641" t="s">
        <v>3264</v>
      </c>
      <c r="F1641">
        <v>52</v>
      </c>
      <c r="G1641">
        <v>12</v>
      </c>
    </row>
    <row r="1642" spans="1:7">
      <c r="A1642">
        <f t="shared" si="6"/>
        <v>94610</v>
      </c>
      <c r="B1642" s="15">
        <v>9461</v>
      </c>
      <c r="C1642" t="b">
        <v>1</v>
      </c>
      <c r="D1642">
        <v>1</v>
      </c>
      <c r="E1642" t="s">
        <v>3264</v>
      </c>
      <c r="F1642">
        <v>52</v>
      </c>
      <c r="G1642">
        <v>12</v>
      </c>
    </row>
    <row r="1643" spans="1:7">
      <c r="A1643">
        <f t="shared" si="6"/>
        <v>94620</v>
      </c>
      <c r="B1643" s="15">
        <v>9462</v>
      </c>
      <c r="C1643" t="b">
        <v>1</v>
      </c>
      <c r="D1643">
        <v>1</v>
      </c>
      <c r="E1643" t="s">
        <v>3264</v>
      </c>
      <c r="F1643">
        <v>52</v>
      </c>
      <c r="G1643">
        <v>12</v>
      </c>
    </row>
    <row r="1644" spans="1:7">
      <c r="A1644">
        <f t="shared" si="6"/>
        <v>94710</v>
      </c>
      <c r="B1644" s="15">
        <v>9471</v>
      </c>
      <c r="C1644" t="b">
        <v>1</v>
      </c>
      <c r="D1644">
        <v>1</v>
      </c>
      <c r="E1644" t="s">
        <v>3264</v>
      </c>
      <c r="F1644">
        <v>52</v>
      </c>
      <c r="G1644">
        <v>12</v>
      </c>
    </row>
    <row r="1645" spans="1:7">
      <c r="A1645">
        <f t="shared" si="6"/>
        <v>94720</v>
      </c>
      <c r="B1645" s="15">
        <v>9472</v>
      </c>
      <c r="C1645" t="b">
        <v>1</v>
      </c>
      <c r="D1645">
        <v>1</v>
      </c>
      <c r="E1645" t="s">
        <v>3264</v>
      </c>
      <c r="F1645">
        <v>52</v>
      </c>
      <c r="G1645">
        <v>12</v>
      </c>
    </row>
    <row r="1646" spans="1:7">
      <c r="A1646">
        <f t="shared" si="6"/>
        <v>94730</v>
      </c>
      <c r="B1646" s="15">
        <v>9473</v>
      </c>
      <c r="C1646" t="b">
        <v>1</v>
      </c>
      <c r="D1646">
        <v>1</v>
      </c>
      <c r="E1646" t="s">
        <v>3264</v>
      </c>
      <c r="F1646">
        <v>52</v>
      </c>
      <c r="G1646">
        <v>12</v>
      </c>
    </row>
    <row r="1647" spans="1:7">
      <c r="A1647">
        <v>95000</v>
      </c>
      <c r="B1647" s="15">
        <v>9500</v>
      </c>
      <c r="C1647" t="b">
        <v>1</v>
      </c>
      <c r="D1647">
        <v>1</v>
      </c>
      <c r="E1647" t="s">
        <v>3264</v>
      </c>
      <c r="F1647">
        <v>52</v>
      </c>
      <c r="G1647">
        <v>12</v>
      </c>
    </row>
    <row r="1648" spans="1:7">
      <c r="A1648">
        <f t="shared" si="6"/>
        <v>95010</v>
      </c>
      <c r="B1648" s="15">
        <v>9501</v>
      </c>
      <c r="C1648" t="b">
        <v>1</v>
      </c>
      <c r="D1648">
        <v>1</v>
      </c>
      <c r="E1648" t="s">
        <v>3264</v>
      </c>
      <c r="F1648">
        <v>52</v>
      </c>
      <c r="G1648">
        <v>12</v>
      </c>
    </row>
    <row r="1649" spans="1:7">
      <c r="A1649">
        <f t="shared" si="6"/>
        <v>95020</v>
      </c>
      <c r="B1649" s="15">
        <v>9502</v>
      </c>
      <c r="C1649" t="b">
        <v>1</v>
      </c>
      <c r="D1649">
        <v>1</v>
      </c>
      <c r="E1649" t="s">
        <v>3264</v>
      </c>
      <c r="F1649">
        <v>52</v>
      </c>
      <c r="G1649">
        <v>12</v>
      </c>
    </row>
    <row r="1650" spans="1:7">
      <c r="A1650">
        <f t="shared" si="6"/>
        <v>95030</v>
      </c>
      <c r="B1650" s="15">
        <v>9503</v>
      </c>
      <c r="C1650" t="b">
        <v>1</v>
      </c>
      <c r="D1650">
        <v>1</v>
      </c>
      <c r="E1650" t="s">
        <v>3264</v>
      </c>
      <c r="F1650">
        <v>52</v>
      </c>
      <c r="G1650">
        <v>12</v>
      </c>
    </row>
    <row r="1651" spans="1:7">
      <c r="A1651">
        <f t="shared" si="6"/>
        <v>95040</v>
      </c>
      <c r="B1651" s="15">
        <v>9504</v>
      </c>
      <c r="C1651" t="b">
        <v>1</v>
      </c>
      <c r="D1651">
        <v>1</v>
      </c>
      <c r="E1651" t="s">
        <v>3264</v>
      </c>
      <c r="F1651">
        <v>52</v>
      </c>
      <c r="G1651">
        <v>12</v>
      </c>
    </row>
    <row r="1652" spans="1:7">
      <c r="A1652">
        <f t="shared" si="6"/>
        <v>95110</v>
      </c>
      <c r="B1652" s="15">
        <v>9511</v>
      </c>
      <c r="C1652" t="b">
        <v>1</v>
      </c>
      <c r="D1652">
        <v>1</v>
      </c>
      <c r="E1652" t="s">
        <v>3264</v>
      </c>
      <c r="F1652">
        <v>52</v>
      </c>
      <c r="G1652">
        <v>12</v>
      </c>
    </row>
    <row r="1653" spans="1:7">
      <c r="A1653">
        <f t="shared" si="6"/>
        <v>95120</v>
      </c>
      <c r="B1653" s="15">
        <v>9512</v>
      </c>
      <c r="C1653" t="b">
        <v>1</v>
      </c>
      <c r="D1653">
        <v>1</v>
      </c>
      <c r="E1653" t="s">
        <v>3264</v>
      </c>
      <c r="F1653">
        <v>52</v>
      </c>
      <c r="G1653">
        <v>12</v>
      </c>
    </row>
    <row r="1654" spans="1:7">
      <c r="A1654">
        <f>B1654*10</f>
        <v>95130</v>
      </c>
      <c r="B1654" s="129">
        <v>9513</v>
      </c>
      <c r="C1654" t="b">
        <v>1</v>
      </c>
      <c r="D1654">
        <v>1</v>
      </c>
      <c r="E1654" t="s">
        <v>3264</v>
      </c>
      <c r="F1654">
        <v>52</v>
      </c>
      <c r="G1654">
        <v>12</v>
      </c>
    </row>
  </sheetData>
  <conditionalFormatting sqref="A1:A1048576">
    <cfRule type="duplicateValues" dxfId="1"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CEEA8-83CA-4E2E-9C1E-1F9519A7679C}">
  <dimension ref="A1:B42"/>
  <sheetViews>
    <sheetView workbookViewId="0">
      <pane ySplit="1" topLeftCell="B11" activePane="bottomLeft" state="frozen"/>
      <selection pane="bottomLeft" activeCell="B11" sqref="B11"/>
    </sheetView>
  </sheetViews>
  <sheetFormatPr defaultColWidth="8.85546875" defaultRowHeight="14.45"/>
  <cols>
    <col min="1" max="1" width="11.85546875" bestFit="1" customWidth="1"/>
    <col min="2" max="2" width="113.85546875" bestFit="1" customWidth="1"/>
  </cols>
  <sheetData>
    <row r="1" spans="1:2" s="1" customFormat="1">
      <c r="A1" s="1" t="s">
        <v>3259</v>
      </c>
      <c r="B1" s="1" t="s">
        <v>3289</v>
      </c>
    </row>
    <row r="2" spans="1:2">
      <c r="A2">
        <v>1</v>
      </c>
      <c r="B2" s="94" t="s">
        <v>3290</v>
      </c>
    </row>
    <row r="3" spans="1:2">
      <c r="A3" s="95">
        <v>2</v>
      </c>
      <c r="B3" s="96" t="s">
        <v>3291</v>
      </c>
    </row>
    <row r="4" spans="1:2">
      <c r="A4">
        <v>3</v>
      </c>
      <c r="B4" s="94" t="s">
        <v>3292</v>
      </c>
    </row>
    <row r="5" spans="1:2">
      <c r="A5">
        <v>4</v>
      </c>
      <c r="B5" s="94" t="s">
        <v>3293</v>
      </c>
    </row>
    <row r="6" spans="1:2">
      <c r="A6">
        <v>5</v>
      </c>
      <c r="B6" s="94" t="s">
        <v>3294</v>
      </c>
    </row>
    <row r="7" spans="1:2">
      <c r="A7">
        <v>6</v>
      </c>
      <c r="B7" s="94" t="s">
        <v>3295</v>
      </c>
    </row>
    <row r="8" spans="1:2">
      <c r="A8">
        <v>7</v>
      </c>
      <c r="B8" s="94" t="s">
        <v>3296</v>
      </c>
    </row>
    <row r="9" spans="1:2">
      <c r="A9">
        <v>8</v>
      </c>
      <c r="B9" s="94" t="s">
        <v>3297</v>
      </c>
    </row>
    <row r="10" spans="1:2">
      <c r="A10">
        <v>9</v>
      </c>
      <c r="B10" s="94" t="s">
        <v>3298</v>
      </c>
    </row>
    <row r="11" spans="1:2">
      <c r="A11">
        <v>10</v>
      </c>
      <c r="B11" s="94" t="s">
        <v>3299</v>
      </c>
    </row>
    <row r="12" spans="1:2">
      <c r="A12">
        <v>11</v>
      </c>
      <c r="B12" s="94" t="s">
        <v>3300</v>
      </c>
    </row>
    <row r="13" spans="1:2">
      <c r="A13">
        <v>12</v>
      </c>
      <c r="B13" s="94" t="s">
        <v>3301</v>
      </c>
    </row>
    <row r="14" spans="1:2">
      <c r="A14" s="95">
        <v>13</v>
      </c>
      <c r="B14" s="96" t="s">
        <v>3302</v>
      </c>
    </row>
    <row r="15" spans="1:2">
      <c r="A15">
        <v>14</v>
      </c>
      <c r="B15" s="94" t="s">
        <v>3303</v>
      </c>
    </row>
    <row r="16" spans="1:2">
      <c r="A16">
        <v>15</v>
      </c>
      <c r="B16" s="94" t="s">
        <v>3304</v>
      </c>
    </row>
    <row r="17" spans="1:2">
      <c r="A17" s="95">
        <v>26</v>
      </c>
      <c r="B17" s="95" t="s">
        <v>3305</v>
      </c>
    </row>
    <row r="18" spans="1:2">
      <c r="A18" s="95">
        <v>29</v>
      </c>
      <c r="B18" s="95" t="s">
        <v>3306</v>
      </c>
    </row>
    <row r="19" spans="1:2">
      <c r="A19" s="95">
        <v>30</v>
      </c>
      <c r="B19" s="95" t="s">
        <v>3307</v>
      </c>
    </row>
    <row r="20" spans="1:2">
      <c r="A20" s="95">
        <v>31</v>
      </c>
      <c r="B20" s="96" t="s">
        <v>3308</v>
      </c>
    </row>
    <row r="21" spans="1:2">
      <c r="A21" s="95">
        <v>32</v>
      </c>
      <c r="B21" s="96" t="s">
        <v>3309</v>
      </c>
    </row>
    <row r="22" spans="1:2">
      <c r="A22" s="95">
        <v>33</v>
      </c>
      <c r="B22" s="95" t="s">
        <v>3310</v>
      </c>
    </row>
    <row r="23" spans="1:2">
      <c r="A23" s="95">
        <v>34</v>
      </c>
      <c r="B23" s="95" t="s">
        <v>3311</v>
      </c>
    </row>
    <row r="24" spans="1:2">
      <c r="A24" s="95">
        <v>35</v>
      </c>
      <c r="B24" s="95" t="s">
        <v>3312</v>
      </c>
    </row>
    <row r="25" spans="1:2">
      <c r="A25" s="95">
        <v>36</v>
      </c>
      <c r="B25" s="95" t="s">
        <v>3313</v>
      </c>
    </row>
    <row r="26" spans="1:2">
      <c r="A26" s="95">
        <v>37</v>
      </c>
      <c r="B26" s="95" t="s">
        <v>3314</v>
      </c>
    </row>
    <row r="27" spans="1:2">
      <c r="A27" s="95">
        <v>38</v>
      </c>
      <c r="B27" s="95" t="s">
        <v>3315</v>
      </c>
    </row>
    <row r="28" spans="1:2">
      <c r="A28" s="95">
        <v>39</v>
      </c>
      <c r="B28" s="95" t="s">
        <v>3316</v>
      </c>
    </row>
    <row r="29" spans="1:2">
      <c r="A29" s="95">
        <v>40</v>
      </c>
      <c r="B29" s="95" t="s">
        <v>3317</v>
      </c>
    </row>
    <row r="30" spans="1:2">
      <c r="A30" s="95">
        <v>41</v>
      </c>
      <c r="B30" s="95" t="s">
        <v>3318</v>
      </c>
    </row>
    <row r="31" spans="1:2">
      <c r="A31" s="95">
        <v>42</v>
      </c>
      <c r="B31" s="95" t="s">
        <v>3319</v>
      </c>
    </row>
    <row r="32" spans="1:2">
      <c r="A32">
        <v>43</v>
      </c>
      <c r="B32" s="94" t="s">
        <v>3320</v>
      </c>
    </row>
    <row r="33" spans="1:2">
      <c r="A33">
        <v>44</v>
      </c>
      <c r="B33" s="104" t="s">
        <v>3321</v>
      </c>
    </row>
    <row r="34" spans="1:2">
      <c r="A34">
        <v>45</v>
      </c>
      <c r="B34" s="104" t="s">
        <v>3322</v>
      </c>
    </row>
    <row r="35" spans="1:2">
      <c r="A35">
        <v>46</v>
      </c>
      <c r="B35" s="104" t="s">
        <v>3323</v>
      </c>
    </row>
    <row r="36" spans="1:2">
      <c r="A36">
        <v>47</v>
      </c>
      <c r="B36" s="104" t="s">
        <v>3324</v>
      </c>
    </row>
    <row r="37" spans="1:2">
      <c r="A37">
        <v>48</v>
      </c>
      <c r="B37" s="104" t="s">
        <v>3325</v>
      </c>
    </row>
    <row r="38" spans="1:2">
      <c r="A38">
        <v>49</v>
      </c>
      <c r="B38" s="104" t="s">
        <v>3326</v>
      </c>
    </row>
    <row r="39" spans="1:2">
      <c r="A39">
        <v>50</v>
      </c>
      <c r="B39" s="104" t="s">
        <v>3327</v>
      </c>
    </row>
    <row r="40" spans="1:2">
      <c r="A40">
        <v>51</v>
      </c>
      <c r="B40" s="104" t="s">
        <v>3328</v>
      </c>
    </row>
    <row r="41" spans="1:2">
      <c r="A41">
        <v>52</v>
      </c>
      <c r="B41" s="104" t="s">
        <v>3329</v>
      </c>
    </row>
    <row r="42" spans="1:2">
      <c r="A42">
        <v>53</v>
      </c>
      <c r="B42" s="104" t="s">
        <v>3330</v>
      </c>
    </row>
  </sheetData>
  <sortState xmlns:xlrd2="http://schemas.microsoft.com/office/spreadsheetml/2017/richdata2" ref="A2:B31">
    <sortCondition ref="A2:A31"/>
  </sortState>
  <hyperlinks>
    <hyperlink ref="B2" r:id="rId1" xr:uid="{61BB490B-73BA-4697-B895-66C3D43CD6C0}"/>
    <hyperlink ref="B5" r:id="rId2" xr:uid="{C343B586-70B7-470C-9182-C4505B66AFA5}"/>
    <hyperlink ref="B19" r:id="rId3" xr:uid="{6913DE86-44FA-4804-90B4-910AFEC2A937}"/>
    <hyperlink ref="B4" r:id="rId4" xr:uid="{2F9BF3E3-2036-4511-A537-C5B1A01F3433}"/>
    <hyperlink ref="B11" r:id="rId5" xr:uid="{5F679DDB-A6A7-4F69-8B5A-53FCE159AE8C}"/>
    <hyperlink ref="B10" r:id="rId6" xr:uid="{06DD0917-8A84-47DC-B85D-7378B3CC1D3E}"/>
    <hyperlink ref="B7" r:id="rId7" xr:uid="{9ADD4BEC-A978-410A-8BA2-93C264FA3B4B}"/>
    <hyperlink ref="B6" r:id="rId8" xr:uid="{8740D6F5-A1BE-412C-920C-CDB9D2396B8C}"/>
    <hyperlink ref="B9" r:id="rId9" xr:uid="{8303B99E-5540-4E3F-929A-8938CECBB6ED}"/>
    <hyperlink ref="B8" r:id="rId10" xr:uid="{E3A5DF3B-D08B-48D2-AC36-8E82022BCE09}"/>
    <hyperlink ref="B13" r:id="rId11" xr:uid="{638D0CFC-FFFE-441A-9BBD-4EB7D207465C}"/>
    <hyperlink ref="B12" r:id="rId12" xr:uid="{328C3008-86C4-43B0-8A59-E56250490947}"/>
    <hyperlink ref="B14" r:id="rId13" xr:uid="{901404B6-96BD-4CD3-800E-25685D782EF3}"/>
    <hyperlink ref="B16" r:id="rId14" xr:uid="{4A5CDB43-CC84-46B5-ADC1-881F06CF4350}"/>
    <hyperlink ref="B15" r:id="rId15" xr:uid="{B3C45EC6-855B-445B-A52E-E82491A3B891}"/>
    <hyperlink ref="B32" r:id="rId16" xr:uid="{9F9A1449-ECAF-475B-A0D5-93952086CD43}"/>
    <hyperlink ref="B3" r:id="rId17" xr:uid="{8482949D-C583-4A18-A7AF-B2ABDF983F34}"/>
    <hyperlink ref="B17" r:id="rId18" xr:uid="{37C913A5-CA90-4D98-AAAA-F4BACF7DCCE2}"/>
    <hyperlink ref="B18" r:id="rId19" xr:uid="{5C648855-78FD-4EB8-9B01-36C245FEBD9A}"/>
    <hyperlink ref="B20" r:id="rId20" xr:uid="{01B27259-68B7-4A73-924F-482CF9A092D9}"/>
    <hyperlink ref="B21" r:id="rId21" xr:uid="{0C05CAB5-B866-471A-BD21-FD02C8B7FB5D}"/>
    <hyperlink ref="B22" r:id="rId22" xr:uid="{F0F2C52E-D9CB-4148-B050-4DB5DD72C4BD}"/>
    <hyperlink ref="B23" r:id="rId23" xr:uid="{657D5F31-53EA-4075-82E2-AB0CBEDF1228}"/>
    <hyperlink ref="B24" r:id="rId24" xr:uid="{D6C36E95-94DE-4699-B16D-619EA7BAAAEE}"/>
    <hyperlink ref="B25" r:id="rId25" xr:uid="{77DCF4FE-6277-4C2B-AE28-0C41A2CE4781}"/>
    <hyperlink ref="B26" r:id="rId26" xr:uid="{869A3674-3ADE-4183-816D-392327FA5B67}"/>
    <hyperlink ref="B27" r:id="rId27" xr:uid="{E094CF72-1086-40B2-996B-E853772E1A5C}"/>
    <hyperlink ref="B28" r:id="rId28" xr:uid="{A97EDB2E-B6C7-41AE-A563-CDC3DD8CB930}"/>
    <hyperlink ref="B29" r:id="rId29" xr:uid="{79228B24-954B-4624-8A0C-2F0310314477}"/>
    <hyperlink ref="B30" r:id="rId30" xr:uid="{6F476F84-AB02-4EE6-8C14-844D26B83B30}"/>
    <hyperlink ref="B31" r:id="rId31" xr:uid="{1EF710B0-5AB0-45E2-8091-2E183501B5FA}"/>
    <hyperlink ref="B33" r:id="rId32" xr:uid="{CF4C8E43-6CC6-46F6-8FD6-ACC04F9E72CE}"/>
    <hyperlink ref="B34" r:id="rId33" xr:uid="{0A072088-629D-4A3D-AF1D-BA08FBCFF2D1}"/>
    <hyperlink ref="B35" r:id="rId34" xr:uid="{F42F65CA-5B7E-41B4-9338-069D434FCE1B}"/>
    <hyperlink ref="B36" r:id="rId35" xr:uid="{97BD0BF2-F91B-4BA6-A4FF-B91D0E3FCD43}"/>
    <hyperlink ref="B37" r:id="rId36" xr:uid="{1DF8021A-75A6-4D64-91FF-12122A8B37F4}"/>
    <hyperlink ref="B38" r:id="rId37" xr:uid="{8B5DB1F0-EDFD-4B75-8CE6-2AC33009B373}"/>
    <hyperlink ref="B39" r:id="rId38" xr:uid="{6EB6F91F-F0AA-4154-BBAF-29B6A729ABD0}"/>
    <hyperlink ref="B40" r:id="rId39" xr:uid="{9B1C1294-3F41-45D8-A7F4-A32354FF7BD1}"/>
    <hyperlink ref="B41" r:id="rId40" xr:uid="{3752B40C-B255-4E2F-8267-F9DB1A0469E6}"/>
    <hyperlink ref="B42" r:id="rId41" xr:uid="{74602CF3-1649-4CF5-AFEB-EA9BF0AE600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6EFF-D1C7-431D-8EC9-EF749626FC8C}">
  <dimension ref="A1:AR24"/>
  <sheetViews>
    <sheetView workbookViewId="0">
      <pane xSplit="2" ySplit="1" topLeftCell="L5" activePane="bottomRight" state="frozen"/>
      <selection pane="bottomRight" activeCell="L5" sqref="L5"/>
      <selection pane="bottomLeft"/>
      <selection pane="topRight"/>
    </sheetView>
  </sheetViews>
  <sheetFormatPr defaultColWidth="8.85546875" defaultRowHeight="15" customHeight="1"/>
  <cols>
    <col min="1" max="1" width="14.42578125" bestFit="1" customWidth="1"/>
    <col min="2" max="2" width="48" customWidth="1"/>
    <col min="3" max="3" width="15" customWidth="1"/>
    <col min="4" max="5" width="13.28515625" bestFit="1" customWidth="1"/>
    <col min="6" max="6" width="18.85546875" bestFit="1" customWidth="1"/>
    <col min="7" max="7" width="6.85546875" bestFit="1" customWidth="1"/>
    <col min="8" max="9" width="11.42578125" bestFit="1" customWidth="1"/>
    <col min="10" max="11" width="11.28515625" bestFit="1" customWidth="1"/>
    <col min="12" max="12" width="23" style="206" customWidth="1"/>
    <col min="13" max="13" width="24" style="206" customWidth="1"/>
    <col min="14" max="14" width="23.42578125" style="206" customWidth="1"/>
    <col min="15" max="15" width="12.7109375" style="6" bestFit="1" customWidth="1"/>
    <col min="16" max="16" width="13.28515625" style="10" bestFit="1" customWidth="1"/>
    <col min="17" max="17" width="12.85546875" style="6" bestFit="1" customWidth="1"/>
    <col min="18" max="18" width="12.7109375" style="5" bestFit="1" customWidth="1"/>
    <col min="19" max="19" width="9.85546875" style="13" customWidth="1"/>
    <col min="20" max="20" width="12.85546875" style="5" bestFit="1" customWidth="1"/>
    <col min="21" max="21" width="12.7109375" style="7" bestFit="1" customWidth="1"/>
    <col min="22" max="22" width="13.28515625" style="11" bestFit="1" customWidth="1"/>
    <col min="23" max="23" width="12.85546875" style="7" bestFit="1" customWidth="1"/>
    <col min="24" max="24" width="12.7109375" style="8" bestFit="1" customWidth="1"/>
    <col min="25" max="25" width="13.28515625" style="12" bestFit="1" customWidth="1"/>
    <col min="26" max="26" width="12.85546875" style="8" bestFit="1" customWidth="1"/>
    <col min="27" max="27" width="12.7109375" style="6" bestFit="1" customWidth="1"/>
    <col min="28" max="28" width="13.28515625" style="10" bestFit="1" customWidth="1"/>
    <col min="29" max="29" width="12.85546875" style="6" bestFit="1" customWidth="1"/>
    <col min="30" max="30" width="12.7109375" style="5" bestFit="1" customWidth="1"/>
    <col min="31" max="31" width="13.28515625" style="13" bestFit="1" customWidth="1"/>
    <col min="32" max="32" width="12.85546875" style="5" bestFit="1" customWidth="1"/>
    <col min="33" max="33" width="12.7109375" style="7" bestFit="1" customWidth="1"/>
    <col min="34" max="34" width="13.28515625" style="11" bestFit="1" customWidth="1"/>
    <col min="35" max="35" width="12.85546875" style="7" bestFit="1" customWidth="1"/>
    <col min="36" max="36" width="12.7109375" style="8" bestFit="1" customWidth="1"/>
    <col min="37" max="37" width="13.28515625" style="12" bestFit="1" customWidth="1"/>
    <col min="38" max="38" width="12.42578125" style="8" bestFit="1" customWidth="1"/>
    <col min="39" max="39" width="13.7109375" style="6" bestFit="1" customWidth="1"/>
    <col min="40" max="40" width="14.42578125" style="10" bestFit="1" customWidth="1"/>
    <col min="41" max="41" width="13.7109375" style="6" bestFit="1" customWidth="1"/>
    <col min="42" max="42" width="13.7109375" style="5" customWidth="1"/>
    <col min="43" max="43" width="15.42578125" style="13" bestFit="1" customWidth="1"/>
    <col min="44" max="44" width="14.85546875" style="5" bestFit="1" customWidth="1"/>
  </cols>
  <sheetData>
    <row r="1" spans="1:44" s="4" customFormat="1" ht="14.45">
      <c r="A1" s="4" t="s">
        <v>3331</v>
      </c>
      <c r="B1" s="4" t="s">
        <v>3332</v>
      </c>
      <c r="C1" s="4" t="s">
        <v>3333</v>
      </c>
      <c r="D1" s="4" t="s">
        <v>3334</v>
      </c>
      <c r="E1" s="4" t="s">
        <v>3335</v>
      </c>
      <c r="F1" s="4" t="s">
        <v>3336</v>
      </c>
      <c r="G1" s="4" t="s">
        <v>3337</v>
      </c>
      <c r="H1" s="4" t="s">
        <v>3338</v>
      </c>
      <c r="I1" s="4" t="s">
        <v>3339</v>
      </c>
      <c r="J1" s="4" t="s">
        <v>3340</v>
      </c>
      <c r="K1" s="4" t="s">
        <v>3341</v>
      </c>
      <c r="L1" s="4" t="s">
        <v>3342</v>
      </c>
      <c r="M1" s="4" t="s">
        <v>3343</v>
      </c>
      <c r="N1" s="4" t="s">
        <v>3344</v>
      </c>
      <c r="O1" s="4" t="s">
        <v>3345</v>
      </c>
      <c r="P1" s="9" t="s">
        <v>3346</v>
      </c>
      <c r="Q1" s="4" t="s">
        <v>3347</v>
      </c>
      <c r="R1" s="4" t="s">
        <v>3348</v>
      </c>
      <c r="S1" s="9" t="s">
        <v>3349</v>
      </c>
      <c r="T1" s="4" t="s">
        <v>3350</v>
      </c>
      <c r="U1" s="4" t="s">
        <v>3351</v>
      </c>
      <c r="V1" s="9" t="s">
        <v>3352</v>
      </c>
      <c r="W1" s="4" t="s">
        <v>3353</v>
      </c>
      <c r="X1" s="4" t="s">
        <v>3354</v>
      </c>
      <c r="Y1" s="9" t="s">
        <v>3355</v>
      </c>
      <c r="Z1" s="4" t="s">
        <v>3356</v>
      </c>
      <c r="AA1" s="4" t="s">
        <v>3357</v>
      </c>
      <c r="AB1" s="9" t="s">
        <v>3358</v>
      </c>
      <c r="AC1" s="4" t="s">
        <v>3359</v>
      </c>
      <c r="AD1" s="4" t="s">
        <v>3360</v>
      </c>
      <c r="AE1" s="9" t="s">
        <v>3361</v>
      </c>
      <c r="AF1" s="4" t="s">
        <v>3362</v>
      </c>
      <c r="AG1" s="4" t="s">
        <v>3363</v>
      </c>
      <c r="AH1" s="9" t="s">
        <v>3364</v>
      </c>
      <c r="AI1" s="4" t="s">
        <v>3365</v>
      </c>
      <c r="AJ1" s="4" t="s">
        <v>3366</v>
      </c>
      <c r="AK1" s="9" t="s">
        <v>3367</v>
      </c>
      <c r="AL1" s="4" t="s">
        <v>3368</v>
      </c>
      <c r="AM1" s="4" t="s">
        <v>3369</v>
      </c>
      <c r="AN1" s="9" t="s">
        <v>3370</v>
      </c>
      <c r="AO1" s="4" t="s">
        <v>3371</v>
      </c>
      <c r="AP1" s="4" t="s">
        <v>3372</v>
      </c>
      <c r="AQ1" s="9" t="s">
        <v>3373</v>
      </c>
      <c r="AR1" s="4" t="s">
        <v>3374</v>
      </c>
    </row>
    <row r="2" spans="1:44" ht="14.45">
      <c r="A2">
        <v>0</v>
      </c>
      <c r="B2" t="s">
        <v>3265</v>
      </c>
      <c r="C2" t="s">
        <v>3375</v>
      </c>
      <c r="D2" t="b">
        <v>1</v>
      </c>
      <c r="E2">
        <v>0.9</v>
      </c>
      <c r="F2" t="s">
        <v>3376</v>
      </c>
      <c r="G2">
        <v>10</v>
      </c>
      <c r="H2" t="s">
        <v>3377</v>
      </c>
      <c r="I2" t="s">
        <v>3378</v>
      </c>
      <c r="J2" t="s">
        <v>3379</v>
      </c>
      <c r="K2" t="s">
        <v>3380</v>
      </c>
      <c r="L2" s="206" t="s">
        <v>3381</v>
      </c>
      <c r="M2" s="206">
        <v>0.5</v>
      </c>
      <c r="N2" s="206" t="s">
        <v>3381</v>
      </c>
      <c r="O2" s="6" t="s">
        <v>3381</v>
      </c>
      <c r="P2" s="10">
        <v>0.9</v>
      </c>
      <c r="Q2" s="6" t="s">
        <v>3381</v>
      </c>
      <c r="R2" s="5" t="s">
        <v>3381</v>
      </c>
      <c r="S2" s="13">
        <v>0.9</v>
      </c>
      <c r="T2" s="5" t="s">
        <v>3381</v>
      </c>
      <c r="U2" s="7" t="s">
        <v>3381</v>
      </c>
      <c r="V2" s="11">
        <v>0.9</v>
      </c>
      <c r="W2" s="7" t="s">
        <v>3381</v>
      </c>
      <c r="X2" s="8" t="s">
        <v>3381</v>
      </c>
      <c r="Y2" s="12">
        <v>0.9</v>
      </c>
      <c r="Z2" s="8" t="s">
        <v>3381</v>
      </c>
      <c r="AA2" s="6" t="s">
        <v>3381</v>
      </c>
      <c r="AB2" s="10">
        <v>0.9</v>
      </c>
      <c r="AC2" s="6" t="s">
        <v>3381</v>
      </c>
      <c r="AD2" s="5" t="s">
        <v>3381</v>
      </c>
      <c r="AE2" s="13">
        <v>0.9</v>
      </c>
      <c r="AF2" s="5" t="s">
        <v>3381</v>
      </c>
      <c r="AG2" s="7" t="s">
        <v>3381</v>
      </c>
      <c r="AH2" s="11">
        <v>0.9</v>
      </c>
      <c r="AI2" s="7" t="s">
        <v>3381</v>
      </c>
      <c r="AJ2" s="8" t="s">
        <v>3381</v>
      </c>
      <c r="AK2" s="12">
        <v>0.9</v>
      </c>
      <c r="AL2" s="8" t="s">
        <v>3381</v>
      </c>
      <c r="AM2" s="6" t="s">
        <v>3381</v>
      </c>
      <c r="AN2" s="10">
        <v>0.9</v>
      </c>
      <c r="AO2" s="6" t="s">
        <v>3381</v>
      </c>
      <c r="AP2" s="5" t="s">
        <v>3381</v>
      </c>
      <c r="AQ2" s="13">
        <v>0.9</v>
      </c>
      <c r="AR2" s="5" t="s">
        <v>3381</v>
      </c>
    </row>
    <row r="3" spans="1:44" ht="14.45">
      <c r="A3">
        <v>1</v>
      </c>
      <c r="B3" t="s">
        <v>3382</v>
      </c>
      <c r="C3" t="s">
        <v>3375</v>
      </c>
      <c r="F3" t="s">
        <v>3376</v>
      </c>
      <c r="G3">
        <v>7</v>
      </c>
      <c r="H3" t="s">
        <v>3377</v>
      </c>
      <c r="I3" t="s">
        <v>3378</v>
      </c>
      <c r="J3" t="s">
        <v>3379</v>
      </c>
      <c r="K3" t="s">
        <v>3380</v>
      </c>
      <c r="O3" s="6" t="s">
        <v>3381</v>
      </c>
      <c r="P3" s="64">
        <v>0.7</v>
      </c>
      <c r="Q3" s="27" t="s">
        <v>3383</v>
      </c>
      <c r="R3" s="5" t="s">
        <v>3384</v>
      </c>
      <c r="S3" s="13">
        <v>0.7</v>
      </c>
      <c r="T3" s="5" t="s">
        <v>3385</v>
      </c>
      <c r="U3" s="7" t="s">
        <v>3386</v>
      </c>
      <c r="V3" s="11">
        <v>0.7</v>
      </c>
      <c r="W3" s="7" t="s">
        <v>3385</v>
      </c>
      <c r="X3" s="8" t="s">
        <v>3387</v>
      </c>
      <c r="Y3" s="12">
        <v>0.7</v>
      </c>
      <c r="Z3" s="8" t="s">
        <v>3385</v>
      </c>
      <c r="AA3" s="6" t="s">
        <v>3388</v>
      </c>
      <c r="AB3" s="10">
        <v>0.7</v>
      </c>
      <c r="AC3" s="6" t="s">
        <v>3385</v>
      </c>
      <c r="AD3" s="5" t="s">
        <v>3389</v>
      </c>
      <c r="AE3" s="13">
        <v>0.7</v>
      </c>
      <c r="AF3" s="5" t="s">
        <v>3385</v>
      </c>
      <c r="AG3" s="7" t="s">
        <v>3385</v>
      </c>
      <c r="AH3" s="11">
        <v>0.7</v>
      </c>
      <c r="AI3" s="7" t="s">
        <v>3385</v>
      </c>
    </row>
    <row r="4" spans="1:44" s="73" customFormat="1" ht="14.45">
      <c r="A4" s="73">
        <v>2</v>
      </c>
      <c r="B4" s="73" t="s">
        <v>3390</v>
      </c>
      <c r="C4" s="73" t="s">
        <v>3375</v>
      </c>
      <c r="F4" s="73" t="s">
        <v>3376</v>
      </c>
      <c r="G4" s="73">
        <v>7</v>
      </c>
      <c r="H4" s="73" t="s">
        <v>3377</v>
      </c>
      <c r="I4" s="73" t="s">
        <v>3378</v>
      </c>
      <c r="J4" s="73" t="s">
        <v>3379</v>
      </c>
      <c r="K4" s="73" t="s">
        <v>3380</v>
      </c>
      <c r="L4" s="207"/>
      <c r="M4" s="207"/>
      <c r="N4" s="207"/>
      <c r="O4" s="74" t="s">
        <v>3391</v>
      </c>
      <c r="P4" s="75">
        <v>0.7</v>
      </c>
      <c r="Q4" s="74" t="s">
        <v>3392</v>
      </c>
      <c r="R4" s="76" t="s">
        <v>3393</v>
      </c>
      <c r="S4" s="77">
        <v>0.7</v>
      </c>
      <c r="T4" s="76" t="s">
        <v>3392</v>
      </c>
      <c r="U4" s="78" t="s">
        <v>3394</v>
      </c>
      <c r="V4" s="79">
        <v>0.7</v>
      </c>
      <c r="W4" s="78" t="s">
        <v>3392</v>
      </c>
      <c r="X4" s="80" t="s">
        <v>3395</v>
      </c>
      <c r="Y4" s="81">
        <v>0.7</v>
      </c>
      <c r="Z4" s="80" t="s">
        <v>3392</v>
      </c>
      <c r="AA4" s="74" t="s">
        <v>3396</v>
      </c>
      <c r="AB4" s="82">
        <v>0.7</v>
      </c>
      <c r="AC4" s="74" t="s">
        <v>3392</v>
      </c>
      <c r="AD4" s="76" t="s">
        <v>3397</v>
      </c>
      <c r="AE4" s="77">
        <v>0.7</v>
      </c>
      <c r="AF4" s="76" t="s">
        <v>3392</v>
      </c>
      <c r="AG4" s="78" t="s">
        <v>3398</v>
      </c>
      <c r="AH4" s="79">
        <v>0.7</v>
      </c>
      <c r="AI4" s="78" t="s">
        <v>3392</v>
      </c>
      <c r="AJ4" s="80"/>
      <c r="AK4" s="81"/>
      <c r="AL4" s="80"/>
      <c r="AM4" s="74"/>
      <c r="AN4" s="82"/>
      <c r="AO4" s="74"/>
      <c r="AP4" s="76"/>
      <c r="AQ4" s="13"/>
      <c r="AR4" s="76"/>
    </row>
    <row r="5" spans="1:44" ht="14.45">
      <c r="A5">
        <v>3</v>
      </c>
      <c r="B5" t="s">
        <v>3399</v>
      </c>
      <c r="C5" t="s">
        <v>3375</v>
      </c>
      <c r="F5" t="s">
        <v>3376</v>
      </c>
      <c r="G5">
        <v>5</v>
      </c>
      <c r="H5" t="s">
        <v>3377</v>
      </c>
      <c r="I5" t="s">
        <v>3378</v>
      </c>
      <c r="J5" t="s">
        <v>3379</v>
      </c>
      <c r="K5" t="s">
        <v>3380</v>
      </c>
      <c r="L5" s="206" t="s">
        <v>3400</v>
      </c>
      <c r="M5" s="206">
        <v>0.5</v>
      </c>
      <c r="N5" s="206" t="s">
        <v>3401</v>
      </c>
      <c r="O5" s="6" t="s">
        <v>3402</v>
      </c>
      <c r="P5" s="64">
        <v>0.7</v>
      </c>
      <c r="Q5" s="44" t="s">
        <v>3403</v>
      </c>
      <c r="R5" s="5" t="s">
        <v>3404</v>
      </c>
      <c r="S5" s="13">
        <v>0.7</v>
      </c>
      <c r="T5" s="14" t="s">
        <v>3403</v>
      </c>
      <c r="U5" s="7" t="s">
        <v>3405</v>
      </c>
      <c r="V5" s="11">
        <v>0.7</v>
      </c>
      <c r="W5" s="7" t="s">
        <v>3403</v>
      </c>
      <c r="X5" s="8" t="s">
        <v>3406</v>
      </c>
      <c r="Y5" s="12">
        <v>0.7</v>
      </c>
      <c r="Z5" s="8" t="s">
        <v>3403</v>
      </c>
      <c r="AA5" s="6" t="s">
        <v>3403</v>
      </c>
      <c r="AB5" s="10">
        <v>0.7</v>
      </c>
      <c r="AC5" s="6" t="s">
        <v>3406</v>
      </c>
    </row>
    <row r="6" spans="1:44" ht="14.45">
      <c r="A6" s="15">
        <v>4</v>
      </c>
      <c r="B6" s="20" t="s">
        <v>3407</v>
      </c>
      <c r="C6" s="15" t="s">
        <v>3375</v>
      </c>
      <c r="D6" s="15"/>
      <c r="E6" s="15"/>
      <c r="F6" s="15" t="s">
        <v>3376</v>
      </c>
      <c r="G6" s="15">
        <v>5</v>
      </c>
      <c r="H6" s="15" t="s">
        <v>3377</v>
      </c>
      <c r="I6" s="15" t="s">
        <v>3378</v>
      </c>
      <c r="J6" s="15" t="s">
        <v>3379</v>
      </c>
      <c r="K6" s="15" t="s">
        <v>3380</v>
      </c>
      <c r="L6" s="208"/>
      <c r="M6" s="208"/>
      <c r="N6" s="208"/>
      <c r="O6" s="62" t="s">
        <v>3408</v>
      </c>
      <c r="P6" s="65">
        <v>0.7</v>
      </c>
      <c r="Q6" s="62" t="s">
        <v>3409</v>
      </c>
      <c r="R6" s="87" t="s">
        <v>3410</v>
      </c>
      <c r="S6" s="88">
        <v>0.7</v>
      </c>
      <c r="T6" s="87" t="s">
        <v>3409</v>
      </c>
      <c r="U6" s="63" t="s">
        <v>3411</v>
      </c>
      <c r="V6" s="66">
        <v>0.7</v>
      </c>
      <c r="W6" s="63" t="s">
        <v>3409</v>
      </c>
      <c r="X6" s="92" t="s">
        <v>3412</v>
      </c>
      <c r="Y6" s="93">
        <v>0.7</v>
      </c>
      <c r="Z6" s="92" t="s">
        <v>3409</v>
      </c>
      <c r="AA6" s="62" t="s">
        <v>3413</v>
      </c>
      <c r="AB6" s="67">
        <v>0.7</v>
      </c>
      <c r="AC6" s="62" t="s">
        <v>3409</v>
      </c>
      <c r="AN6" s="82"/>
    </row>
    <row r="7" spans="1:44" ht="14.45">
      <c r="A7" s="15">
        <v>5</v>
      </c>
      <c r="B7" s="20" t="s">
        <v>3414</v>
      </c>
      <c r="C7" s="15" t="s">
        <v>3375</v>
      </c>
      <c r="D7" s="15"/>
      <c r="E7" s="15"/>
      <c r="F7" s="15" t="s">
        <v>3376</v>
      </c>
      <c r="G7" s="15">
        <v>5</v>
      </c>
      <c r="H7" s="15" t="s">
        <v>3377</v>
      </c>
      <c r="I7" s="15" t="s">
        <v>3378</v>
      </c>
      <c r="J7" s="15" t="s">
        <v>3379</v>
      </c>
      <c r="K7" s="15" t="s">
        <v>3380</v>
      </c>
      <c r="L7" s="208"/>
      <c r="M7" s="208"/>
      <c r="N7" s="208"/>
      <c r="O7" s="62" t="s">
        <v>3415</v>
      </c>
      <c r="P7" s="65">
        <v>0.7</v>
      </c>
      <c r="Q7" s="62" t="s">
        <v>3409</v>
      </c>
      <c r="R7" s="87" t="s">
        <v>3408</v>
      </c>
      <c r="S7" s="88">
        <v>0.7</v>
      </c>
      <c r="T7" s="87" t="s">
        <v>3409</v>
      </c>
      <c r="U7" s="63" t="s">
        <v>3410</v>
      </c>
      <c r="V7" s="66">
        <v>0.7</v>
      </c>
      <c r="W7" s="63" t="s">
        <v>3409</v>
      </c>
      <c r="X7" s="92" t="s">
        <v>3412</v>
      </c>
      <c r="Y7" s="93">
        <v>0.7</v>
      </c>
      <c r="Z7" s="92" t="s">
        <v>3409</v>
      </c>
      <c r="AA7" s="62" t="s">
        <v>3413</v>
      </c>
      <c r="AB7" s="67">
        <v>0.7</v>
      </c>
      <c r="AC7" s="62" t="s">
        <v>3409</v>
      </c>
    </row>
    <row r="8" spans="1:44" ht="14.45">
      <c r="A8">
        <v>6</v>
      </c>
      <c r="B8" t="s">
        <v>3416</v>
      </c>
      <c r="C8" t="s">
        <v>3375</v>
      </c>
      <c r="F8" t="s">
        <v>3376</v>
      </c>
      <c r="G8">
        <v>7</v>
      </c>
      <c r="H8" t="s">
        <v>3377</v>
      </c>
      <c r="I8" t="s">
        <v>3378</v>
      </c>
      <c r="J8" t="s">
        <v>3379</v>
      </c>
      <c r="K8" t="s">
        <v>3380</v>
      </c>
      <c r="L8" s="206" t="s">
        <v>3400</v>
      </c>
      <c r="M8" s="206">
        <v>0.5</v>
      </c>
      <c r="N8" s="206" t="s">
        <v>3401</v>
      </c>
      <c r="O8" s="6" t="s">
        <v>3409</v>
      </c>
      <c r="P8" s="64">
        <v>0.7</v>
      </c>
      <c r="Q8" s="44" t="s">
        <v>3417</v>
      </c>
      <c r="R8" s="5" t="s">
        <v>3413</v>
      </c>
      <c r="S8" s="13">
        <v>0.7</v>
      </c>
      <c r="T8" s="14" t="s">
        <v>3417</v>
      </c>
      <c r="U8" s="7" t="s">
        <v>3412</v>
      </c>
      <c r="V8" s="11">
        <v>0.7</v>
      </c>
      <c r="W8" s="30" t="s">
        <v>3409</v>
      </c>
      <c r="X8" s="8" t="s">
        <v>3410</v>
      </c>
      <c r="Y8" s="12">
        <v>0.7</v>
      </c>
      <c r="Z8" s="28" t="s">
        <v>3409</v>
      </c>
      <c r="AA8" s="6" t="s">
        <v>3408</v>
      </c>
      <c r="AB8" s="10">
        <v>0.7</v>
      </c>
      <c r="AC8" s="27" t="s">
        <v>3409</v>
      </c>
      <c r="AD8" s="5" t="s">
        <v>3415</v>
      </c>
      <c r="AE8" s="13">
        <v>0.7</v>
      </c>
      <c r="AF8" s="26" t="s">
        <v>3409</v>
      </c>
      <c r="AG8" s="7" t="s">
        <v>3418</v>
      </c>
      <c r="AH8" s="11">
        <v>0.7</v>
      </c>
      <c r="AI8" s="30" t="s">
        <v>3409</v>
      </c>
      <c r="AN8" s="82"/>
    </row>
    <row r="9" spans="1:44" ht="14.45">
      <c r="A9" s="15">
        <v>7</v>
      </c>
      <c r="B9" s="15" t="s">
        <v>3419</v>
      </c>
      <c r="C9" s="15" t="s">
        <v>3375</v>
      </c>
      <c r="D9" s="15"/>
      <c r="E9" s="15"/>
      <c r="F9" s="15" t="s">
        <v>3376</v>
      </c>
      <c r="G9" s="15">
        <v>8</v>
      </c>
      <c r="H9" s="15" t="s">
        <v>3377</v>
      </c>
      <c r="I9" s="15" t="s">
        <v>3378</v>
      </c>
      <c r="J9" s="15" t="s">
        <v>3379</v>
      </c>
      <c r="K9" s="15" t="s">
        <v>3380</v>
      </c>
      <c r="L9" s="208"/>
      <c r="M9" s="208"/>
      <c r="N9" s="208"/>
      <c r="O9" s="27" t="s">
        <v>3393</v>
      </c>
      <c r="P9" s="83">
        <v>0.7</v>
      </c>
      <c r="Q9" s="89" t="s">
        <v>3420</v>
      </c>
      <c r="R9" s="26" t="s">
        <v>3421</v>
      </c>
      <c r="S9" s="84">
        <v>0.7</v>
      </c>
      <c r="T9" s="90" t="s">
        <v>3420</v>
      </c>
      <c r="U9" s="30" t="s">
        <v>3422</v>
      </c>
      <c r="V9" s="85">
        <v>0.7</v>
      </c>
      <c r="W9" s="30" t="s">
        <v>3423</v>
      </c>
      <c r="X9" s="28" t="s">
        <v>3424</v>
      </c>
      <c r="Y9" s="86">
        <v>0.7</v>
      </c>
      <c r="Z9" s="28" t="s">
        <v>3423</v>
      </c>
      <c r="AA9" s="27" t="s">
        <v>3415</v>
      </c>
      <c r="AB9" s="83">
        <v>0.7</v>
      </c>
      <c r="AC9" s="27" t="s">
        <v>3423</v>
      </c>
      <c r="AD9" s="26" t="s">
        <v>3418</v>
      </c>
      <c r="AE9" s="84">
        <v>0.7</v>
      </c>
      <c r="AF9" s="26" t="s">
        <v>3423</v>
      </c>
      <c r="AG9" s="30" t="s">
        <v>3398</v>
      </c>
      <c r="AH9" s="85">
        <v>0.7</v>
      </c>
      <c r="AI9" s="30" t="s">
        <v>3423</v>
      </c>
      <c r="AJ9" s="28" t="s">
        <v>3423</v>
      </c>
      <c r="AK9" s="86">
        <v>0.7</v>
      </c>
      <c r="AL9" s="28" t="s">
        <v>3398</v>
      </c>
      <c r="AM9" s="27"/>
      <c r="AO9" s="27"/>
      <c r="AP9" s="26"/>
      <c r="AR9" s="26"/>
    </row>
    <row r="10" spans="1:44" ht="14.45">
      <c r="A10">
        <v>8</v>
      </c>
      <c r="B10" s="15" t="s">
        <v>3425</v>
      </c>
      <c r="C10" s="15" t="s">
        <v>3375</v>
      </c>
      <c r="D10" s="15"/>
      <c r="E10" s="15"/>
      <c r="F10" s="15" t="s">
        <v>3376</v>
      </c>
      <c r="G10" s="73">
        <v>7</v>
      </c>
      <c r="H10" s="73" t="s">
        <v>3377</v>
      </c>
      <c r="I10" s="73" t="s">
        <v>3378</v>
      </c>
      <c r="J10" s="73" t="s">
        <v>3379</v>
      </c>
      <c r="K10" s="73" t="s">
        <v>3380</v>
      </c>
      <c r="L10" s="207"/>
      <c r="M10" s="207"/>
      <c r="N10" s="207"/>
      <c r="O10" s="74" t="s">
        <v>3391</v>
      </c>
      <c r="P10" s="75">
        <v>0.7</v>
      </c>
      <c r="Q10" s="74" t="s">
        <v>3392</v>
      </c>
      <c r="R10" s="76" t="s">
        <v>3393</v>
      </c>
      <c r="S10" s="77">
        <v>0.7</v>
      </c>
      <c r="T10" s="76" t="s">
        <v>3392</v>
      </c>
      <c r="U10" s="78" t="s">
        <v>3394</v>
      </c>
      <c r="V10" s="79">
        <v>0.7</v>
      </c>
      <c r="W10" s="78" t="s">
        <v>3392</v>
      </c>
      <c r="X10" s="80" t="s">
        <v>3395</v>
      </c>
      <c r="Y10" s="81">
        <v>0.7</v>
      </c>
      <c r="Z10" s="80" t="s">
        <v>3392</v>
      </c>
      <c r="AA10" s="74" t="s">
        <v>3396</v>
      </c>
      <c r="AB10" s="82">
        <v>0.7</v>
      </c>
      <c r="AC10" s="74" t="s">
        <v>3392</v>
      </c>
      <c r="AD10" s="76" t="s">
        <v>3397</v>
      </c>
      <c r="AE10" s="77">
        <v>0.7</v>
      </c>
      <c r="AF10" s="76" t="s">
        <v>3392</v>
      </c>
      <c r="AG10" s="78" t="s">
        <v>3398</v>
      </c>
      <c r="AH10" s="79">
        <v>0.7</v>
      </c>
      <c r="AI10" s="78" t="s">
        <v>3392</v>
      </c>
      <c r="AJ10" s="28"/>
      <c r="AK10" s="86"/>
      <c r="AL10" s="28"/>
      <c r="AM10" s="27"/>
      <c r="AN10" s="82"/>
      <c r="AO10" s="27"/>
      <c r="AP10" s="26"/>
      <c r="AR10" s="26"/>
    </row>
    <row r="11" spans="1:44" ht="14.45">
      <c r="A11">
        <v>9</v>
      </c>
      <c r="B11" t="s">
        <v>3426</v>
      </c>
      <c r="C11" t="s">
        <v>3375</v>
      </c>
      <c r="F11" t="s">
        <v>3376</v>
      </c>
      <c r="G11">
        <v>6</v>
      </c>
      <c r="H11" t="s">
        <v>3377</v>
      </c>
      <c r="I11" t="s">
        <v>3378</v>
      </c>
      <c r="J11" t="s">
        <v>3379</v>
      </c>
      <c r="K11" t="s">
        <v>3380</v>
      </c>
      <c r="O11" s="6" t="s">
        <v>3427</v>
      </c>
      <c r="P11" s="64">
        <v>1</v>
      </c>
      <c r="Q11" s="6" t="s">
        <v>3428</v>
      </c>
      <c r="R11" s="5" t="s">
        <v>3429</v>
      </c>
      <c r="S11" s="13">
        <v>1</v>
      </c>
      <c r="T11" s="5" t="s">
        <v>3428</v>
      </c>
      <c r="U11" s="7" t="s">
        <v>3430</v>
      </c>
      <c r="V11" s="11">
        <v>1</v>
      </c>
      <c r="W11" s="7" t="s">
        <v>3428</v>
      </c>
      <c r="X11" s="8" t="s">
        <v>3431</v>
      </c>
      <c r="Y11" s="12">
        <v>1</v>
      </c>
      <c r="Z11" s="8" t="s">
        <v>3428</v>
      </c>
      <c r="AA11" s="6" t="s">
        <v>3432</v>
      </c>
      <c r="AB11" s="10">
        <v>1</v>
      </c>
      <c r="AC11" s="6" t="s">
        <v>3428</v>
      </c>
      <c r="AD11" s="5" t="s">
        <v>3385</v>
      </c>
      <c r="AE11" s="13">
        <v>1</v>
      </c>
      <c r="AF11" s="5" t="s">
        <v>3428</v>
      </c>
    </row>
    <row r="12" spans="1:44" ht="14.45">
      <c r="A12">
        <v>10</v>
      </c>
      <c r="B12" t="s">
        <v>3248</v>
      </c>
      <c r="C12" t="s">
        <v>3433</v>
      </c>
      <c r="D12" t="b">
        <v>1</v>
      </c>
      <c r="E12">
        <v>0</v>
      </c>
      <c r="G12">
        <v>1</v>
      </c>
      <c r="H12" t="s">
        <v>3377</v>
      </c>
      <c r="I12" t="s">
        <v>3378</v>
      </c>
      <c r="J12" t="s">
        <v>3379</v>
      </c>
      <c r="K12" t="s">
        <v>3380</v>
      </c>
      <c r="O12" s="6" t="s">
        <v>3434</v>
      </c>
      <c r="P12" s="64">
        <v>1.2</v>
      </c>
      <c r="Q12" s="6" t="s">
        <v>3435</v>
      </c>
      <c r="AN12" s="82"/>
    </row>
    <row r="13" spans="1:44" ht="14.45">
      <c r="A13">
        <v>11</v>
      </c>
      <c r="B13" t="s">
        <v>3250</v>
      </c>
      <c r="C13" t="s">
        <v>3433</v>
      </c>
      <c r="D13" t="b">
        <v>1</v>
      </c>
      <c r="E13">
        <v>0</v>
      </c>
      <c r="G13">
        <v>1</v>
      </c>
      <c r="H13" t="s">
        <v>3377</v>
      </c>
      <c r="I13" t="s">
        <v>3378</v>
      </c>
      <c r="J13" t="s">
        <v>3379</v>
      </c>
      <c r="K13" t="s">
        <v>3380</v>
      </c>
      <c r="O13" s="6" t="s">
        <v>3436</v>
      </c>
      <c r="P13" s="64">
        <v>1</v>
      </c>
      <c r="Q13" s="6" t="s">
        <v>3437</v>
      </c>
    </row>
    <row r="14" spans="1:44" ht="14.45">
      <c r="A14">
        <v>12</v>
      </c>
      <c r="B14" t="s">
        <v>3438</v>
      </c>
      <c r="C14" t="s">
        <v>3375</v>
      </c>
      <c r="F14" t="s">
        <v>3376</v>
      </c>
      <c r="G14">
        <v>8</v>
      </c>
      <c r="H14" t="s">
        <v>3377</v>
      </c>
      <c r="I14" t="s">
        <v>3378</v>
      </c>
      <c r="J14" t="s">
        <v>3379</v>
      </c>
      <c r="K14" t="s">
        <v>3380</v>
      </c>
      <c r="O14" s="6" t="s">
        <v>3393</v>
      </c>
      <c r="P14" s="64">
        <v>0.7</v>
      </c>
      <c r="Q14" s="44" t="s">
        <v>3420</v>
      </c>
      <c r="R14" s="5" t="s">
        <v>3421</v>
      </c>
      <c r="S14" s="13">
        <v>0.7</v>
      </c>
      <c r="T14" s="14" t="s">
        <v>3420</v>
      </c>
      <c r="U14" s="7" t="s">
        <v>3422</v>
      </c>
      <c r="V14" s="11">
        <v>0.7</v>
      </c>
      <c r="W14" s="70" t="s">
        <v>3439</v>
      </c>
      <c r="X14" s="8" t="s">
        <v>3424</v>
      </c>
      <c r="Y14" s="12">
        <v>0.7</v>
      </c>
      <c r="Z14" s="69" t="s">
        <v>3439</v>
      </c>
      <c r="AA14" s="6" t="s">
        <v>3415</v>
      </c>
      <c r="AB14" s="10">
        <v>0.7</v>
      </c>
      <c r="AC14" s="71" t="s">
        <v>3439</v>
      </c>
      <c r="AD14" s="5" t="s">
        <v>3418</v>
      </c>
      <c r="AE14" s="13">
        <v>0.7</v>
      </c>
      <c r="AF14" s="68" t="s">
        <v>3439</v>
      </c>
      <c r="AG14" s="70" t="s">
        <v>3440</v>
      </c>
      <c r="AH14" s="11">
        <v>0.7</v>
      </c>
      <c r="AI14" s="70" t="s">
        <v>3439</v>
      </c>
      <c r="AJ14" s="69" t="s">
        <v>3439</v>
      </c>
      <c r="AK14" s="12">
        <v>0.7</v>
      </c>
      <c r="AL14" s="69" t="s">
        <v>3440</v>
      </c>
      <c r="AN14" s="82"/>
    </row>
    <row r="15" spans="1:44" ht="14.45">
      <c r="A15">
        <v>13</v>
      </c>
      <c r="B15" t="s">
        <v>3441</v>
      </c>
      <c r="C15" t="s">
        <v>3375</v>
      </c>
      <c r="F15" t="s">
        <v>3376</v>
      </c>
      <c r="G15">
        <v>7</v>
      </c>
      <c r="H15" t="s">
        <v>3377</v>
      </c>
      <c r="I15" t="s">
        <v>3378</v>
      </c>
      <c r="J15" t="s">
        <v>3379</v>
      </c>
      <c r="K15" t="s">
        <v>3380</v>
      </c>
      <c r="O15" s="6" t="s">
        <v>3409</v>
      </c>
      <c r="P15" s="64">
        <v>0.7</v>
      </c>
      <c r="Q15" s="44" t="s">
        <v>3417</v>
      </c>
      <c r="R15" s="5" t="s">
        <v>3413</v>
      </c>
      <c r="S15" s="13">
        <v>0.7</v>
      </c>
      <c r="T15" s="14" t="s">
        <v>3417</v>
      </c>
      <c r="U15" s="7" t="s">
        <v>3412</v>
      </c>
      <c r="V15" s="11">
        <v>0.7</v>
      </c>
      <c r="W15" s="7" t="s">
        <v>3417</v>
      </c>
      <c r="X15" s="8" t="s">
        <v>3410</v>
      </c>
      <c r="Y15" s="12">
        <v>0.7</v>
      </c>
      <c r="Z15" s="8" t="s">
        <v>3417</v>
      </c>
      <c r="AA15" s="6" t="s">
        <v>3408</v>
      </c>
      <c r="AB15" s="10">
        <v>0.7</v>
      </c>
      <c r="AC15" s="6" t="s">
        <v>3417</v>
      </c>
      <c r="AD15" s="5" t="s">
        <v>3415</v>
      </c>
      <c r="AE15" s="13">
        <v>0.7</v>
      </c>
      <c r="AF15" s="5" t="s">
        <v>3417</v>
      </c>
      <c r="AG15" s="7" t="s">
        <v>3418</v>
      </c>
      <c r="AH15" s="11">
        <v>0.7</v>
      </c>
      <c r="AI15" s="7" t="s">
        <v>3417</v>
      </c>
    </row>
    <row r="16" spans="1:44" ht="15" customHeight="1">
      <c r="A16">
        <v>14</v>
      </c>
      <c r="B16" t="s">
        <v>3442</v>
      </c>
      <c r="C16" t="s">
        <v>3433</v>
      </c>
      <c r="D16" t="b">
        <v>1</v>
      </c>
      <c r="E16">
        <v>0</v>
      </c>
      <c r="G16">
        <v>1</v>
      </c>
      <c r="H16" t="s">
        <v>3377</v>
      </c>
      <c r="I16" t="s">
        <v>3378</v>
      </c>
      <c r="J16" t="s">
        <v>3379</v>
      </c>
      <c r="K16" t="s">
        <v>3380</v>
      </c>
      <c r="O16" s="6" t="s">
        <v>3443</v>
      </c>
      <c r="P16" s="10">
        <v>0.7</v>
      </c>
      <c r="Q16" s="6" t="s">
        <v>3444</v>
      </c>
      <c r="AN16" s="82"/>
    </row>
    <row r="17" spans="1:40" ht="15" customHeight="1">
      <c r="A17">
        <v>15</v>
      </c>
      <c r="B17" t="s">
        <v>3445</v>
      </c>
      <c r="C17" t="s">
        <v>3433</v>
      </c>
      <c r="D17" t="b">
        <v>1</v>
      </c>
      <c r="E17">
        <v>0.5</v>
      </c>
      <c r="G17">
        <v>1</v>
      </c>
      <c r="H17" t="s">
        <v>3377</v>
      </c>
      <c r="I17" t="s">
        <v>3378</v>
      </c>
      <c r="J17" t="s">
        <v>3379</v>
      </c>
      <c r="K17" t="s">
        <v>3380</v>
      </c>
      <c r="O17" s="6" t="s">
        <v>3446</v>
      </c>
      <c r="P17" s="10">
        <v>0.4</v>
      </c>
      <c r="Q17" s="6" t="s">
        <v>3428</v>
      </c>
    </row>
    <row r="18" spans="1:40" ht="15" customHeight="1">
      <c r="A18">
        <v>16</v>
      </c>
      <c r="B18" t="s">
        <v>3447</v>
      </c>
      <c r="C18" t="s">
        <v>3375</v>
      </c>
      <c r="F18" t="s">
        <v>3376</v>
      </c>
      <c r="G18">
        <v>7</v>
      </c>
      <c r="H18" t="s">
        <v>3377</v>
      </c>
      <c r="I18" t="s">
        <v>3378</v>
      </c>
      <c r="J18" t="s">
        <v>3379</v>
      </c>
      <c r="K18" t="s">
        <v>3380</v>
      </c>
      <c r="O18" s="6" t="s">
        <v>3381</v>
      </c>
      <c r="P18" s="64">
        <v>0.7</v>
      </c>
      <c r="Q18" s="27" t="s">
        <v>3383</v>
      </c>
      <c r="R18" s="5" t="s">
        <v>3384</v>
      </c>
      <c r="S18" s="13">
        <v>0.7</v>
      </c>
      <c r="T18" s="5" t="s">
        <v>3385</v>
      </c>
      <c r="U18" s="7" t="s">
        <v>3386</v>
      </c>
      <c r="V18" s="11">
        <v>0.7</v>
      </c>
      <c r="W18" s="7" t="s">
        <v>3385</v>
      </c>
      <c r="X18" s="8" t="s">
        <v>3387</v>
      </c>
      <c r="Y18" s="12">
        <v>0.7</v>
      </c>
      <c r="Z18" s="8" t="s">
        <v>3385</v>
      </c>
      <c r="AA18" s="6" t="s">
        <v>3388</v>
      </c>
      <c r="AB18" s="10">
        <v>0.7</v>
      </c>
      <c r="AC18" s="6" t="s">
        <v>3385</v>
      </c>
      <c r="AD18" s="5" t="s">
        <v>3389</v>
      </c>
      <c r="AE18" s="13">
        <v>0.7</v>
      </c>
      <c r="AF18" s="5" t="s">
        <v>3385</v>
      </c>
      <c r="AG18" s="7" t="s">
        <v>3385</v>
      </c>
      <c r="AH18" s="11">
        <v>0.7</v>
      </c>
      <c r="AI18" s="7" t="s">
        <v>3448</v>
      </c>
      <c r="AN18" s="82"/>
    </row>
    <row r="19" spans="1:40" ht="15" customHeight="1">
      <c r="A19">
        <v>17</v>
      </c>
      <c r="B19" t="s">
        <v>3244</v>
      </c>
      <c r="C19" t="s">
        <v>3433</v>
      </c>
      <c r="D19" t="b">
        <v>1</v>
      </c>
      <c r="E19">
        <v>0</v>
      </c>
      <c r="G19">
        <v>1</v>
      </c>
      <c r="H19" t="s">
        <v>3377</v>
      </c>
      <c r="I19" t="s">
        <v>3378</v>
      </c>
      <c r="J19" t="s">
        <v>3379</v>
      </c>
      <c r="K19" t="s">
        <v>3380</v>
      </c>
      <c r="O19" s="6" t="s">
        <v>3400</v>
      </c>
      <c r="P19" s="10">
        <v>0.4</v>
      </c>
      <c r="Q19" s="6" t="s">
        <v>3449</v>
      </c>
    </row>
    <row r="20" spans="1:40" ht="15" customHeight="1">
      <c r="A20">
        <v>18</v>
      </c>
      <c r="B20" t="s">
        <v>3246</v>
      </c>
      <c r="C20" t="s">
        <v>3433</v>
      </c>
      <c r="D20" t="b">
        <v>1</v>
      </c>
      <c r="E20">
        <v>0</v>
      </c>
      <c r="G20">
        <v>1</v>
      </c>
      <c r="H20" t="s">
        <v>3377</v>
      </c>
      <c r="I20" t="s">
        <v>3378</v>
      </c>
      <c r="J20" t="s">
        <v>3379</v>
      </c>
      <c r="K20" t="s">
        <v>3380</v>
      </c>
      <c r="O20" s="6" t="s">
        <v>3400</v>
      </c>
      <c r="P20" s="10">
        <v>0.4</v>
      </c>
      <c r="Q20" s="6" t="s">
        <v>3450</v>
      </c>
    </row>
    <row r="21" spans="1:40" ht="15" customHeight="1">
      <c r="A21">
        <v>19</v>
      </c>
      <c r="B21" t="s">
        <v>3253</v>
      </c>
      <c r="C21" t="s">
        <v>3433</v>
      </c>
      <c r="D21" t="b">
        <v>1</v>
      </c>
      <c r="E21">
        <v>0</v>
      </c>
      <c r="G21">
        <v>1</v>
      </c>
      <c r="H21" t="s">
        <v>3377</v>
      </c>
      <c r="I21" t="s">
        <v>3378</v>
      </c>
      <c r="J21" t="s">
        <v>3379</v>
      </c>
      <c r="K21" t="s">
        <v>3380</v>
      </c>
      <c r="O21" s="6" t="s">
        <v>3400</v>
      </c>
      <c r="P21" s="10">
        <v>0.4</v>
      </c>
      <c r="Q21" s="6" t="s">
        <v>3451</v>
      </c>
    </row>
    <row r="22" spans="1:40" ht="15" customHeight="1">
      <c r="A22">
        <v>20</v>
      </c>
      <c r="B22" t="s">
        <v>3452</v>
      </c>
      <c r="C22" t="s">
        <v>3433</v>
      </c>
      <c r="D22" t="b">
        <v>1</v>
      </c>
      <c r="E22">
        <v>1</v>
      </c>
      <c r="G22">
        <v>1</v>
      </c>
      <c r="H22" t="s">
        <v>3377</v>
      </c>
      <c r="I22" t="s">
        <v>3378</v>
      </c>
      <c r="J22" t="s">
        <v>3379</v>
      </c>
      <c r="K22" t="s">
        <v>3380</v>
      </c>
      <c r="O22" s="6" t="s">
        <v>3453</v>
      </c>
      <c r="P22" s="10">
        <v>0.1</v>
      </c>
      <c r="Q22" s="6" t="s">
        <v>3437</v>
      </c>
    </row>
    <row r="23" spans="1:40" ht="15" customHeight="1">
      <c r="A23">
        <v>21</v>
      </c>
      <c r="B23" t="s">
        <v>3454</v>
      </c>
      <c r="C23" t="s">
        <v>3433</v>
      </c>
      <c r="D23" t="b">
        <v>1</v>
      </c>
      <c r="E23">
        <v>0</v>
      </c>
      <c r="G23">
        <v>1</v>
      </c>
      <c r="H23" t="s">
        <v>3377</v>
      </c>
      <c r="I23" t="s">
        <v>3378</v>
      </c>
      <c r="J23" t="s">
        <v>3379</v>
      </c>
      <c r="K23" t="s">
        <v>3380</v>
      </c>
      <c r="O23" s="6" t="s">
        <v>3400</v>
      </c>
      <c r="P23" s="10">
        <v>0.4</v>
      </c>
      <c r="Q23" s="6" t="s">
        <v>3398</v>
      </c>
    </row>
    <row r="24" spans="1:40" ht="15" customHeight="1">
      <c r="P24" s="64"/>
      <c r="Q24" s="44"/>
      <c r="T24" s="14"/>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39257-F507-457D-8879-53B41FC1EC1D}">
  <dimension ref="A1:C154"/>
  <sheetViews>
    <sheetView workbookViewId="0">
      <pane ySplit="1" topLeftCell="A8" activePane="bottomLeft" state="frozen"/>
      <selection pane="bottomLeft" activeCell="A8" sqref="A8"/>
    </sheetView>
  </sheetViews>
  <sheetFormatPr defaultColWidth="8.85546875" defaultRowHeight="14.45"/>
  <cols>
    <col min="1" max="1" width="14.42578125" bestFit="1" customWidth="1"/>
  </cols>
  <sheetData>
    <row r="1" spans="1:3" s="4" customFormat="1">
      <c r="A1" s="4" t="s">
        <v>3331</v>
      </c>
      <c r="B1" s="4" t="s">
        <v>3455</v>
      </c>
      <c r="C1" s="4" t="s">
        <v>3456</v>
      </c>
    </row>
    <row r="2" spans="1:3">
      <c r="A2">
        <v>1</v>
      </c>
      <c r="B2">
        <v>10</v>
      </c>
      <c r="C2">
        <v>0.5</v>
      </c>
    </row>
    <row r="3" spans="1:3">
      <c r="A3">
        <v>1</v>
      </c>
      <c r="B3">
        <v>11</v>
      </c>
      <c r="C3">
        <v>0.7</v>
      </c>
    </row>
    <row r="4" spans="1:3">
      <c r="A4">
        <v>1</v>
      </c>
      <c r="B4">
        <v>12</v>
      </c>
      <c r="C4">
        <v>0.7</v>
      </c>
    </row>
    <row r="5" spans="1:3">
      <c r="A5">
        <v>1</v>
      </c>
      <c r="B5">
        <v>13</v>
      </c>
      <c r="C5">
        <v>0.7</v>
      </c>
    </row>
    <row r="6" spans="1:3">
      <c r="A6">
        <v>1</v>
      </c>
      <c r="B6">
        <v>14</v>
      </c>
      <c r="C6">
        <v>0.7</v>
      </c>
    </row>
    <row r="7" spans="1:3">
      <c r="A7">
        <v>1</v>
      </c>
      <c r="B7">
        <v>15</v>
      </c>
      <c r="C7">
        <v>0.7</v>
      </c>
    </row>
    <row r="8" spans="1:3">
      <c r="A8">
        <v>1</v>
      </c>
      <c r="B8">
        <v>23</v>
      </c>
      <c r="C8">
        <v>1</v>
      </c>
    </row>
    <row r="9" spans="1:3">
      <c r="A9">
        <v>2</v>
      </c>
      <c r="B9">
        <v>9</v>
      </c>
      <c r="C9">
        <v>0</v>
      </c>
    </row>
    <row r="10" spans="1:3">
      <c r="A10">
        <v>2</v>
      </c>
      <c r="B10">
        <v>10</v>
      </c>
      <c r="C10">
        <v>0.1</v>
      </c>
    </row>
    <row r="11" spans="1:3">
      <c r="A11">
        <v>2</v>
      </c>
      <c r="B11">
        <v>12</v>
      </c>
      <c r="C11">
        <v>0.2</v>
      </c>
    </row>
    <row r="12" spans="1:3">
      <c r="A12">
        <v>2</v>
      </c>
      <c r="B12">
        <v>13</v>
      </c>
      <c r="C12">
        <v>0.3</v>
      </c>
    </row>
    <row r="13" spans="1:3">
      <c r="A13">
        <v>2</v>
      </c>
      <c r="B13">
        <v>14</v>
      </c>
      <c r="C13">
        <v>0.4</v>
      </c>
    </row>
    <row r="14" spans="1:3">
      <c r="A14">
        <v>2</v>
      </c>
      <c r="B14">
        <v>15</v>
      </c>
      <c r="C14">
        <v>0.5</v>
      </c>
    </row>
    <row r="15" spans="1:3">
      <c r="A15">
        <v>2</v>
      </c>
      <c r="B15">
        <v>16</v>
      </c>
      <c r="C15">
        <v>0.8</v>
      </c>
    </row>
    <row r="16" spans="1:3">
      <c r="A16">
        <v>2</v>
      </c>
      <c r="B16">
        <v>17</v>
      </c>
      <c r="C16">
        <v>1</v>
      </c>
    </row>
    <row r="17" spans="1:3">
      <c r="A17">
        <v>3</v>
      </c>
      <c r="B17">
        <v>9</v>
      </c>
      <c r="C17">
        <v>0</v>
      </c>
    </row>
    <row r="18" spans="1:3">
      <c r="A18">
        <v>3</v>
      </c>
      <c r="B18">
        <v>10</v>
      </c>
      <c r="C18">
        <v>0.1</v>
      </c>
    </row>
    <row r="19" spans="1:3">
      <c r="A19">
        <v>3</v>
      </c>
      <c r="B19">
        <v>12</v>
      </c>
      <c r="C19">
        <v>0.2</v>
      </c>
    </row>
    <row r="20" spans="1:3">
      <c r="A20">
        <v>3</v>
      </c>
      <c r="B20">
        <v>13</v>
      </c>
      <c r="C20">
        <v>0.3</v>
      </c>
    </row>
    <row r="21" spans="1:3">
      <c r="A21">
        <v>3</v>
      </c>
      <c r="B21">
        <v>14</v>
      </c>
      <c r="C21">
        <v>0.4</v>
      </c>
    </row>
    <row r="22" spans="1:3">
      <c r="A22">
        <v>3</v>
      </c>
      <c r="B22">
        <v>15</v>
      </c>
      <c r="C22">
        <v>0.5</v>
      </c>
    </row>
    <row r="23" spans="1:3">
      <c r="A23">
        <v>3</v>
      </c>
      <c r="B23">
        <v>16</v>
      </c>
      <c r="C23">
        <v>0.8</v>
      </c>
    </row>
    <row r="24" spans="1:3">
      <c r="A24">
        <v>3</v>
      </c>
      <c r="B24">
        <v>17</v>
      </c>
      <c r="C24">
        <v>1</v>
      </c>
    </row>
    <row r="25" spans="1:3">
      <c r="A25">
        <v>4</v>
      </c>
      <c r="B25">
        <v>9</v>
      </c>
      <c r="C25">
        <v>0</v>
      </c>
    </row>
    <row r="26" spans="1:3">
      <c r="A26">
        <v>4</v>
      </c>
      <c r="B26">
        <v>10</v>
      </c>
      <c r="C26">
        <v>0.1</v>
      </c>
    </row>
    <row r="27" spans="1:3">
      <c r="A27">
        <v>4</v>
      </c>
      <c r="B27">
        <v>12</v>
      </c>
      <c r="C27">
        <v>0.2</v>
      </c>
    </row>
    <row r="28" spans="1:3">
      <c r="A28">
        <v>4</v>
      </c>
      <c r="B28">
        <v>13</v>
      </c>
      <c r="C28">
        <v>0.3</v>
      </c>
    </row>
    <row r="29" spans="1:3">
      <c r="A29">
        <v>4</v>
      </c>
      <c r="B29">
        <v>14</v>
      </c>
      <c r="C29">
        <v>0.4</v>
      </c>
    </row>
    <row r="30" spans="1:3">
      <c r="A30">
        <v>4</v>
      </c>
      <c r="B30">
        <v>15</v>
      </c>
      <c r="C30">
        <v>0.5</v>
      </c>
    </row>
    <row r="31" spans="1:3">
      <c r="A31">
        <v>4</v>
      </c>
      <c r="B31">
        <v>16</v>
      </c>
      <c r="C31">
        <v>0.8</v>
      </c>
    </row>
    <row r="32" spans="1:3">
      <c r="A32">
        <v>4</v>
      </c>
      <c r="B32">
        <v>17</v>
      </c>
      <c r="C32">
        <v>1</v>
      </c>
    </row>
    <row r="33" spans="1:3">
      <c r="A33">
        <v>5</v>
      </c>
      <c r="B33">
        <v>9</v>
      </c>
      <c r="C33">
        <v>0</v>
      </c>
    </row>
    <row r="34" spans="1:3">
      <c r="A34">
        <v>5</v>
      </c>
      <c r="B34">
        <v>10</v>
      </c>
      <c r="C34">
        <v>0.1</v>
      </c>
    </row>
    <row r="35" spans="1:3">
      <c r="A35">
        <v>5</v>
      </c>
      <c r="B35">
        <v>12</v>
      </c>
      <c r="C35">
        <v>0.2</v>
      </c>
    </row>
    <row r="36" spans="1:3">
      <c r="A36">
        <v>5</v>
      </c>
      <c r="B36">
        <v>13</v>
      </c>
      <c r="C36">
        <v>0.3</v>
      </c>
    </row>
    <row r="37" spans="1:3">
      <c r="A37">
        <v>5</v>
      </c>
      <c r="B37">
        <v>14</v>
      </c>
      <c r="C37">
        <v>0.4</v>
      </c>
    </row>
    <row r="38" spans="1:3">
      <c r="A38">
        <v>5</v>
      </c>
      <c r="B38">
        <v>15</v>
      </c>
      <c r="C38">
        <v>0.5</v>
      </c>
    </row>
    <row r="39" spans="1:3">
      <c r="A39">
        <v>5</v>
      </c>
      <c r="B39">
        <v>16</v>
      </c>
      <c r="C39">
        <v>0.8</v>
      </c>
    </row>
    <row r="40" spans="1:3">
      <c r="A40">
        <v>5</v>
      </c>
      <c r="B40">
        <v>17</v>
      </c>
      <c r="C40">
        <v>1</v>
      </c>
    </row>
    <row r="41" spans="1:3">
      <c r="A41">
        <v>6</v>
      </c>
      <c r="B41">
        <v>9</v>
      </c>
      <c r="C41">
        <v>0</v>
      </c>
    </row>
    <row r="42" spans="1:3">
      <c r="A42">
        <v>6</v>
      </c>
      <c r="B42">
        <v>10</v>
      </c>
      <c r="C42">
        <v>0.1</v>
      </c>
    </row>
    <row r="43" spans="1:3">
      <c r="A43">
        <v>6</v>
      </c>
      <c r="B43">
        <v>12</v>
      </c>
      <c r="C43">
        <v>0.2</v>
      </c>
    </row>
    <row r="44" spans="1:3">
      <c r="A44">
        <v>6</v>
      </c>
      <c r="B44">
        <v>13</v>
      </c>
      <c r="C44">
        <v>0.3</v>
      </c>
    </row>
    <row r="45" spans="1:3">
      <c r="A45">
        <v>6</v>
      </c>
      <c r="B45">
        <v>14</v>
      </c>
      <c r="C45">
        <v>0.4</v>
      </c>
    </row>
    <row r="46" spans="1:3">
      <c r="A46">
        <v>6</v>
      </c>
      <c r="B46">
        <v>15</v>
      </c>
      <c r="C46">
        <v>0.5</v>
      </c>
    </row>
    <row r="47" spans="1:3">
      <c r="A47">
        <v>6</v>
      </c>
      <c r="B47">
        <v>16</v>
      </c>
      <c r="C47">
        <v>0.8</v>
      </c>
    </row>
    <row r="48" spans="1:3">
      <c r="A48">
        <v>6</v>
      </c>
      <c r="B48">
        <v>17</v>
      </c>
      <c r="C48">
        <v>1</v>
      </c>
    </row>
    <row r="49" spans="1:3">
      <c r="A49">
        <v>7</v>
      </c>
      <c r="B49">
        <v>9</v>
      </c>
      <c r="C49">
        <v>0</v>
      </c>
    </row>
    <row r="50" spans="1:3">
      <c r="A50">
        <v>7</v>
      </c>
      <c r="B50">
        <v>10</v>
      </c>
      <c r="C50">
        <v>0.1</v>
      </c>
    </row>
    <row r="51" spans="1:3">
      <c r="A51">
        <v>7</v>
      </c>
      <c r="B51">
        <v>12</v>
      </c>
      <c r="C51">
        <v>0.2</v>
      </c>
    </row>
    <row r="52" spans="1:3">
      <c r="A52">
        <v>7</v>
      </c>
      <c r="B52">
        <v>13</v>
      </c>
      <c r="C52">
        <v>0.3</v>
      </c>
    </row>
    <row r="53" spans="1:3">
      <c r="A53">
        <v>7</v>
      </c>
      <c r="B53">
        <v>14</v>
      </c>
      <c r="C53">
        <v>0.4</v>
      </c>
    </row>
    <row r="54" spans="1:3">
      <c r="A54">
        <v>7</v>
      </c>
      <c r="B54">
        <v>15</v>
      </c>
      <c r="C54">
        <v>0.5</v>
      </c>
    </row>
    <row r="55" spans="1:3">
      <c r="A55">
        <v>7</v>
      </c>
      <c r="B55">
        <v>16</v>
      </c>
      <c r="C55">
        <v>0.8</v>
      </c>
    </row>
    <row r="56" spans="1:3">
      <c r="A56">
        <v>7</v>
      </c>
      <c r="B56">
        <v>17</v>
      </c>
      <c r="C56">
        <v>1</v>
      </c>
    </row>
    <row r="57" spans="1:3">
      <c r="A57">
        <v>8</v>
      </c>
      <c r="B57">
        <v>10</v>
      </c>
      <c r="C57">
        <v>0.5</v>
      </c>
    </row>
    <row r="58" spans="1:3">
      <c r="A58">
        <v>8</v>
      </c>
      <c r="B58">
        <v>11</v>
      </c>
      <c r="C58">
        <v>0.7</v>
      </c>
    </row>
    <row r="59" spans="1:3">
      <c r="A59">
        <v>8</v>
      </c>
      <c r="B59">
        <v>12</v>
      </c>
      <c r="C59">
        <v>0.7</v>
      </c>
    </row>
    <row r="60" spans="1:3">
      <c r="A60">
        <v>8</v>
      </c>
      <c r="B60">
        <v>13</v>
      </c>
      <c r="C60">
        <v>0.7</v>
      </c>
    </row>
    <row r="61" spans="1:3">
      <c r="A61">
        <v>8</v>
      </c>
      <c r="B61">
        <v>14</v>
      </c>
      <c r="C61">
        <v>0.7</v>
      </c>
    </row>
    <row r="62" spans="1:3">
      <c r="A62">
        <v>8</v>
      </c>
      <c r="B62">
        <v>15</v>
      </c>
      <c r="C62">
        <v>0.7</v>
      </c>
    </row>
    <row r="63" spans="1:3">
      <c r="A63">
        <v>8</v>
      </c>
      <c r="B63">
        <v>23</v>
      </c>
      <c r="C63">
        <v>1</v>
      </c>
    </row>
    <row r="64" spans="1:3">
      <c r="A64">
        <v>9</v>
      </c>
      <c r="B64">
        <v>-1</v>
      </c>
      <c r="C64">
        <v>-1</v>
      </c>
    </row>
    <row r="65" spans="1:3">
      <c r="A65">
        <v>9</v>
      </c>
      <c r="B65">
        <v>-1</v>
      </c>
      <c r="C65">
        <v>-1</v>
      </c>
    </row>
    <row r="66" spans="1:3">
      <c r="A66">
        <v>9</v>
      </c>
      <c r="B66">
        <v>-1</v>
      </c>
      <c r="C66">
        <v>-1</v>
      </c>
    </row>
    <row r="67" spans="1:3">
      <c r="A67">
        <v>9</v>
      </c>
      <c r="B67">
        <v>-1</v>
      </c>
      <c r="C67">
        <v>-1</v>
      </c>
    </row>
    <row r="68" spans="1:3">
      <c r="A68">
        <v>9</v>
      </c>
      <c r="B68">
        <v>-1</v>
      </c>
      <c r="C68">
        <v>-1</v>
      </c>
    </row>
    <row r="69" spans="1:3">
      <c r="A69">
        <v>9</v>
      </c>
      <c r="B69">
        <v>-1</v>
      </c>
      <c r="C69">
        <v>-1</v>
      </c>
    </row>
    <row r="70" spans="1:3">
      <c r="A70">
        <v>9</v>
      </c>
      <c r="B70">
        <v>-1</v>
      </c>
      <c r="C70">
        <v>-1</v>
      </c>
    </row>
    <row r="71" spans="1:3">
      <c r="A71">
        <v>14</v>
      </c>
      <c r="B71">
        <v>9</v>
      </c>
      <c r="C71">
        <v>0.1</v>
      </c>
    </row>
    <row r="72" spans="1:3">
      <c r="A72">
        <v>14</v>
      </c>
      <c r="B72">
        <v>10</v>
      </c>
      <c r="C72">
        <v>0.3</v>
      </c>
    </row>
    <row r="73" spans="1:3">
      <c r="A73">
        <v>14</v>
      </c>
      <c r="B73">
        <v>11</v>
      </c>
      <c r="C73">
        <v>0.5</v>
      </c>
    </row>
    <row r="74" spans="1:3">
      <c r="A74">
        <v>14</v>
      </c>
      <c r="B74">
        <v>13</v>
      </c>
      <c r="C74">
        <v>0.7</v>
      </c>
    </row>
    <row r="75" spans="1:3">
      <c r="A75">
        <v>14</v>
      </c>
      <c r="B75">
        <v>14</v>
      </c>
      <c r="C75">
        <v>1</v>
      </c>
    </row>
    <row r="76" spans="1:3">
      <c r="A76">
        <v>14</v>
      </c>
      <c r="B76">
        <v>15</v>
      </c>
      <c r="C76">
        <v>1.2</v>
      </c>
    </row>
    <row r="77" spans="1:3">
      <c r="A77">
        <v>15</v>
      </c>
      <c r="B77">
        <v>9</v>
      </c>
      <c r="C77">
        <v>0</v>
      </c>
    </row>
    <row r="78" spans="1:3">
      <c r="A78">
        <v>15</v>
      </c>
      <c r="B78">
        <v>10</v>
      </c>
      <c r="C78">
        <v>0.1</v>
      </c>
    </row>
    <row r="79" spans="1:3">
      <c r="A79">
        <v>15</v>
      </c>
      <c r="B79">
        <v>12</v>
      </c>
      <c r="C79">
        <v>0.2</v>
      </c>
    </row>
    <row r="80" spans="1:3">
      <c r="A80">
        <v>15</v>
      </c>
      <c r="B80">
        <v>13</v>
      </c>
      <c r="C80">
        <v>0.3</v>
      </c>
    </row>
    <row r="81" spans="1:3">
      <c r="A81">
        <v>15</v>
      </c>
      <c r="B81">
        <v>14</v>
      </c>
      <c r="C81">
        <v>0.4</v>
      </c>
    </row>
    <row r="82" spans="1:3">
      <c r="A82">
        <v>15</v>
      </c>
      <c r="B82">
        <v>15</v>
      </c>
      <c r="C82">
        <v>0.5</v>
      </c>
    </row>
    <row r="83" spans="1:3">
      <c r="A83">
        <v>15</v>
      </c>
      <c r="B83">
        <v>16</v>
      </c>
      <c r="C83">
        <v>0.8</v>
      </c>
    </row>
    <row r="84" spans="1:3">
      <c r="A84">
        <v>15</v>
      </c>
      <c r="B84">
        <v>17</v>
      </c>
      <c r="C84">
        <v>1</v>
      </c>
    </row>
    <row r="85" spans="1:3">
      <c r="A85">
        <v>16</v>
      </c>
      <c r="B85">
        <v>9</v>
      </c>
      <c r="C85">
        <v>0</v>
      </c>
    </row>
    <row r="86" spans="1:3">
      <c r="A86">
        <v>16</v>
      </c>
      <c r="B86">
        <v>10</v>
      </c>
      <c r="C86">
        <v>0.1</v>
      </c>
    </row>
    <row r="87" spans="1:3">
      <c r="A87">
        <v>16</v>
      </c>
      <c r="B87">
        <v>12</v>
      </c>
      <c r="C87">
        <v>0.2</v>
      </c>
    </row>
    <row r="88" spans="1:3">
      <c r="A88">
        <v>16</v>
      </c>
      <c r="B88">
        <v>13</v>
      </c>
      <c r="C88">
        <v>0.3</v>
      </c>
    </row>
    <row r="89" spans="1:3">
      <c r="A89">
        <v>16</v>
      </c>
      <c r="B89">
        <v>14</v>
      </c>
      <c r="C89">
        <v>0.4</v>
      </c>
    </row>
    <row r="90" spans="1:3">
      <c r="A90">
        <v>16</v>
      </c>
      <c r="B90">
        <v>15</v>
      </c>
      <c r="C90">
        <v>0.5</v>
      </c>
    </row>
    <row r="91" spans="1:3">
      <c r="A91">
        <v>16</v>
      </c>
      <c r="B91">
        <v>16</v>
      </c>
      <c r="C91">
        <v>0.8</v>
      </c>
    </row>
    <row r="92" spans="1:3">
      <c r="A92">
        <v>16</v>
      </c>
      <c r="B92">
        <v>17</v>
      </c>
      <c r="C92">
        <v>1</v>
      </c>
    </row>
    <row r="93" spans="1:3">
      <c r="A93">
        <v>17</v>
      </c>
      <c r="B93">
        <v>7</v>
      </c>
      <c r="C93">
        <v>0.1</v>
      </c>
    </row>
    <row r="94" spans="1:3">
      <c r="A94">
        <v>17</v>
      </c>
      <c r="B94">
        <v>8</v>
      </c>
      <c r="C94">
        <v>0.2</v>
      </c>
    </row>
    <row r="95" spans="1:3">
      <c r="A95">
        <v>17</v>
      </c>
      <c r="B95">
        <v>9</v>
      </c>
      <c r="C95">
        <v>0.2</v>
      </c>
    </row>
    <row r="96" spans="1:3">
      <c r="A96">
        <v>17</v>
      </c>
      <c r="B96">
        <v>10</v>
      </c>
      <c r="C96">
        <v>0.4</v>
      </c>
    </row>
    <row r="97" spans="1:3">
      <c r="A97">
        <v>17</v>
      </c>
      <c r="B97">
        <v>11</v>
      </c>
      <c r="C97">
        <v>0.7</v>
      </c>
    </row>
    <row r="98" spans="1:3">
      <c r="A98">
        <v>17</v>
      </c>
      <c r="B98">
        <v>12</v>
      </c>
      <c r="C98">
        <v>1</v>
      </c>
    </row>
    <row r="99" spans="1:3">
      <c r="A99">
        <v>17</v>
      </c>
      <c r="B99">
        <v>13</v>
      </c>
      <c r="C99">
        <v>1.3</v>
      </c>
    </row>
    <row r="100" spans="1:3">
      <c r="A100">
        <v>17</v>
      </c>
      <c r="B100">
        <v>14</v>
      </c>
      <c r="C100">
        <v>1.6</v>
      </c>
    </row>
    <row r="101" spans="1:3">
      <c r="A101">
        <v>17</v>
      </c>
      <c r="B101">
        <v>15</v>
      </c>
      <c r="C101">
        <v>2</v>
      </c>
    </row>
    <row r="102" spans="1:3">
      <c r="A102">
        <v>17</v>
      </c>
      <c r="B102">
        <v>16</v>
      </c>
      <c r="C102">
        <v>2.4</v>
      </c>
    </row>
    <row r="103" spans="1:3">
      <c r="A103">
        <v>17</v>
      </c>
      <c r="B103">
        <v>17</v>
      </c>
      <c r="C103">
        <v>3</v>
      </c>
    </row>
    <row r="104" spans="1:3">
      <c r="A104">
        <v>18</v>
      </c>
      <c r="B104">
        <v>7</v>
      </c>
      <c r="C104">
        <v>0.1</v>
      </c>
    </row>
    <row r="105" spans="1:3">
      <c r="A105">
        <v>18</v>
      </c>
      <c r="B105">
        <v>8</v>
      </c>
      <c r="C105">
        <v>0.2</v>
      </c>
    </row>
    <row r="106" spans="1:3">
      <c r="A106">
        <v>18</v>
      </c>
      <c r="B106">
        <v>9</v>
      </c>
      <c r="C106">
        <v>0.2</v>
      </c>
    </row>
    <row r="107" spans="1:3">
      <c r="A107">
        <v>18</v>
      </c>
      <c r="B107">
        <v>10</v>
      </c>
      <c r="C107">
        <v>0.4</v>
      </c>
    </row>
    <row r="108" spans="1:3">
      <c r="A108">
        <v>18</v>
      </c>
      <c r="B108">
        <v>11</v>
      </c>
      <c r="C108">
        <v>0.7</v>
      </c>
    </row>
    <row r="109" spans="1:3">
      <c r="A109">
        <v>18</v>
      </c>
      <c r="B109">
        <v>12</v>
      </c>
      <c r="C109">
        <v>1</v>
      </c>
    </row>
    <row r="110" spans="1:3">
      <c r="A110">
        <v>18</v>
      </c>
      <c r="B110">
        <v>13</v>
      </c>
      <c r="C110">
        <v>1.3</v>
      </c>
    </row>
    <row r="111" spans="1:3">
      <c r="A111">
        <v>18</v>
      </c>
      <c r="B111">
        <v>14</v>
      </c>
      <c r="C111">
        <v>1.6</v>
      </c>
    </row>
    <row r="112" spans="1:3">
      <c r="A112">
        <v>18</v>
      </c>
      <c r="B112">
        <v>15</v>
      </c>
      <c r="C112">
        <v>2</v>
      </c>
    </row>
    <row r="113" spans="1:3">
      <c r="A113">
        <v>18</v>
      </c>
      <c r="B113">
        <v>16</v>
      </c>
      <c r="C113">
        <v>2.4</v>
      </c>
    </row>
    <row r="114" spans="1:3">
      <c r="A114">
        <v>18</v>
      </c>
      <c r="B114">
        <v>17</v>
      </c>
      <c r="C114">
        <v>3</v>
      </c>
    </row>
    <row r="115" spans="1:3">
      <c r="A115">
        <v>19</v>
      </c>
      <c r="B115">
        <v>7</v>
      </c>
      <c r="C115">
        <v>0.1</v>
      </c>
    </row>
    <row r="116" spans="1:3">
      <c r="A116">
        <v>19</v>
      </c>
      <c r="B116">
        <v>8</v>
      </c>
      <c r="C116">
        <v>0.2</v>
      </c>
    </row>
    <row r="117" spans="1:3">
      <c r="A117">
        <v>19</v>
      </c>
      <c r="B117">
        <v>9</v>
      </c>
      <c r="C117">
        <v>0.2</v>
      </c>
    </row>
    <row r="118" spans="1:3">
      <c r="A118">
        <v>19</v>
      </c>
      <c r="B118">
        <v>10</v>
      </c>
      <c r="C118">
        <v>0.4</v>
      </c>
    </row>
    <row r="119" spans="1:3">
      <c r="A119">
        <v>19</v>
      </c>
      <c r="B119">
        <v>11</v>
      </c>
      <c r="C119">
        <v>0.7</v>
      </c>
    </row>
    <row r="120" spans="1:3">
      <c r="A120">
        <v>19</v>
      </c>
      <c r="B120">
        <v>12</v>
      </c>
      <c r="C120">
        <v>1</v>
      </c>
    </row>
    <row r="121" spans="1:3">
      <c r="A121">
        <v>19</v>
      </c>
      <c r="B121">
        <v>13</v>
      </c>
      <c r="C121">
        <v>1.3</v>
      </c>
    </row>
    <row r="122" spans="1:3">
      <c r="A122">
        <v>19</v>
      </c>
      <c r="B122">
        <v>14</v>
      </c>
      <c r="C122">
        <v>1.6</v>
      </c>
    </row>
    <row r="123" spans="1:3">
      <c r="A123">
        <v>19</v>
      </c>
      <c r="B123">
        <v>15</v>
      </c>
      <c r="C123">
        <v>2</v>
      </c>
    </row>
    <row r="124" spans="1:3">
      <c r="A124">
        <v>19</v>
      </c>
      <c r="B124">
        <v>16</v>
      </c>
      <c r="C124">
        <v>2.4</v>
      </c>
    </row>
    <row r="125" spans="1:3">
      <c r="A125">
        <v>19</v>
      </c>
      <c r="B125">
        <v>17</v>
      </c>
      <c r="C125">
        <v>3</v>
      </c>
    </row>
    <row r="126" spans="1:3">
      <c r="A126">
        <v>20</v>
      </c>
      <c r="B126">
        <v>7</v>
      </c>
      <c r="C126">
        <v>0</v>
      </c>
    </row>
    <row r="127" spans="1:3">
      <c r="A127">
        <v>20</v>
      </c>
      <c r="B127">
        <v>8</v>
      </c>
      <c r="C127">
        <v>0.1</v>
      </c>
    </row>
    <row r="128" spans="1:3">
      <c r="A128">
        <v>20</v>
      </c>
      <c r="B128">
        <v>9</v>
      </c>
      <c r="C128">
        <v>0.2</v>
      </c>
    </row>
    <row r="129" spans="1:3">
      <c r="A129">
        <v>20</v>
      </c>
      <c r="B129">
        <v>11</v>
      </c>
      <c r="C129">
        <v>0.3</v>
      </c>
    </row>
    <row r="130" spans="1:3">
      <c r="A130">
        <v>20</v>
      </c>
      <c r="B130">
        <v>12</v>
      </c>
      <c r="C130">
        <v>0.4</v>
      </c>
    </row>
    <row r="131" spans="1:3">
      <c r="A131">
        <v>20</v>
      </c>
      <c r="B131">
        <v>13</v>
      </c>
      <c r="C131">
        <v>0.5</v>
      </c>
    </row>
    <row r="132" spans="1:3">
      <c r="A132">
        <v>20</v>
      </c>
      <c r="B132">
        <v>14</v>
      </c>
      <c r="C132">
        <v>0.6</v>
      </c>
    </row>
    <row r="133" spans="1:3">
      <c r="A133">
        <v>20</v>
      </c>
      <c r="B133">
        <v>15</v>
      </c>
      <c r="C133">
        <v>0.8</v>
      </c>
    </row>
    <row r="134" spans="1:3">
      <c r="A134">
        <v>20</v>
      </c>
      <c r="B134">
        <v>16</v>
      </c>
      <c r="C134">
        <v>0.9</v>
      </c>
    </row>
    <row r="135" spans="1:3">
      <c r="A135">
        <v>20</v>
      </c>
      <c r="B135">
        <v>17</v>
      </c>
      <c r="C135">
        <v>1</v>
      </c>
    </row>
    <row r="136" spans="1:3">
      <c r="A136">
        <v>21</v>
      </c>
      <c r="B136">
        <v>7</v>
      </c>
      <c r="C136">
        <v>0.1</v>
      </c>
    </row>
    <row r="137" spans="1:3">
      <c r="A137">
        <v>21</v>
      </c>
      <c r="B137">
        <v>8</v>
      </c>
      <c r="C137">
        <v>0.2</v>
      </c>
    </row>
    <row r="138" spans="1:3">
      <c r="A138">
        <v>21</v>
      </c>
      <c r="B138">
        <v>9</v>
      </c>
      <c r="C138">
        <v>0.2</v>
      </c>
    </row>
    <row r="139" spans="1:3">
      <c r="A139">
        <v>21</v>
      </c>
      <c r="B139">
        <v>10</v>
      </c>
      <c r="C139">
        <v>0.4</v>
      </c>
    </row>
    <row r="140" spans="1:3">
      <c r="A140">
        <v>21</v>
      </c>
      <c r="B140">
        <v>11</v>
      </c>
      <c r="C140">
        <v>0.7</v>
      </c>
    </row>
    <row r="141" spans="1:3">
      <c r="A141">
        <v>21</v>
      </c>
      <c r="B141">
        <v>12</v>
      </c>
      <c r="C141">
        <v>1</v>
      </c>
    </row>
    <row r="142" spans="1:3">
      <c r="A142">
        <v>21</v>
      </c>
      <c r="B142">
        <v>13</v>
      </c>
      <c r="C142">
        <v>1.3</v>
      </c>
    </row>
    <row r="143" spans="1:3">
      <c r="A143">
        <v>21</v>
      </c>
      <c r="B143">
        <v>14</v>
      </c>
      <c r="C143">
        <v>1.6</v>
      </c>
    </row>
    <row r="144" spans="1:3">
      <c r="A144">
        <v>21</v>
      </c>
      <c r="B144">
        <v>15</v>
      </c>
      <c r="C144">
        <v>2</v>
      </c>
    </row>
    <row r="145" spans="1:3">
      <c r="A145">
        <v>21</v>
      </c>
      <c r="B145">
        <v>16</v>
      </c>
      <c r="C145">
        <v>2.4</v>
      </c>
    </row>
    <row r="146" spans="1:3">
      <c r="A146">
        <v>21</v>
      </c>
      <c r="B146">
        <v>17</v>
      </c>
      <c r="C146">
        <v>3</v>
      </c>
    </row>
    <row r="147" spans="1:3">
      <c r="A147">
        <v>22</v>
      </c>
      <c r="B147">
        <v>9</v>
      </c>
      <c r="C147">
        <v>0</v>
      </c>
    </row>
    <row r="148" spans="1:3">
      <c r="A148">
        <v>22</v>
      </c>
      <c r="B148">
        <v>10</v>
      </c>
      <c r="C148">
        <v>0.1</v>
      </c>
    </row>
    <row r="149" spans="1:3">
      <c r="A149">
        <v>22</v>
      </c>
      <c r="B149">
        <v>12</v>
      </c>
      <c r="C149">
        <v>0.2</v>
      </c>
    </row>
    <row r="150" spans="1:3">
      <c r="A150">
        <v>22</v>
      </c>
      <c r="B150">
        <v>13</v>
      </c>
      <c r="C150">
        <v>0.3</v>
      </c>
    </row>
    <row r="151" spans="1:3">
      <c r="A151">
        <v>22</v>
      </c>
      <c r="B151">
        <v>14</v>
      </c>
      <c r="C151">
        <v>0.4</v>
      </c>
    </row>
    <row r="152" spans="1:3">
      <c r="A152">
        <v>22</v>
      </c>
      <c r="B152">
        <v>15</v>
      </c>
      <c r="C152">
        <v>0.5</v>
      </c>
    </row>
    <row r="153" spans="1:3">
      <c r="A153">
        <v>22</v>
      </c>
      <c r="B153">
        <v>16</v>
      </c>
      <c r="C153">
        <v>0.8</v>
      </c>
    </row>
    <row r="154" spans="1:3">
      <c r="A154">
        <v>22</v>
      </c>
      <c r="B154">
        <v>17</v>
      </c>
      <c r="C154">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DE228-4B11-4C93-B266-553CB61343B7}">
  <dimension ref="A1:AU196"/>
  <sheetViews>
    <sheetView workbookViewId="0">
      <pane ySplit="1" topLeftCell="G2" activePane="bottomLeft" state="frozen"/>
      <selection pane="bottomLeft" activeCell="G1" sqref="G1"/>
    </sheetView>
  </sheetViews>
  <sheetFormatPr defaultColWidth="9.140625" defaultRowHeight="14.45"/>
  <cols>
    <col min="1" max="1" width="21.42578125" style="35" customWidth="1"/>
    <col min="2" max="2" width="14.42578125" style="35" bestFit="1" customWidth="1"/>
    <col min="3" max="3" width="15.140625" style="35" bestFit="1" customWidth="1"/>
    <col min="4" max="4" width="20.140625" style="35" bestFit="1" customWidth="1"/>
    <col min="5" max="5" width="17.140625" style="153" customWidth="1"/>
    <col min="6" max="6" width="15.42578125" style="168" bestFit="1" customWidth="1"/>
    <col min="7" max="7" width="15.85546875" style="218" bestFit="1" customWidth="1"/>
    <col min="8" max="8" width="19.140625" style="37" customWidth="1"/>
    <col min="9" max="9" width="20" style="37" customWidth="1"/>
    <col min="10" max="10" width="15.42578125" style="178" bestFit="1" customWidth="1"/>
    <col min="11" max="11" width="16" style="178" bestFit="1" customWidth="1"/>
    <col min="12" max="12" width="22.85546875" style="38" customWidth="1"/>
    <col min="13" max="13" width="23.140625" style="38" customWidth="1"/>
    <col min="14" max="15" width="16" style="189" bestFit="1" customWidth="1"/>
    <col min="16" max="17" width="24.28515625" style="39" customWidth="1"/>
    <col min="18" max="18" width="16" style="196" bestFit="1" customWidth="1"/>
    <col min="19" max="19" width="17" style="196" bestFit="1" customWidth="1"/>
    <col min="20" max="21" width="26.7109375" style="40" bestFit="1" customWidth="1"/>
    <col min="22" max="22" width="17.28515625" style="168" customWidth="1"/>
    <col min="23" max="23" width="18.28515625" style="168" bestFit="1" customWidth="1"/>
    <col min="24" max="25" width="27.7109375" style="37" bestFit="1" customWidth="1"/>
    <col min="26" max="26" width="15.42578125" style="178" bestFit="1" customWidth="1"/>
    <col min="27" max="27" width="15.85546875" style="178" bestFit="1" customWidth="1"/>
    <col min="28" max="29" width="14.28515625" style="38" bestFit="1" customWidth="1"/>
    <col min="30" max="30" width="15.42578125" style="189" bestFit="1" customWidth="1"/>
    <col min="31" max="31" width="15.85546875" style="189" bestFit="1" customWidth="1"/>
    <col min="32" max="33" width="17" style="39" bestFit="1" customWidth="1"/>
    <col min="34" max="34" width="15.42578125" style="196" bestFit="1" customWidth="1"/>
    <col min="35" max="35" width="15.85546875" style="196" bestFit="1" customWidth="1"/>
    <col min="36" max="36" width="13.28515625" style="40" bestFit="1" customWidth="1"/>
    <col min="37" max="37" width="12.42578125" style="40" bestFit="1" customWidth="1"/>
    <col min="38" max="38" width="15.42578125" style="168" bestFit="1" customWidth="1"/>
    <col min="39" max="39" width="15.85546875" style="168" bestFit="1" customWidth="1"/>
    <col min="40" max="40" width="13.28515625" style="41" bestFit="1" customWidth="1"/>
    <col min="41" max="41" width="12.42578125" style="41" bestFit="1" customWidth="1"/>
    <col min="42" max="42" width="16.42578125" style="178" bestFit="1" customWidth="1"/>
    <col min="43" max="43" width="16.85546875" style="178" bestFit="1" customWidth="1"/>
    <col min="44" max="44" width="13.28515625" style="42" bestFit="1" customWidth="1"/>
    <col min="45" max="45" width="13.7109375" style="42" bestFit="1" customWidth="1"/>
    <col min="46" max="16384" width="9.140625" style="35"/>
  </cols>
  <sheetData>
    <row r="1" spans="1:47" s="36" customFormat="1">
      <c r="A1" s="46" t="s">
        <v>3</v>
      </c>
      <c r="B1" s="46" t="s">
        <v>3331</v>
      </c>
      <c r="C1" s="200" t="s">
        <v>3457</v>
      </c>
      <c r="D1" s="200" t="s">
        <v>3458</v>
      </c>
      <c r="E1" s="150" t="s">
        <v>3459</v>
      </c>
      <c r="F1" s="160" t="s">
        <v>3460</v>
      </c>
      <c r="G1" s="211" t="s">
        <v>3461</v>
      </c>
      <c r="H1" s="47" t="s">
        <v>3462</v>
      </c>
      <c r="I1" s="47" t="s">
        <v>3463</v>
      </c>
      <c r="J1" s="169" t="s">
        <v>3464</v>
      </c>
      <c r="K1" s="169" t="s">
        <v>3465</v>
      </c>
      <c r="L1" s="47" t="s">
        <v>3466</v>
      </c>
      <c r="M1" s="47" t="s">
        <v>3467</v>
      </c>
      <c r="N1" s="169" t="s">
        <v>3468</v>
      </c>
      <c r="O1" s="169" t="s">
        <v>3469</v>
      </c>
      <c r="P1" s="47" t="s">
        <v>3470</v>
      </c>
      <c r="Q1" s="47" t="s">
        <v>3471</v>
      </c>
      <c r="R1" s="169" t="s">
        <v>3472</v>
      </c>
      <c r="S1" s="169" t="s">
        <v>3473</v>
      </c>
      <c r="T1" s="47" t="s">
        <v>3474</v>
      </c>
      <c r="U1" s="47" t="s">
        <v>3475</v>
      </c>
      <c r="V1" s="169" t="s">
        <v>3476</v>
      </c>
      <c r="W1" s="169" t="s">
        <v>3477</v>
      </c>
      <c r="X1" s="47" t="s">
        <v>3478</v>
      </c>
      <c r="Y1" s="47" t="s">
        <v>3479</v>
      </c>
      <c r="Z1" s="169" t="s">
        <v>3480</v>
      </c>
      <c r="AA1" s="169" t="s">
        <v>3481</v>
      </c>
      <c r="AB1" s="47" t="s">
        <v>3482</v>
      </c>
      <c r="AC1" s="47" t="s">
        <v>3483</v>
      </c>
      <c r="AD1" s="169" t="s">
        <v>3484</v>
      </c>
      <c r="AE1" s="169" t="s">
        <v>3485</v>
      </c>
      <c r="AF1" s="47" t="s">
        <v>3486</v>
      </c>
      <c r="AG1" s="47" t="s">
        <v>3487</v>
      </c>
      <c r="AH1" s="169" t="s">
        <v>3488</v>
      </c>
      <c r="AI1" s="169" t="s">
        <v>3489</v>
      </c>
      <c r="AJ1" s="47" t="s">
        <v>3490</v>
      </c>
      <c r="AK1" s="47" t="s">
        <v>3491</v>
      </c>
      <c r="AL1" s="169" t="s">
        <v>3492</v>
      </c>
      <c r="AM1" s="169" t="s">
        <v>3493</v>
      </c>
      <c r="AN1" s="47" t="s">
        <v>3494</v>
      </c>
      <c r="AO1" s="47" t="s">
        <v>3495</v>
      </c>
      <c r="AP1" s="169" t="s">
        <v>3496</v>
      </c>
      <c r="AQ1" s="169" t="s">
        <v>3497</v>
      </c>
      <c r="AR1" s="47" t="s">
        <v>3498</v>
      </c>
      <c r="AS1" s="47" t="s">
        <v>3499</v>
      </c>
      <c r="AT1" s="201"/>
      <c r="AU1" s="201"/>
    </row>
    <row r="2" spans="1:47" s="155" customFormat="1">
      <c r="A2" s="15">
        <v>0</v>
      </c>
      <c r="B2" s="15">
        <v>0</v>
      </c>
      <c r="C2" s="15" t="s">
        <v>3500</v>
      </c>
      <c r="D2" s="15" t="s">
        <v>3501</v>
      </c>
      <c r="E2" s="151">
        <v>-999999.9</v>
      </c>
      <c r="F2" s="161">
        <v>-999999.9</v>
      </c>
      <c r="G2" s="212">
        <v>-999999.9</v>
      </c>
      <c r="H2" s="156" t="s">
        <v>3502</v>
      </c>
      <c r="I2" s="156" t="s">
        <v>3502</v>
      </c>
      <c r="J2" s="170">
        <v>-999999.9</v>
      </c>
      <c r="K2" s="170">
        <v>-999999.9</v>
      </c>
      <c r="L2" s="157" t="s">
        <v>3502</v>
      </c>
      <c r="M2" s="157" t="s">
        <v>3502</v>
      </c>
      <c r="N2" s="183">
        <v>-999999.9</v>
      </c>
      <c r="O2" s="183">
        <v>-999999.9</v>
      </c>
      <c r="P2" s="158" t="s">
        <v>3502</v>
      </c>
      <c r="Q2" s="158" t="s">
        <v>3502</v>
      </c>
      <c r="R2" s="190">
        <v>-999999.9</v>
      </c>
      <c r="S2" s="190">
        <v>-999999.9</v>
      </c>
      <c r="T2" s="159" t="s">
        <v>3502</v>
      </c>
      <c r="U2" s="159" t="s">
        <v>3502</v>
      </c>
      <c r="V2" s="161">
        <v>-999999.9</v>
      </c>
      <c r="W2" s="161">
        <v>-999999.9</v>
      </c>
      <c r="X2" s="156" t="s">
        <v>3502</v>
      </c>
      <c r="Y2" s="156" t="s">
        <v>3502</v>
      </c>
      <c r="Z2" s="170">
        <v>-999999.9</v>
      </c>
      <c r="AA2" s="170">
        <v>-999999.9</v>
      </c>
      <c r="AB2" s="157" t="s">
        <v>3502</v>
      </c>
      <c r="AC2" s="157" t="s">
        <v>3502</v>
      </c>
      <c r="AD2" s="183">
        <v>-999999.9</v>
      </c>
      <c r="AE2" s="183">
        <v>-999999.9</v>
      </c>
      <c r="AF2" s="158" t="s">
        <v>3502</v>
      </c>
      <c r="AG2" s="158" t="s">
        <v>3502</v>
      </c>
      <c r="AH2" s="190">
        <v>-999999.9</v>
      </c>
      <c r="AI2" s="190">
        <v>-999999.9</v>
      </c>
      <c r="AJ2" s="159" t="s">
        <v>3502</v>
      </c>
      <c r="AK2" s="159" t="s">
        <v>3502</v>
      </c>
      <c r="AL2" s="161">
        <v>-999999.9</v>
      </c>
      <c r="AM2" s="161">
        <v>-999999.9</v>
      </c>
      <c r="AN2" s="156" t="s">
        <v>3502</v>
      </c>
      <c r="AO2" s="156" t="s">
        <v>3502</v>
      </c>
      <c r="AP2" s="170">
        <v>-999999.9</v>
      </c>
      <c r="AQ2" s="170">
        <v>-999999.9</v>
      </c>
      <c r="AR2" s="157" t="s">
        <v>3502</v>
      </c>
      <c r="AS2" s="157" t="s">
        <v>3502</v>
      </c>
    </row>
    <row r="3" spans="1:47">
      <c r="A3" s="15">
        <v>1</v>
      </c>
      <c r="B3" s="15">
        <v>1</v>
      </c>
      <c r="C3" s="15"/>
      <c r="D3" s="15"/>
      <c r="E3" s="151">
        <v>-999999.9</v>
      </c>
      <c r="F3" s="162">
        <v>-999999.9</v>
      </c>
      <c r="G3" s="213">
        <v>-2.5</v>
      </c>
      <c r="H3" s="56" t="s">
        <v>3503</v>
      </c>
      <c r="I3" s="56" t="s">
        <v>3503</v>
      </c>
      <c r="J3" s="171">
        <v>-2.5</v>
      </c>
      <c r="K3" s="171">
        <v>-1.5</v>
      </c>
      <c r="L3" s="57" t="s">
        <v>3504</v>
      </c>
      <c r="M3" s="57" t="s">
        <v>3504</v>
      </c>
      <c r="N3" s="184">
        <v>-1.5</v>
      </c>
      <c r="O3" s="184">
        <v>-0.5</v>
      </c>
      <c r="P3" s="58" t="s">
        <v>3505</v>
      </c>
      <c r="Q3" s="58" t="s">
        <v>3505</v>
      </c>
      <c r="R3" s="191">
        <v>-0.5</v>
      </c>
      <c r="S3" s="191">
        <v>0.5</v>
      </c>
      <c r="T3" s="59" t="s">
        <v>3506</v>
      </c>
      <c r="U3" s="59" t="s">
        <v>3506</v>
      </c>
      <c r="V3" s="180">
        <v>0.5</v>
      </c>
      <c r="W3" s="180">
        <v>1.5</v>
      </c>
      <c r="X3" s="56" t="s">
        <v>3507</v>
      </c>
      <c r="Y3" s="56" t="s">
        <v>3507</v>
      </c>
      <c r="Z3" s="171">
        <v>1.5</v>
      </c>
      <c r="AA3" s="171">
        <v>2.5</v>
      </c>
      <c r="AB3" s="57" t="s">
        <v>3508</v>
      </c>
      <c r="AC3" s="57" t="s">
        <v>3508</v>
      </c>
      <c r="AD3" s="184">
        <v>2.5</v>
      </c>
      <c r="AE3" s="184">
        <v>14</v>
      </c>
      <c r="AF3" s="58" t="s">
        <v>3509</v>
      </c>
      <c r="AG3" s="58" t="s">
        <v>3509</v>
      </c>
      <c r="AH3" s="191"/>
      <c r="AI3" s="191"/>
      <c r="AJ3" s="54"/>
      <c r="AK3" s="54"/>
      <c r="AL3" s="180"/>
      <c r="AM3" s="180"/>
      <c r="AN3" s="48"/>
      <c r="AO3" s="48"/>
      <c r="AP3" s="171"/>
      <c r="AQ3" s="171"/>
      <c r="AR3" s="50"/>
      <c r="AS3" s="50"/>
      <c r="AT3" s="121"/>
      <c r="AU3" s="121"/>
    </row>
    <row r="4" spans="1:47">
      <c r="A4" s="20">
        <v>73</v>
      </c>
      <c r="B4" s="20">
        <v>8</v>
      </c>
      <c r="C4" s="20"/>
      <c r="D4" s="20"/>
      <c r="E4" s="151">
        <v>-999999.9</v>
      </c>
      <c r="F4" s="162">
        <v>-999999.9</v>
      </c>
      <c r="G4" s="214">
        <v>-2.5</v>
      </c>
      <c r="H4" s="56" t="s">
        <v>3503</v>
      </c>
      <c r="I4" s="56" t="s">
        <v>3503</v>
      </c>
      <c r="J4" s="172">
        <v>-2.5</v>
      </c>
      <c r="K4" s="172">
        <v>-1.5</v>
      </c>
      <c r="L4" s="57" t="s">
        <v>3504</v>
      </c>
      <c r="M4" s="57" t="s">
        <v>3504</v>
      </c>
      <c r="N4" s="185">
        <v>-1.5</v>
      </c>
      <c r="O4" s="185">
        <v>-0.5</v>
      </c>
      <c r="P4" s="58" t="s">
        <v>3505</v>
      </c>
      <c r="Q4" s="58" t="s">
        <v>3505</v>
      </c>
      <c r="R4" s="192">
        <v>-0.5</v>
      </c>
      <c r="S4" s="192">
        <v>0.5</v>
      </c>
      <c r="T4" s="59" t="s">
        <v>3506</v>
      </c>
      <c r="U4" s="59" t="s">
        <v>3506</v>
      </c>
      <c r="V4" s="181">
        <v>0.5</v>
      </c>
      <c r="W4" s="181">
        <v>1.5</v>
      </c>
      <c r="X4" s="56" t="s">
        <v>3507</v>
      </c>
      <c r="Y4" s="56" t="s">
        <v>3507</v>
      </c>
      <c r="Z4" s="172">
        <v>1.5</v>
      </c>
      <c r="AA4" s="172">
        <v>2.5</v>
      </c>
      <c r="AB4" s="57" t="s">
        <v>3508</v>
      </c>
      <c r="AC4" s="57" t="s">
        <v>3508</v>
      </c>
      <c r="AD4" s="185">
        <v>2.5</v>
      </c>
      <c r="AE4" s="197">
        <v>10</v>
      </c>
      <c r="AF4" s="58" t="s">
        <v>3509</v>
      </c>
      <c r="AG4" s="58" t="s">
        <v>3509</v>
      </c>
      <c r="AH4" s="191"/>
      <c r="AI4" s="191"/>
      <c r="AJ4" s="54"/>
      <c r="AK4" s="54"/>
      <c r="AL4" s="180"/>
      <c r="AM4" s="180"/>
      <c r="AN4" s="48"/>
      <c r="AO4" s="48"/>
      <c r="AP4" s="171"/>
      <c r="AQ4" s="171"/>
      <c r="AR4" s="50"/>
      <c r="AS4" s="50"/>
      <c r="AT4" s="121"/>
      <c r="AU4" s="121"/>
    </row>
    <row r="5" spans="1:47">
      <c r="A5" s="15">
        <v>109</v>
      </c>
      <c r="B5" s="20">
        <v>2</v>
      </c>
      <c r="C5" s="20"/>
      <c r="D5" s="20"/>
      <c r="E5" s="151">
        <v>-999999.9</v>
      </c>
      <c r="F5" s="162">
        <v>-999999.9</v>
      </c>
      <c r="G5" s="214">
        <v>-2.5</v>
      </c>
      <c r="H5" s="48" t="s">
        <v>3503</v>
      </c>
      <c r="I5" s="48" t="s">
        <v>3503</v>
      </c>
      <c r="J5" s="171">
        <v>-2.5</v>
      </c>
      <c r="K5" s="171">
        <v>-1.5</v>
      </c>
      <c r="L5" s="50" t="s">
        <v>3504</v>
      </c>
      <c r="M5" s="50" t="s">
        <v>3504</v>
      </c>
      <c r="N5" s="184">
        <v>-1.5</v>
      </c>
      <c r="O5" s="184">
        <v>-0.5</v>
      </c>
      <c r="P5" s="52" t="s">
        <v>3505</v>
      </c>
      <c r="Q5" s="52" t="s">
        <v>3505</v>
      </c>
      <c r="R5" s="191">
        <v>-0.5</v>
      </c>
      <c r="S5" s="191">
        <v>0.5</v>
      </c>
      <c r="T5" s="54" t="s">
        <v>3506</v>
      </c>
      <c r="U5" s="54" t="s">
        <v>3506</v>
      </c>
      <c r="V5" s="180">
        <v>0.5</v>
      </c>
      <c r="W5" s="180">
        <v>1.5</v>
      </c>
      <c r="X5" s="48" t="s">
        <v>3507</v>
      </c>
      <c r="Y5" s="48" t="s">
        <v>3507</v>
      </c>
      <c r="Z5" s="171">
        <v>1.5</v>
      </c>
      <c r="AA5" s="171">
        <v>2.5</v>
      </c>
      <c r="AB5" s="50" t="s">
        <v>3508</v>
      </c>
      <c r="AC5" s="50" t="s">
        <v>3508</v>
      </c>
      <c r="AD5" s="184">
        <v>2.5</v>
      </c>
      <c r="AE5" s="185">
        <v>30</v>
      </c>
      <c r="AF5" s="52" t="s">
        <v>3509</v>
      </c>
      <c r="AG5" s="52" t="s">
        <v>3509</v>
      </c>
      <c r="AH5" s="191"/>
      <c r="AI5" s="191"/>
      <c r="AJ5" s="54"/>
      <c r="AK5" s="54"/>
      <c r="AL5" s="180"/>
      <c r="AM5" s="180"/>
      <c r="AN5" s="48"/>
      <c r="AO5" s="48"/>
      <c r="AP5" s="171"/>
      <c r="AQ5" s="171"/>
      <c r="AR5" s="50"/>
      <c r="AS5" s="50"/>
      <c r="AT5" s="121"/>
      <c r="AU5" s="121"/>
    </row>
    <row r="6" spans="1:47" s="72" customFormat="1">
      <c r="A6" s="20">
        <v>114</v>
      </c>
      <c r="B6" s="20">
        <v>3</v>
      </c>
      <c r="C6" s="20"/>
      <c r="D6" s="20"/>
      <c r="E6" s="151">
        <v>-999999.9</v>
      </c>
      <c r="F6" s="163">
        <v>-9.9999999999999995E-7</v>
      </c>
      <c r="G6" s="214">
        <v>7.8</v>
      </c>
      <c r="H6" s="56" t="s">
        <v>3510</v>
      </c>
      <c r="I6" s="56" t="s">
        <v>3510</v>
      </c>
      <c r="J6" s="172">
        <v>7.8</v>
      </c>
      <c r="K6" s="172">
        <v>16.899999999999999</v>
      </c>
      <c r="L6" s="57" t="s">
        <v>3511</v>
      </c>
      <c r="M6" s="57" t="s">
        <v>3511</v>
      </c>
      <c r="N6" s="185">
        <v>16.899999999999999</v>
      </c>
      <c r="O6" s="185">
        <v>29.2</v>
      </c>
      <c r="P6" s="58" t="s">
        <v>3512</v>
      </c>
      <c r="Q6" s="58" t="s">
        <v>3512</v>
      </c>
      <c r="R6" s="192">
        <v>29.2</v>
      </c>
      <c r="S6" s="192">
        <v>43</v>
      </c>
      <c r="T6" s="59" t="s">
        <v>3513</v>
      </c>
      <c r="U6" s="59" t="s">
        <v>3513</v>
      </c>
      <c r="V6" s="181">
        <v>43</v>
      </c>
      <c r="W6" s="181">
        <v>68.14</v>
      </c>
      <c r="X6" s="56" t="s">
        <v>3514</v>
      </c>
      <c r="Y6" s="56" t="s">
        <v>3514</v>
      </c>
      <c r="Z6" s="172"/>
      <c r="AA6" s="172"/>
      <c r="AB6" s="57"/>
      <c r="AC6" s="57"/>
      <c r="AD6" s="185"/>
      <c r="AE6" s="185"/>
      <c r="AF6" s="58"/>
      <c r="AG6" s="58"/>
      <c r="AH6" s="191"/>
      <c r="AI6" s="191"/>
      <c r="AJ6" s="59"/>
      <c r="AK6" s="59"/>
      <c r="AL6" s="180"/>
      <c r="AM6" s="180"/>
      <c r="AN6" s="56"/>
      <c r="AO6" s="56"/>
      <c r="AP6" s="171"/>
      <c r="AQ6" s="171"/>
      <c r="AR6" s="57"/>
      <c r="AS6" s="57"/>
      <c r="AT6" s="103"/>
      <c r="AU6" s="103"/>
    </row>
    <row r="7" spans="1:47">
      <c r="A7" s="15">
        <v>115</v>
      </c>
      <c r="B7" s="15">
        <v>3</v>
      </c>
      <c r="C7" s="15"/>
      <c r="D7" s="15"/>
      <c r="E7" s="151">
        <v>-999999.9</v>
      </c>
      <c r="F7" s="164">
        <v>7.5</v>
      </c>
      <c r="G7" s="213">
        <v>44.5</v>
      </c>
      <c r="H7" s="48" t="s">
        <v>3515</v>
      </c>
      <c r="I7" s="48" t="s">
        <v>3515</v>
      </c>
      <c r="J7" s="171">
        <v>44.5</v>
      </c>
      <c r="K7" s="171">
        <v>72</v>
      </c>
      <c r="L7" s="50" t="s">
        <v>3516</v>
      </c>
      <c r="M7" s="50" t="s">
        <v>3516</v>
      </c>
      <c r="N7" s="184">
        <v>72</v>
      </c>
      <c r="O7" s="184">
        <v>89</v>
      </c>
      <c r="P7" s="52" t="s">
        <v>3517</v>
      </c>
      <c r="Q7" s="52" t="s">
        <v>3518</v>
      </c>
      <c r="R7" s="191">
        <v>89</v>
      </c>
      <c r="S7" s="191">
        <v>97</v>
      </c>
      <c r="T7" s="54" t="s">
        <v>3519</v>
      </c>
      <c r="U7" s="54" t="s">
        <v>3519</v>
      </c>
      <c r="V7" s="180">
        <v>97</v>
      </c>
      <c r="W7" s="180">
        <v>100</v>
      </c>
      <c r="X7" s="48" t="s">
        <v>3520</v>
      </c>
      <c r="Y7" s="48" t="s">
        <v>3520</v>
      </c>
      <c r="Z7" s="171"/>
      <c r="AA7" s="171"/>
      <c r="AB7" s="50"/>
      <c r="AC7" s="50"/>
      <c r="AD7" s="184"/>
      <c r="AE7" s="184"/>
      <c r="AF7" s="52"/>
      <c r="AG7" s="52"/>
      <c r="AH7" s="191"/>
      <c r="AI7" s="191"/>
      <c r="AJ7" s="54"/>
      <c r="AK7" s="54"/>
      <c r="AL7" s="180"/>
      <c r="AM7" s="180"/>
      <c r="AN7" s="48"/>
      <c r="AO7" s="48"/>
      <c r="AP7" s="171"/>
      <c r="AQ7" s="171"/>
      <c r="AR7" s="50"/>
      <c r="AS7" s="50"/>
      <c r="AT7" s="121"/>
      <c r="AU7" s="121"/>
    </row>
    <row r="8" spans="1:47">
      <c r="A8" s="15">
        <v>116</v>
      </c>
      <c r="B8" s="15">
        <v>3</v>
      </c>
      <c r="C8" s="15"/>
      <c r="D8" s="15"/>
      <c r="E8" s="151">
        <v>-999999.9</v>
      </c>
      <c r="F8" s="163">
        <v>-9.9999999999999995E-7</v>
      </c>
      <c r="G8" s="214">
        <v>20</v>
      </c>
      <c r="H8" s="56" t="s">
        <v>3521</v>
      </c>
      <c r="I8" s="56" t="s">
        <v>3521</v>
      </c>
      <c r="J8" s="171">
        <v>20</v>
      </c>
      <c r="K8" s="171">
        <v>40</v>
      </c>
      <c r="L8" s="50" t="s">
        <v>3522</v>
      </c>
      <c r="M8" s="50" t="s">
        <v>3522</v>
      </c>
      <c r="N8" s="184">
        <v>40</v>
      </c>
      <c r="O8" s="184">
        <v>60</v>
      </c>
      <c r="P8" s="52" t="s">
        <v>3523</v>
      </c>
      <c r="Q8" s="52" t="s">
        <v>3524</v>
      </c>
      <c r="R8" s="191">
        <v>60</v>
      </c>
      <c r="S8" s="191">
        <v>80</v>
      </c>
      <c r="T8" s="54" t="s">
        <v>3525</v>
      </c>
      <c r="U8" s="54" t="s">
        <v>3525</v>
      </c>
      <c r="V8" s="180">
        <v>80</v>
      </c>
      <c r="W8" s="180">
        <v>100</v>
      </c>
      <c r="X8" s="48" t="s">
        <v>3526</v>
      </c>
      <c r="Y8" s="48" t="s">
        <v>3526</v>
      </c>
      <c r="Z8" s="171"/>
      <c r="AA8" s="171"/>
      <c r="AB8" s="50"/>
      <c r="AC8" s="50"/>
      <c r="AD8" s="184"/>
      <c r="AE8" s="184"/>
      <c r="AF8" s="52"/>
      <c r="AG8" s="52"/>
      <c r="AH8" s="191"/>
      <c r="AI8" s="191"/>
      <c r="AJ8" s="54"/>
      <c r="AK8" s="54"/>
      <c r="AL8" s="180"/>
      <c r="AM8" s="180"/>
      <c r="AN8" s="48"/>
      <c r="AO8" s="48"/>
      <c r="AP8" s="171"/>
      <c r="AQ8" s="171"/>
      <c r="AR8" s="50"/>
      <c r="AS8" s="50"/>
      <c r="AT8" s="121"/>
      <c r="AU8" s="121"/>
    </row>
    <row r="9" spans="1:47">
      <c r="A9" s="15">
        <v>117</v>
      </c>
      <c r="B9" s="15">
        <v>3</v>
      </c>
      <c r="C9" s="15"/>
      <c r="D9" s="15"/>
      <c r="E9" s="151">
        <v>-999999.9</v>
      </c>
      <c r="F9" s="162">
        <v>-999999.9</v>
      </c>
      <c r="G9" s="213">
        <v>-14.67</v>
      </c>
      <c r="H9" s="49" t="s">
        <v>3527</v>
      </c>
      <c r="I9" s="49" t="s">
        <v>3527</v>
      </c>
      <c r="J9" s="171">
        <v>-14.66</v>
      </c>
      <c r="K9" s="171">
        <v>-6.81</v>
      </c>
      <c r="L9" s="51" t="s">
        <v>3528</v>
      </c>
      <c r="M9" s="51" t="s">
        <v>3528</v>
      </c>
      <c r="N9" s="184">
        <v>-6.82</v>
      </c>
      <c r="O9" s="184">
        <v>-0.83</v>
      </c>
      <c r="P9" s="53" t="s">
        <v>3529</v>
      </c>
      <c r="Q9" s="53" t="s">
        <v>3529</v>
      </c>
      <c r="R9" s="191">
        <v>-0.84</v>
      </c>
      <c r="S9" s="191">
        <v>8.23</v>
      </c>
      <c r="T9" s="55" t="s">
        <v>3530</v>
      </c>
      <c r="U9" s="55" t="s">
        <v>3530</v>
      </c>
      <c r="V9" s="180">
        <v>8.24</v>
      </c>
      <c r="W9" s="180">
        <v>143.04</v>
      </c>
      <c r="X9" s="48" t="s">
        <v>3531</v>
      </c>
      <c r="Y9" s="48" t="s">
        <v>3531</v>
      </c>
      <c r="Z9" s="171"/>
      <c r="AA9" s="171"/>
      <c r="AB9" s="50"/>
      <c r="AC9" s="50"/>
      <c r="AD9" s="184"/>
      <c r="AE9" s="184"/>
      <c r="AF9" s="52"/>
      <c r="AG9" s="52"/>
      <c r="AH9" s="191"/>
      <c r="AI9" s="191"/>
      <c r="AJ9" s="54"/>
      <c r="AK9" s="54"/>
      <c r="AL9" s="180"/>
      <c r="AM9" s="180"/>
      <c r="AN9" s="48"/>
      <c r="AO9" s="48"/>
      <c r="AP9" s="171"/>
      <c r="AQ9" s="171"/>
      <c r="AR9" s="50"/>
      <c r="AS9" s="50"/>
      <c r="AT9" s="121"/>
      <c r="AU9" s="121"/>
    </row>
    <row r="10" spans="1:47">
      <c r="A10" s="15">
        <v>118</v>
      </c>
      <c r="B10" s="15">
        <v>3</v>
      </c>
      <c r="C10" s="15"/>
      <c r="D10" s="15"/>
      <c r="E10" s="151">
        <v>-999999.9</v>
      </c>
      <c r="F10" s="163">
        <v>-9.9999999999999995E-7</v>
      </c>
      <c r="G10" s="213">
        <v>11275</v>
      </c>
      <c r="H10" s="48" t="s">
        <v>3532</v>
      </c>
      <c r="I10" s="48" t="s">
        <v>3532</v>
      </c>
      <c r="J10" s="171">
        <v>11275</v>
      </c>
      <c r="K10" s="171">
        <v>27335</v>
      </c>
      <c r="L10" s="50" t="s">
        <v>3533</v>
      </c>
      <c r="M10" s="50" t="s">
        <v>3533</v>
      </c>
      <c r="N10" s="184">
        <v>27335</v>
      </c>
      <c r="O10" s="184">
        <v>45057</v>
      </c>
      <c r="P10" s="52" t="s">
        <v>3534</v>
      </c>
      <c r="Q10" s="52" t="s">
        <v>3534</v>
      </c>
      <c r="R10" s="191">
        <v>45057</v>
      </c>
      <c r="S10" s="191">
        <v>67674</v>
      </c>
      <c r="T10" s="54" t="s">
        <v>3535</v>
      </c>
      <c r="U10" s="54" t="s">
        <v>3535</v>
      </c>
      <c r="V10" s="180">
        <v>67674</v>
      </c>
      <c r="W10" s="180">
        <v>102554</v>
      </c>
      <c r="X10" s="48" t="s">
        <v>3536</v>
      </c>
      <c r="Y10" s="48" t="s">
        <v>3536</v>
      </c>
      <c r="Z10" s="171"/>
      <c r="AA10" s="171"/>
      <c r="AB10" s="50"/>
      <c r="AC10" s="50"/>
      <c r="AD10" s="184"/>
      <c r="AE10" s="184"/>
      <c r="AF10" s="52"/>
      <c r="AG10" s="52"/>
      <c r="AH10" s="191"/>
      <c r="AI10" s="191"/>
      <c r="AJ10" s="54"/>
      <c r="AK10" s="54"/>
      <c r="AL10" s="180"/>
      <c r="AM10" s="180"/>
      <c r="AN10" s="48"/>
      <c r="AO10" s="48"/>
      <c r="AP10" s="171"/>
      <c r="AQ10" s="171"/>
      <c r="AR10" s="50"/>
      <c r="AS10" s="50"/>
      <c r="AT10" s="121"/>
      <c r="AU10" s="121"/>
    </row>
    <row r="11" spans="1:47">
      <c r="A11" s="15">
        <v>119</v>
      </c>
      <c r="B11" s="15">
        <v>3</v>
      </c>
      <c r="C11" s="15"/>
      <c r="D11" s="15"/>
      <c r="E11" s="151">
        <v>-999999.9</v>
      </c>
      <c r="F11" s="163">
        <v>-9.9999999999999995E-7</v>
      </c>
      <c r="G11" s="213">
        <v>36</v>
      </c>
      <c r="H11" s="48" t="s">
        <v>3537</v>
      </c>
      <c r="I11" s="48" t="s">
        <v>3537</v>
      </c>
      <c r="J11" s="171">
        <v>36</v>
      </c>
      <c r="K11" s="171">
        <v>73</v>
      </c>
      <c r="L11" s="50" t="s">
        <v>3538</v>
      </c>
      <c r="M11" s="50" t="s">
        <v>3538</v>
      </c>
      <c r="N11" s="184">
        <v>73</v>
      </c>
      <c r="O11" s="184">
        <v>115</v>
      </c>
      <c r="P11" s="52" t="s">
        <v>3539</v>
      </c>
      <c r="Q11" s="52" t="s">
        <v>3539</v>
      </c>
      <c r="R11" s="191">
        <v>115</v>
      </c>
      <c r="S11" s="191">
        <v>171</v>
      </c>
      <c r="T11" s="54" t="s">
        <v>3540</v>
      </c>
      <c r="U11" s="54" t="s">
        <v>3540</v>
      </c>
      <c r="V11" s="180">
        <v>171</v>
      </c>
      <c r="W11" s="180">
        <v>364</v>
      </c>
      <c r="X11" s="48" t="s">
        <v>3541</v>
      </c>
      <c r="Y11" s="48" t="s">
        <v>3541</v>
      </c>
      <c r="Z11" s="171"/>
      <c r="AA11" s="171"/>
      <c r="AB11" s="50"/>
      <c r="AC11" s="50"/>
      <c r="AD11" s="184"/>
      <c r="AE11" s="184"/>
      <c r="AF11" s="52"/>
      <c r="AG11" s="52"/>
      <c r="AH11" s="191"/>
      <c r="AI11" s="191"/>
      <c r="AJ11" s="54"/>
      <c r="AK11" s="54"/>
      <c r="AL11" s="180"/>
      <c r="AM11" s="180"/>
      <c r="AN11" s="48"/>
      <c r="AO11" s="48"/>
      <c r="AP11" s="171"/>
      <c r="AQ11" s="171"/>
      <c r="AR11" s="50"/>
      <c r="AS11" s="50"/>
      <c r="AT11" s="121"/>
      <c r="AU11" s="121"/>
    </row>
    <row r="12" spans="1:47">
      <c r="A12" s="15">
        <v>120</v>
      </c>
      <c r="B12" s="15">
        <v>3</v>
      </c>
      <c r="C12" s="15"/>
      <c r="D12" s="15"/>
      <c r="E12" s="151">
        <v>-999999.9</v>
      </c>
      <c r="F12" s="163">
        <v>-9.9999999999999995E-7</v>
      </c>
      <c r="G12" s="214">
        <v>1.1000000000000001</v>
      </c>
      <c r="H12" s="56" t="s">
        <v>3542</v>
      </c>
      <c r="I12" s="56" t="s">
        <v>3542</v>
      </c>
      <c r="J12" s="171">
        <v>1.1000000000000001</v>
      </c>
      <c r="K12" s="171">
        <v>3.7</v>
      </c>
      <c r="L12" s="50" t="s">
        <v>3543</v>
      </c>
      <c r="M12" s="50" t="s">
        <v>3543</v>
      </c>
      <c r="N12" s="184">
        <v>3.7</v>
      </c>
      <c r="O12" s="184">
        <v>7.7</v>
      </c>
      <c r="P12" s="52" t="s">
        <v>3544</v>
      </c>
      <c r="Q12" s="52" t="s">
        <v>3545</v>
      </c>
      <c r="R12" s="191">
        <v>7.7</v>
      </c>
      <c r="S12" s="191">
        <v>13.5</v>
      </c>
      <c r="T12" s="54" t="s">
        <v>3546</v>
      </c>
      <c r="U12" s="54" t="s">
        <v>3546</v>
      </c>
      <c r="V12" s="180">
        <v>13.5</v>
      </c>
      <c r="W12" s="180">
        <v>31.6</v>
      </c>
      <c r="X12" s="48" t="s">
        <v>3547</v>
      </c>
      <c r="Y12" s="48" t="s">
        <v>3547</v>
      </c>
      <c r="Z12" s="171"/>
      <c r="AA12" s="171"/>
      <c r="AB12" s="50"/>
      <c r="AC12" s="50"/>
      <c r="AD12" s="184"/>
      <c r="AE12" s="184"/>
      <c r="AF12" s="52"/>
      <c r="AG12" s="52"/>
      <c r="AH12" s="191"/>
      <c r="AI12" s="191"/>
      <c r="AJ12" s="54"/>
      <c r="AK12" s="54"/>
      <c r="AL12" s="180"/>
      <c r="AM12" s="180"/>
      <c r="AN12" s="48"/>
      <c r="AO12" s="48"/>
      <c r="AP12" s="171"/>
      <c r="AQ12" s="171"/>
      <c r="AR12" s="50"/>
      <c r="AS12" s="50"/>
      <c r="AT12" s="121"/>
      <c r="AU12" s="121"/>
    </row>
    <row r="13" spans="1:47">
      <c r="A13" s="15">
        <v>121</v>
      </c>
      <c r="B13" s="15">
        <v>3</v>
      </c>
      <c r="C13" s="15"/>
      <c r="D13" s="15"/>
      <c r="E13" s="151">
        <v>-999999.9</v>
      </c>
      <c r="F13" s="163">
        <v>-9.9999999999999995E-7</v>
      </c>
      <c r="G13" s="213">
        <v>1</v>
      </c>
      <c r="H13" s="48" t="s">
        <v>3548</v>
      </c>
      <c r="I13" s="48" t="s">
        <v>3548</v>
      </c>
      <c r="J13" s="172">
        <v>1</v>
      </c>
      <c r="K13" s="171">
        <v>2</v>
      </c>
      <c r="L13" s="50">
        <v>2</v>
      </c>
      <c r="M13" s="50">
        <v>2</v>
      </c>
      <c r="N13" s="185">
        <v>2</v>
      </c>
      <c r="O13" s="184">
        <v>3</v>
      </c>
      <c r="P13" s="52">
        <v>3</v>
      </c>
      <c r="Q13" s="52">
        <v>3</v>
      </c>
      <c r="R13" s="192">
        <v>3</v>
      </c>
      <c r="S13" s="191">
        <v>4</v>
      </c>
      <c r="T13" s="54">
        <v>4</v>
      </c>
      <c r="U13" s="54">
        <v>4</v>
      </c>
      <c r="V13" s="180">
        <v>4</v>
      </c>
      <c r="W13" s="181">
        <v>5.0000099999999996</v>
      </c>
      <c r="X13" s="56" t="s">
        <v>3549</v>
      </c>
      <c r="Y13" s="56" t="s">
        <v>3549</v>
      </c>
      <c r="Z13" s="171"/>
      <c r="AA13" s="171"/>
      <c r="AB13" s="50"/>
      <c r="AC13" s="50"/>
      <c r="AD13" s="184"/>
      <c r="AE13" s="184"/>
      <c r="AF13" s="52"/>
      <c r="AG13" s="52"/>
      <c r="AH13" s="191"/>
      <c r="AI13" s="191"/>
      <c r="AJ13" s="54"/>
      <c r="AK13" s="54"/>
      <c r="AL13" s="180"/>
      <c r="AM13" s="180"/>
      <c r="AN13" s="48"/>
      <c r="AO13" s="48"/>
      <c r="AP13" s="171"/>
      <c r="AQ13" s="171"/>
      <c r="AR13" s="50"/>
      <c r="AS13" s="50"/>
      <c r="AT13" s="121"/>
      <c r="AU13" s="121"/>
    </row>
    <row r="14" spans="1:47">
      <c r="A14" s="15">
        <v>122</v>
      </c>
      <c r="B14" s="15">
        <v>3</v>
      </c>
      <c r="C14" s="15"/>
      <c r="D14" s="15"/>
      <c r="E14" s="151">
        <v>-999999.9</v>
      </c>
      <c r="F14" s="163">
        <v>-9.9999999999999995E-7</v>
      </c>
      <c r="G14" s="213">
        <v>1</v>
      </c>
      <c r="H14" s="48" t="s">
        <v>3548</v>
      </c>
      <c r="I14" s="48" t="s">
        <v>3548</v>
      </c>
      <c r="J14" s="171">
        <v>1</v>
      </c>
      <c r="K14" s="171">
        <v>2</v>
      </c>
      <c r="L14" s="50">
        <v>2</v>
      </c>
      <c r="M14" s="50">
        <v>2</v>
      </c>
      <c r="N14" s="184">
        <v>2</v>
      </c>
      <c r="O14" s="184">
        <v>3</v>
      </c>
      <c r="P14" s="52">
        <v>3</v>
      </c>
      <c r="Q14" s="52">
        <v>3</v>
      </c>
      <c r="R14" s="191">
        <v>3</v>
      </c>
      <c r="S14" s="191">
        <v>4</v>
      </c>
      <c r="T14" s="54">
        <v>4</v>
      </c>
      <c r="U14" s="54">
        <v>4</v>
      </c>
      <c r="V14" s="180">
        <v>4</v>
      </c>
      <c r="W14" s="181">
        <v>6.0000099999999996</v>
      </c>
      <c r="X14" s="56" t="s">
        <v>3549</v>
      </c>
      <c r="Y14" s="56" t="s">
        <v>3549</v>
      </c>
      <c r="Z14" s="171"/>
      <c r="AA14" s="171"/>
      <c r="AB14" s="50"/>
      <c r="AC14" s="50"/>
      <c r="AD14" s="184"/>
      <c r="AE14" s="184"/>
      <c r="AF14" s="52"/>
      <c r="AG14" s="52"/>
      <c r="AH14" s="191"/>
      <c r="AI14" s="191"/>
      <c r="AJ14" s="54"/>
      <c r="AK14" s="54"/>
      <c r="AL14" s="180"/>
      <c r="AM14" s="180"/>
      <c r="AN14" s="48"/>
      <c r="AO14" s="48"/>
      <c r="AP14" s="171"/>
      <c r="AQ14" s="171"/>
      <c r="AR14" s="50"/>
      <c r="AS14" s="50"/>
      <c r="AT14" s="121"/>
      <c r="AU14" s="121"/>
    </row>
    <row r="15" spans="1:47">
      <c r="A15" s="15">
        <v>123</v>
      </c>
      <c r="B15" s="15">
        <v>3</v>
      </c>
      <c r="C15" s="15"/>
      <c r="D15" s="15"/>
      <c r="E15" s="151">
        <v>-999999.9</v>
      </c>
      <c r="F15" s="163">
        <v>-9.9999999999999995E-7</v>
      </c>
      <c r="G15" s="213">
        <v>87.59</v>
      </c>
      <c r="H15" s="48" t="s">
        <v>3550</v>
      </c>
      <c r="I15" s="48" t="s">
        <v>3550</v>
      </c>
      <c r="J15" s="172">
        <v>87.59</v>
      </c>
      <c r="K15" s="172">
        <v>89.07</v>
      </c>
      <c r="L15" s="50" t="s">
        <v>3551</v>
      </c>
      <c r="M15" s="50" t="s">
        <v>3551</v>
      </c>
      <c r="N15" s="185">
        <v>89.07</v>
      </c>
      <c r="O15" s="185">
        <v>90.59</v>
      </c>
      <c r="P15" s="52" t="s">
        <v>3552</v>
      </c>
      <c r="Q15" s="52" t="s">
        <v>3552</v>
      </c>
      <c r="R15" s="192">
        <v>90.59</v>
      </c>
      <c r="S15" s="192">
        <v>92.48</v>
      </c>
      <c r="T15" s="54" t="s">
        <v>3553</v>
      </c>
      <c r="U15" s="54" t="s">
        <v>3553</v>
      </c>
      <c r="V15" s="181">
        <v>92.48</v>
      </c>
      <c r="W15" s="181">
        <v>97.5</v>
      </c>
      <c r="X15" s="56" t="s">
        <v>3554</v>
      </c>
      <c r="Y15" s="56" t="s">
        <v>3554</v>
      </c>
      <c r="Z15" s="171"/>
      <c r="AA15" s="171"/>
      <c r="AB15" s="50"/>
      <c r="AC15" s="50"/>
      <c r="AD15" s="184"/>
      <c r="AE15" s="184"/>
      <c r="AF15" s="52"/>
      <c r="AG15" s="52"/>
      <c r="AH15" s="191"/>
      <c r="AI15" s="191"/>
      <c r="AJ15" s="54"/>
      <c r="AK15" s="54"/>
      <c r="AL15" s="180"/>
      <c r="AM15" s="180"/>
      <c r="AN15" s="48"/>
      <c r="AO15" s="48"/>
      <c r="AP15" s="171"/>
      <c r="AQ15" s="171"/>
      <c r="AR15" s="50"/>
      <c r="AS15" s="50"/>
      <c r="AT15" s="121"/>
      <c r="AU15" s="121"/>
    </row>
    <row r="16" spans="1:47">
      <c r="A16" s="15">
        <v>124</v>
      </c>
      <c r="B16" s="15">
        <v>3</v>
      </c>
      <c r="C16" s="15"/>
      <c r="D16" s="15"/>
      <c r="E16" s="151">
        <v>-999999.9</v>
      </c>
      <c r="F16" s="163">
        <v>-9.9999999999999995E-7</v>
      </c>
      <c r="G16" s="214">
        <v>0.5</v>
      </c>
      <c r="H16" s="56" t="s">
        <v>3555</v>
      </c>
      <c r="I16" s="56" t="s">
        <v>3555</v>
      </c>
      <c r="J16" s="171">
        <v>0.5</v>
      </c>
      <c r="K16" s="171">
        <v>1.5</v>
      </c>
      <c r="L16" s="50" t="s">
        <v>3556</v>
      </c>
      <c r="M16" s="50" t="s">
        <v>3556</v>
      </c>
      <c r="N16" s="184">
        <v>1.5</v>
      </c>
      <c r="O16" s="184">
        <v>3.5</v>
      </c>
      <c r="P16" s="52" t="s">
        <v>3557</v>
      </c>
      <c r="Q16" s="52" t="s">
        <v>3558</v>
      </c>
      <c r="R16" s="191">
        <v>3.5</v>
      </c>
      <c r="S16" s="191">
        <v>10</v>
      </c>
      <c r="T16" s="54" t="s">
        <v>3559</v>
      </c>
      <c r="U16" s="54" t="s">
        <v>3559</v>
      </c>
      <c r="V16" s="180">
        <v>10</v>
      </c>
      <c r="W16" s="180">
        <v>63.5</v>
      </c>
      <c r="X16" s="48" t="s">
        <v>3560</v>
      </c>
      <c r="Y16" s="48" t="s">
        <v>3560</v>
      </c>
      <c r="Z16" s="171"/>
      <c r="AA16" s="171"/>
      <c r="AB16" s="50"/>
      <c r="AC16" s="50"/>
      <c r="AD16" s="184"/>
      <c r="AE16" s="184"/>
      <c r="AF16" s="52"/>
      <c r="AG16" s="52"/>
      <c r="AH16" s="191"/>
      <c r="AI16" s="191"/>
      <c r="AJ16" s="54"/>
      <c r="AK16" s="54"/>
      <c r="AL16" s="180"/>
      <c r="AM16" s="180"/>
      <c r="AN16" s="48"/>
      <c r="AO16" s="48"/>
      <c r="AP16" s="171"/>
      <c r="AQ16" s="171"/>
      <c r="AR16" s="50"/>
      <c r="AS16" s="50"/>
      <c r="AT16" s="121"/>
      <c r="AU16" s="121"/>
    </row>
    <row r="17" spans="1:47">
      <c r="A17" s="15">
        <v>125</v>
      </c>
      <c r="B17" s="15">
        <v>3</v>
      </c>
      <c r="C17" s="15"/>
      <c r="D17" s="15"/>
      <c r="E17" s="151">
        <v>-999999.9</v>
      </c>
      <c r="F17" s="163">
        <v>-9.9999999999999995E-7</v>
      </c>
      <c r="G17" s="213">
        <v>79.56</v>
      </c>
      <c r="H17" s="48" t="s">
        <v>3561</v>
      </c>
      <c r="I17" s="48" t="s">
        <v>3561</v>
      </c>
      <c r="J17" s="171">
        <v>79.56</v>
      </c>
      <c r="K17" s="172">
        <v>85.47</v>
      </c>
      <c r="L17" s="57" t="s">
        <v>3562</v>
      </c>
      <c r="M17" s="57" t="s">
        <v>3562</v>
      </c>
      <c r="N17" s="184">
        <v>85.47</v>
      </c>
      <c r="O17" s="185">
        <v>90.24</v>
      </c>
      <c r="P17" s="58" t="s">
        <v>3563</v>
      </c>
      <c r="Q17" s="58" t="s">
        <v>3563</v>
      </c>
      <c r="R17" s="191">
        <v>90.24</v>
      </c>
      <c r="S17" s="192">
        <v>95.23</v>
      </c>
      <c r="T17" s="59" t="s">
        <v>3564</v>
      </c>
      <c r="U17" s="59" t="s">
        <v>3564</v>
      </c>
      <c r="V17" s="180">
        <v>95.23</v>
      </c>
      <c r="W17" s="181">
        <v>99.7</v>
      </c>
      <c r="X17" s="56" t="s">
        <v>3565</v>
      </c>
      <c r="Y17" s="56" t="s">
        <v>3565</v>
      </c>
      <c r="Z17" s="171"/>
      <c r="AA17" s="171"/>
      <c r="AB17" s="50"/>
      <c r="AC17" s="50"/>
      <c r="AD17" s="184"/>
      <c r="AE17" s="184"/>
      <c r="AF17" s="52"/>
      <c r="AG17" s="52"/>
      <c r="AH17" s="191"/>
      <c r="AI17" s="191"/>
      <c r="AJ17" s="54"/>
      <c r="AK17" s="54"/>
      <c r="AL17" s="180"/>
      <c r="AM17" s="180"/>
      <c r="AN17" s="48"/>
      <c r="AO17" s="48"/>
      <c r="AP17" s="171"/>
      <c r="AQ17" s="171"/>
      <c r="AR17" s="50"/>
      <c r="AS17" s="50"/>
      <c r="AT17" s="121"/>
      <c r="AU17" s="121"/>
    </row>
    <row r="18" spans="1:47">
      <c r="A18" s="15">
        <v>126</v>
      </c>
      <c r="B18" s="15">
        <v>3</v>
      </c>
      <c r="C18" s="15"/>
      <c r="D18" s="15"/>
      <c r="E18" s="151">
        <v>-999999.9</v>
      </c>
      <c r="F18" s="163">
        <v>-9.9999999999999995E-7</v>
      </c>
      <c r="G18" s="213">
        <v>1</v>
      </c>
      <c r="H18" s="48" t="s">
        <v>3548</v>
      </c>
      <c r="I18" s="48" t="s">
        <v>3548</v>
      </c>
      <c r="J18" s="171">
        <v>1</v>
      </c>
      <c r="K18" s="171">
        <v>2</v>
      </c>
      <c r="L18" s="57">
        <v>2</v>
      </c>
      <c r="M18" s="57">
        <v>2</v>
      </c>
      <c r="N18" s="184">
        <v>2</v>
      </c>
      <c r="O18" s="184">
        <v>3</v>
      </c>
      <c r="P18" s="58">
        <v>3</v>
      </c>
      <c r="Q18" s="58">
        <v>3</v>
      </c>
      <c r="R18" s="191">
        <v>3</v>
      </c>
      <c r="S18" s="191">
        <v>4</v>
      </c>
      <c r="T18" s="59">
        <v>4</v>
      </c>
      <c r="U18" s="59">
        <v>4</v>
      </c>
      <c r="V18" s="180">
        <v>4</v>
      </c>
      <c r="W18" s="180">
        <v>5.5</v>
      </c>
      <c r="X18" s="56" t="s">
        <v>3549</v>
      </c>
      <c r="Y18" s="56" t="s">
        <v>3549</v>
      </c>
      <c r="Z18" s="171"/>
      <c r="AA18" s="171"/>
      <c r="AB18" s="50"/>
      <c r="AC18" s="50"/>
      <c r="AD18" s="184"/>
      <c r="AE18" s="184"/>
      <c r="AF18" s="52"/>
      <c r="AG18" s="52"/>
      <c r="AH18" s="191"/>
      <c r="AI18" s="191"/>
      <c r="AJ18" s="54"/>
      <c r="AK18" s="54"/>
      <c r="AL18" s="180"/>
      <c r="AM18" s="180"/>
      <c r="AN18" s="48"/>
      <c r="AO18" s="48"/>
      <c r="AP18" s="171"/>
      <c r="AQ18" s="171"/>
      <c r="AR18" s="50"/>
      <c r="AS18" s="50"/>
      <c r="AT18" s="121"/>
      <c r="AU18" s="121"/>
    </row>
    <row r="19" spans="1:47">
      <c r="A19" s="15">
        <v>127</v>
      </c>
      <c r="B19" s="15">
        <v>3</v>
      </c>
      <c r="C19" s="15"/>
      <c r="D19" s="15"/>
      <c r="E19" s="151">
        <v>-999999.9</v>
      </c>
      <c r="F19" s="163">
        <v>-9.9999999999999995E-7</v>
      </c>
      <c r="G19" s="213">
        <v>1</v>
      </c>
      <c r="H19" s="48" t="s">
        <v>3548</v>
      </c>
      <c r="I19" s="48" t="s">
        <v>3548</v>
      </c>
      <c r="J19" s="171">
        <v>1</v>
      </c>
      <c r="K19" s="171">
        <v>2</v>
      </c>
      <c r="L19" s="57">
        <v>2</v>
      </c>
      <c r="M19" s="57">
        <v>2</v>
      </c>
      <c r="N19" s="184">
        <v>2</v>
      </c>
      <c r="O19" s="184">
        <v>3</v>
      </c>
      <c r="P19" s="58">
        <v>3</v>
      </c>
      <c r="Q19" s="58">
        <v>3</v>
      </c>
      <c r="R19" s="191">
        <v>3</v>
      </c>
      <c r="S19" s="191">
        <v>4</v>
      </c>
      <c r="T19" s="59">
        <v>4</v>
      </c>
      <c r="U19" s="59">
        <v>4</v>
      </c>
      <c r="V19" s="180">
        <v>4</v>
      </c>
      <c r="W19" s="180">
        <v>5</v>
      </c>
      <c r="X19" s="56" t="s">
        <v>3549</v>
      </c>
      <c r="Y19" s="56" t="s">
        <v>3549</v>
      </c>
      <c r="Z19" s="171"/>
      <c r="AA19" s="171"/>
      <c r="AB19" s="50"/>
      <c r="AC19" s="50"/>
      <c r="AD19" s="184"/>
      <c r="AE19" s="184"/>
      <c r="AF19" s="52"/>
      <c r="AG19" s="52"/>
      <c r="AH19" s="191"/>
      <c r="AI19" s="191"/>
      <c r="AJ19" s="54"/>
      <c r="AK19" s="54"/>
      <c r="AL19" s="180"/>
      <c r="AM19" s="180"/>
      <c r="AN19" s="48"/>
      <c r="AO19" s="48"/>
      <c r="AP19" s="171"/>
      <c r="AQ19" s="171"/>
      <c r="AR19" s="50"/>
      <c r="AS19" s="50"/>
      <c r="AT19" s="121"/>
      <c r="AU19" s="121"/>
    </row>
    <row r="20" spans="1:47">
      <c r="A20" s="15">
        <v>128</v>
      </c>
      <c r="B20" s="15">
        <v>3</v>
      </c>
      <c r="C20" s="15"/>
      <c r="D20" s="15"/>
      <c r="E20" s="151">
        <v>-999999.9</v>
      </c>
      <c r="F20" s="163">
        <v>-9.9999999999999995E-7</v>
      </c>
      <c r="G20" s="213">
        <v>6.57</v>
      </c>
      <c r="H20" s="48" t="s">
        <v>3566</v>
      </c>
      <c r="I20" s="48" t="s">
        <v>3566</v>
      </c>
      <c r="J20" s="171">
        <v>6.57</v>
      </c>
      <c r="K20" s="171">
        <v>20.6</v>
      </c>
      <c r="L20" s="50" t="s">
        <v>3567</v>
      </c>
      <c r="M20" s="50" t="s">
        <v>3567</v>
      </c>
      <c r="N20" s="184">
        <v>20.6</v>
      </c>
      <c r="O20" s="184">
        <v>37.99</v>
      </c>
      <c r="P20" s="52" t="s">
        <v>3568</v>
      </c>
      <c r="Q20" s="52" t="s">
        <v>3568</v>
      </c>
      <c r="R20" s="191">
        <v>37.99</v>
      </c>
      <c r="S20" s="191">
        <v>59.69</v>
      </c>
      <c r="T20" s="54" t="s">
        <v>3569</v>
      </c>
      <c r="U20" s="54" t="s">
        <v>3569</v>
      </c>
      <c r="V20" s="180">
        <v>59.69</v>
      </c>
      <c r="W20" s="180">
        <v>100</v>
      </c>
      <c r="X20" s="48" t="s">
        <v>3570</v>
      </c>
      <c r="Y20" s="48" t="s">
        <v>3571</v>
      </c>
      <c r="Z20" s="171"/>
      <c r="AA20" s="171"/>
      <c r="AB20" s="50"/>
      <c r="AC20" s="50"/>
      <c r="AD20" s="184"/>
      <c r="AE20" s="184"/>
      <c r="AF20" s="52"/>
      <c r="AG20" s="52"/>
      <c r="AH20" s="191"/>
      <c r="AI20" s="191"/>
      <c r="AJ20" s="54"/>
      <c r="AK20" s="54"/>
      <c r="AL20" s="180"/>
      <c r="AM20" s="180"/>
      <c r="AN20" s="48"/>
      <c r="AO20" s="48"/>
      <c r="AP20" s="171"/>
      <c r="AQ20" s="171"/>
      <c r="AR20" s="50"/>
      <c r="AS20" s="50"/>
      <c r="AT20" s="121"/>
      <c r="AU20" s="121"/>
    </row>
    <row r="21" spans="1:47">
      <c r="A21" s="15">
        <v>129</v>
      </c>
      <c r="B21" s="15">
        <v>3</v>
      </c>
      <c r="C21" s="15"/>
      <c r="D21" s="15"/>
      <c r="E21" s="151">
        <v>-999999.9</v>
      </c>
      <c r="F21" s="163">
        <v>-9.9999999999999995E-7</v>
      </c>
      <c r="G21" s="213">
        <v>10.75</v>
      </c>
      <c r="H21" s="48" t="s">
        <v>3572</v>
      </c>
      <c r="I21" s="48" t="s">
        <v>3572</v>
      </c>
      <c r="J21" s="171">
        <v>10.75</v>
      </c>
      <c r="K21" s="171">
        <v>33.200000000000003</v>
      </c>
      <c r="L21" s="50" t="s">
        <v>3573</v>
      </c>
      <c r="M21" s="50" t="s">
        <v>3573</v>
      </c>
      <c r="N21" s="184">
        <v>33.200000000000003</v>
      </c>
      <c r="O21" s="184">
        <v>58.96</v>
      </c>
      <c r="P21" s="52" t="s">
        <v>3574</v>
      </c>
      <c r="Q21" s="52" t="s">
        <v>3574</v>
      </c>
      <c r="R21" s="191">
        <v>58.96</v>
      </c>
      <c r="S21" s="191">
        <v>84.62</v>
      </c>
      <c r="T21" s="54" t="s">
        <v>3575</v>
      </c>
      <c r="U21" s="54" t="s">
        <v>3575</v>
      </c>
      <c r="V21" s="180">
        <v>84.62</v>
      </c>
      <c r="W21" s="180">
        <v>100</v>
      </c>
      <c r="X21" s="48" t="s">
        <v>3576</v>
      </c>
      <c r="Y21" s="48" t="s">
        <v>3577</v>
      </c>
      <c r="Z21" s="171"/>
      <c r="AA21" s="171"/>
      <c r="AB21" s="50"/>
      <c r="AC21" s="50"/>
      <c r="AD21" s="184"/>
      <c r="AE21" s="184"/>
      <c r="AF21" s="52"/>
      <c r="AG21" s="52"/>
      <c r="AH21" s="191"/>
      <c r="AI21" s="191"/>
      <c r="AJ21" s="54"/>
      <c r="AK21" s="54"/>
      <c r="AL21" s="180"/>
      <c r="AM21" s="180"/>
      <c r="AN21" s="48"/>
      <c r="AO21" s="48"/>
      <c r="AP21" s="171"/>
      <c r="AQ21" s="171"/>
      <c r="AR21" s="50"/>
      <c r="AS21" s="50"/>
      <c r="AT21" s="121"/>
      <c r="AU21" s="121"/>
    </row>
    <row r="22" spans="1:47">
      <c r="A22" s="15">
        <v>130</v>
      </c>
      <c r="B22" s="15">
        <v>3</v>
      </c>
      <c r="C22" s="15"/>
      <c r="D22" s="15"/>
      <c r="E22" s="151">
        <v>-999999.9</v>
      </c>
      <c r="F22" s="163">
        <v>-9.9999999999999995E-7</v>
      </c>
      <c r="G22" s="214">
        <v>91.46</v>
      </c>
      <c r="H22" s="56" t="s">
        <v>3578</v>
      </c>
      <c r="I22" s="56" t="s">
        <v>3579</v>
      </c>
      <c r="J22" s="171">
        <v>91.46</v>
      </c>
      <c r="K22" s="172">
        <v>94.1</v>
      </c>
      <c r="L22" s="57" t="s">
        <v>3580</v>
      </c>
      <c r="M22" s="57" t="s">
        <v>3580</v>
      </c>
      <c r="N22" s="184">
        <v>94.1</v>
      </c>
      <c r="O22" s="185">
        <v>96.06</v>
      </c>
      <c r="P22" s="58" t="s">
        <v>3581</v>
      </c>
      <c r="Q22" s="58" t="s">
        <v>3581</v>
      </c>
      <c r="R22" s="191">
        <v>96.06</v>
      </c>
      <c r="S22" s="192">
        <v>97.67</v>
      </c>
      <c r="T22" s="59" t="s">
        <v>3582</v>
      </c>
      <c r="U22" s="59" t="s">
        <v>3582</v>
      </c>
      <c r="V22" s="180">
        <v>97.67</v>
      </c>
      <c r="W22" s="180">
        <v>99.69</v>
      </c>
      <c r="X22" s="48" t="s">
        <v>3583</v>
      </c>
      <c r="Y22" s="48" t="s">
        <v>3583</v>
      </c>
      <c r="Z22" s="171"/>
      <c r="AA22" s="171"/>
      <c r="AB22" s="50"/>
      <c r="AC22" s="50"/>
      <c r="AD22" s="184"/>
      <c r="AE22" s="184"/>
      <c r="AF22" s="52"/>
      <c r="AG22" s="52"/>
      <c r="AH22" s="191"/>
      <c r="AI22" s="191"/>
      <c r="AJ22" s="54"/>
      <c r="AK22" s="54"/>
      <c r="AL22" s="180"/>
      <c r="AM22" s="180"/>
      <c r="AN22" s="48"/>
      <c r="AO22" s="48"/>
      <c r="AP22" s="171"/>
      <c r="AQ22" s="171"/>
      <c r="AR22" s="50"/>
      <c r="AS22" s="50"/>
      <c r="AT22" s="121"/>
      <c r="AU22" s="121"/>
    </row>
    <row r="23" spans="1:47">
      <c r="A23" s="15">
        <v>131</v>
      </c>
      <c r="B23" s="15">
        <v>3</v>
      </c>
      <c r="C23" s="15"/>
      <c r="D23" s="15"/>
      <c r="E23" s="151">
        <v>-999999.9</v>
      </c>
      <c r="F23" s="163">
        <v>-9.9999999999999995E-7</v>
      </c>
      <c r="G23" s="213">
        <v>17.2</v>
      </c>
      <c r="H23" s="48" t="s">
        <v>3584</v>
      </c>
      <c r="I23" s="48" t="s">
        <v>3584</v>
      </c>
      <c r="J23" s="172">
        <v>17.2</v>
      </c>
      <c r="K23" s="172">
        <v>52.69</v>
      </c>
      <c r="L23" s="57" t="s">
        <v>3585</v>
      </c>
      <c r="M23" s="57" t="s">
        <v>3585</v>
      </c>
      <c r="N23" s="184">
        <v>52.69</v>
      </c>
      <c r="O23" s="185">
        <v>121.35</v>
      </c>
      <c r="P23" s="58" t="s">
        <v>3586</v>
      </c>
      <c r="Q23" s="58" t="s">
        <v>3586</v>
      </c>
      <c r="R23" s="191">
        <v>121.35</v>
      </c>
      <c r="S23" s="192">
        <v>326.11</v>
      </c>
      <c r="T23" s="59" t="s">
        <v>3587</v>
      </c>
      <c r="U23" s="59" t="s">
        <v>3587</v>
      </c>
      <c r="V23" s="180">
        <v>326.11</v>
      </c>
      <c r="W23" s="180">
        <v>924.62</v>
      </c>
      <c r="X23" s="48" t="s">
        <v>3588</v>
      </c>
      <c r="Y23" s="48" t="s">
        <v>3588</v>
      </c>
      <c r="Z23" s="171"/>
      <c r="AA23" s="171"/>
      <c r="AB23" s="50"/>
      <c r="AC23" s="50"/>
      <c r="AD23" s="184"/>
      <c r="AE23" s="184"/>
      <c r="AF23" s="52"/>
      <c r="AG23" s="52"/>
      <c r="AH23" s="191"/>
      <c r="AI23" s="191"/>
      <c r="AJ23" s="54"/>
      <c r="AK23" s="54"/>
      <c r="AL23" s="180"/>
      <c r="AM23" s="180"/>
      <c r="AN23" s="48"/>
      <c r="AO23" s="48"/>
      <c r="AP23" s="171"/>
      <c r="AQ23" s="171"/>
      <c r="AR23" s="50"/>
      <c r="AS23" s="50"/>
      <c r="AT23" s="121"/>
      <c r="AU23" s="121"/>
    </row>
    <row r="24" spans="1:47">
      <c r="A24" s="15">
        <v>132</v>
      </c>
      <c r="B24" s="15">
        <v>3</v>
      </c>
      <c r="C24" s="15"/>
      <c r="D24" s="15"/>
      <c r="E24" s="151">
        <v>-999999.9</v>
      </c>
      <c r="F24" s="163">
        <v>-9.9999999999999995E-7</v>
      </c>
      <c r="G24" s="213">
        <v>7.4</v>
      </c>
      <c r="H24" s="48" t="s">
        <v>3589</v>
      </c>
      <c r="I24" s="48" t="s">
        <v>3589</v>
      </c>
      <c r="J24" s="171">
        <v>7.4</v>
      </c>
      <c r="K24" s="171">
        <v>11.5</v>
      </c>
      <c r="L24" s="50" t="s">
        <v>3590</v>
      </c>
      <c r="M24" s="50" t="s">
        <v>3590</v>
      </c>
      <c r="N24" s="184">
        <v>11.5</v>
      </c>
      <c r="O24" s="184">
        <v>15.6</v>
      </c>
      <c r="P24" s="52" t="s">
        <v>3591</v>
      </c>
      <c r="Q24" s="52" t="s">
        <v>3591</v>
      </c>
      <c r="R24" s="191">
        <v>15.6</v>
      </c>
      <c r="S24" s="191">
        <v>21.2</v>
      </c>
      <c r="T24" s="54" t="s">
        <v>3592</v>
      </c>
      <c r="U24" s="54" t="s">
        <v>3592</v>
      </c>
      <c r="V24" s="180">
        <v>21.2</v>
      </c>
      <c r="W24" s="180">
        <v>54.4</v>
      </c>
      <c r="X24" s="48" t="s">
        <v>3593</v>
      </c>
      <c r="Y24" s="48" t="s">
        <v>3593</v>
      </c>
      <c r="Z24" s="171"/>
      <c r="AA24" s="171"/>
      <c r="AB24" s="50"/>
      <c r="AC24" s="50"/>
      <c r="AD24" s="184"/>
      <c r="AE24" s="184"/>
      <c r="AF24" s="52"/>
      <c r="AG24" s="52"/>
      <c r="AH24" s="191"/>
      <c r="AI24" s="191"/>
      <c r="AJ24" s="54"/>
      <c r="AK24" s="54"/>
      <c r="AL24" s="180"/>
      <c r="AM24" s="180"/>
      <c r="AN24" s="48"/>
      <c r="AO24" s="48"/>
      <c r="AP24" s="171"/>
      <c r="AQ24" s="171"/>
      <c r="AR24" s="50"/>
      <c r="AS24" s="50"/>
      <c r="AT24" s="121"/>
      <c r="AU24" s="121"/>
    </row>
    <row r="25" spans="1:47">
      <c r="A25" s="15">
        <v>133</v>
      </c>
      <c r="B25" s="15">
        <v>3</v>
      </c>
      <c r="C25" s="15"/>
      <c r="D25" s="15"/>
      <c r="E25" s="151">
        <v>-999999.9</v>
      </c>
      <c r="F25" s="163">
        <v>-9.9999999999999995E-7</v>
      </c>
      <c r="G25" s="213">
        <v>10</v>
      </c>
      <c r="H25" s="56" t="s">
        <v>3594</v>
      </c>
      <c r="I25" s="48" t="s">
        <v>3594</v>
      </c>
      <c r="J25" s="171">
        <v>10</v>
      </c>
      <c r="K25" s="171">
        <v>20</v>
      </c>
      <c r="L25" s="57" t="s">
        <v>3595</v>
      </c>
      <c r="M25" s="50" t="s">
        <v>3595</v>
      </c>
      <c r="N25" s="184">
        <v>20</v>
      </c>
      <c r="O25" s="184">
        <v>30</v>
      </c>
      <c r="P25" s="58" t="s">
        <v>3596</v>
      </c>
      <c r="Q25" s="52" t="s">
        <v>3596</v>
      </c>
      <c r="R25" s="191">
        <v>30</v>
      </c>
      <c r="S25" s="191">
        <v>60</v>
      </c>
      <c r="T25" s="59" t="s">
        <v>3597</v>
      </c>
      <c r="U25" s="54" t="s">
        <v>3597</v>
      </c>
      <c r="V25" s="180">
        <v>60</v>
      </c>
      <c r="W25" s="180">
        <v>112.01</v>
      </c>
      <c r="X25" s="56" t="s">
        <v>3598</v>
      </c>
      <c r="Y25" s="48" t="s">
        <v>3598</v>
      </c>
      <c r="Z25" s="171"/>
      <c r="AA25" s="171"/>
      <c r="AB25" s="50"/>
      <c r="AC25" s="50"/>
      <c r="AD25" s="184"/>
      <c r="AE25" s="184"/>
      <c r="AF25" s="52"/>
      <c r="AG25" s="52"/>
      <c r="AH25" s="191"/>
      <c r="AI25" s="191"/>
      <c r="AJ25" s="54"/>
      <c r="AK25" s="54"/>
      <c r="AL25" s="180"/>
      <c r="AM25" s="180"/>
      <c r="AN25" s="48"/>
      <c r="AO25" s="48"/>
      <c r="AP25" s="171"/>
      <c r="AQ25" s="171"/>
      <c r="AR25" s="50"/>
      <c r="AS25" s="50"/>
      <c r="AT25" s="121"/>
      <c r="AU25" s="121"/>
    </row>
    <row r="26" spans="1:47">
      <c r="A26" s="15">
        <v>134</v>
      </c>
      <c r="B26" s="15">
        <v>3</v>
      </c>
      <c r="C26" s="15"/>
      <c r="D26" s="15"/>
      <c r="E26" s="151">
        <v>-999999.9</v>
      </c>
      <c r="F26" s="163">
        <v>-9.9999999999999995E-7</v>
      </c>
      <c r="G26" s="213">
        <v>5</v>
      </c>
      <c r="H26" s="56" t="s">
        <v>3599</v>
      </c>
      <c r="I26" s="48" t="s">
        <v>3599</v>
      </c>
      <c r="J26" s="171">
        <v>5</v>
      </c>
      <c r="K26" s="171">
        <v>10</v>
      </c>
      <c r="L26" s="57" t="s">
        <v>3600</v>
      </c>
      <c r="M26" s="50" t="s">
        <v>3600</v>
      </c>
      <c r="N26" s="184">
        <v>10</v>
      </c>
      <c r="O26" s="184">
        <v>15</v>
      </c>
      <c r="P26" s="58" t="s">
        <v>3601</v>
      </c>
      <c r="Q26" s="52" t="s">
        <v>3601</v>
      </c>
      <c r="R26" s="191">
        <v>15</v>
      </c>
      <c r="S26" s="191">
        <v>20</v>
      </c>
      <c r="T26" s="59" t="s">
        <v>3602</v>
      </c>
      <c r="U26" s="54" t="s">
        <v>3602</v>
      </c>
      <c r="V26" s="180">
        <v>20</v>
      </c>
      <c r="W26" s="180">
        <v>30</v>
      </c>
      <c r="X26" s="56" t="s">
        <v>3596</v>
      </c>
      <c r="Y26" s="48" t="s">
        <v>3596</v>
      </c>
      <c r="Z26" s="171"/>
      <c r="AA26" s="171"/>
      <c r="AB26" s="50"/>
      <c r="AC26" s="50"/>
      <c r="AD26" s="184"/>
      <c r="AE26" s="184"/>
      <c r="AF26" s="52"/>
      <c r="AG26" s="52"/>
      <c r="AH26" s="191"/>
      <c r="AI26" s="191"/>
      <c r="AJ26" s="54"/>
      <c r="AK26" s="54"/>
      <c r="AL26" s="180"/>
      <c r="AM26" s="180"/>
      <c r="AN26" s="48"/>
      <c r="AO26" s="48"/>
      <c r="AP26" s="171"/>
      <c r="AQ26" s="171"/>
      <c r="AR26" s="50"/>
      <c r="AS26" s="50"/>
      <c r="AT26" s="121"/>
      <c r="AU26" s="121"/>
    </row>
    <row r="27" spans="1:47">
      <c r="A27" s="15">
        <v>135</v>
      </c>
      <c r="B27" s="15">
        <v>3</v>
      </c>
      <c r="C27" s="15"/>
      <c r="D27" s="15"/>
      <c r="E27" s="151">
        <v>-999999.9</v>
      </c>
      <c r="F27" s="163">
        <v>-9.9999999999999995E-7</v>
      </c>
      <c r="G27" s="213">
        <v>10</v>
      </c>
      <c r="H27" s="56" t="s">
        <v>3594</v>
      </c>
      <c r="I27" s="48" t="s">
        <v>3594</v>
      </c>
      <c r="J27" s="171">
        <v>10</v>
      </c>
      <c r="K27" s="171">
        <v>20</v>
      </c>
      <c r="L27" s="57" t="s">
        <v>3595</v>
      </c>
      <c r="M27" s="50" t="s">
        <v>3595</v>
      </c>
      <c r="N27" s="184">
        <v>20</v>
      </c>
      <c r="O27" s="184">
        <v>30</v>
      </c>
      <c r="P27" s="58" t="s">
        <v>3596</v>
      </c>
      <c r="Q27" s="52" t="s">
        <v>3596</v>
      </c>
      <c r="R27" s="191">
        <v>30</v>
      </c>
      <c r="S27" s="191">
        <v>60</v>
      </c>
      <c r="T27" s="59" t="s">
        <v>3597</v>
      </c>
      <c r="U27" s="54" t="s">
        <v>3597</v>
      </c>
      <c r="V27" s="180">
        <v>60</v>
      </c>
      <c r="W27" s="180">
        <v>121</v>
      </c>
      <c r="X27" s="56" t="s">
        <v>3603</v>
      </c>
      <c r="Y27" s="48" t="s">
        <v>3603</v>
      </c>
      <c r="Z27" s="171"/>
      <c r="AA27" s="171"/>
      <c r="AB27" s="50"/>
      <c r="AC27" s="50"/>
      <c r="AD27" s="184"/>
      <c r="AE27" s="184"/>
      <c r="AF27" s="52"/>
      <c r="AG27" s="52"/>
      <c r="AH27" s="191"/>
      <c r="AI27" s="191"/>
      <c r="AJ27" s="54"/>
      <c r="AK27" s="54"/>
      <c r="AL27" s="180"/>
      <c r="AM27" s="180"/>
      <c r="AN27" s="48"/>
      <c r="AO27" s="48"/>
      <c r="AP27" s="171"/>
      <c r="AQ27" s="171"/>
      <c r="AR27" s="50"/>
      <c r="AS27" s="50"/>
      <c r="AT27" s="121"/>
      <c r="AU27" s="121"/>
    </row>
    <row r="28" spans="1:47">
      <c r="A28" s="15">
        <v>136</v>
      </c>
      <c r="B28" s="15">
        <v>3</v>
      </c>
      <c r="C28" s="15"/>
      <c r="D28" s="15"/>
      <c r="E28" s="151">
        <v>-999999.9</v>
      </c>
      <c r="F28" s="163">
        <v>-9.9999999999999995E-7</v>
      </c>
      <c r="G28" s="214">
        <v>340</v>
      </c>
      <c r="H28" s="56" t="s">
        <v>3604</v>
      </c>
      <c r="I28" s="56" t="s">
        <v>3604</v>
      </c>
      <c r="J28" s="171">
        <v>340</v>
      </c>
      <c r="K28" s="172">
        <v>410</v>
      </c>
      <c r="L28" s="57" t="s">
        <v>3605</v>
      </c>
      <c r="M28" s="57" t="s">
        <v>3605</v>
      </c>
      <c r="N28" s="184">
        <v>410</v>
      </c>
      <c r="O28" s="185">
        <v>490</v>
      </c>
      <c r="P28" s="58" t="s">
        <v>3606</v>
      </c>
      <c r="Q28" s="58" t="s">
        <v>3606</v>
      </c>
      <c r="R28" s="191">
        <v>490</v>
      </c>
      <c r="S28" s="192">
        <v>640</v>
      </c>
      <c r="T28" s="59" t="s">
        <v>3607</v>
      </c>
      <c r="U28" s="59" t="s">
        <v>3607</v>
      </c>
      <c r="V28" s="180">
        <v>640</v>
      </c>
      <c r="W28" s="181">
        <v>1200</v>
      </c>
      <c r="X28" s="56" t="s">
        <v>3608</v>
      </c>
      <c r="Y28" s="56" t="s">
        <v>3608</v>
      </c>
      <c r="Z28" s="171"/>
      <c r="AA28" s="171"/>
      <c r="AB28" s="50"/>
      <c r="AC28" s="50"/>
      <c r="AD28" s="184"/>
      <c r="AE28" s="184"/>
      <c r="AF28" s="52"/>
      <c r="AG28" s="52"/>
      <c r="AH28" s="191"/>
      <c r="AI28" s="191"/>
      <c r="AJ28" s="54"/>
      <c r="AK28" s="54"/>
      <c r="AL28" s="180"/>
      <c r="AM28" s="180"/>
      <c r="AN28" s="48"/>
      <c r="AO28" s="48"/>
      <c r="AP28" s="171"/>
      <c r="AQ28" s="171"/>
      <c r="AR28" s="50"/>
      <c r="AS28" s="50"/>
      <c r="AT28" s="121"/>
      <c r="AU28" s="121"/>
    </row>
    <row r="29" spans="1:47">
      <c r="A29" s="15">
        <v>137</v>
      </c>
      <c r="B29" s="15">
        <v>3</v>
      </c>
      <c r="C29" s="15"/>
      <c r="D29" s="15"/>
      <c r="E29" s="151">
        <v>-999999.9</v>
      </c>
      <c r="F29" s="163">
        <v>-9.9999999999999995E-7</v>
      </c>
      <c r="G29" s="213">
        <v>7.4</v>
      </c>
      <c r="H29" s="48" t="s">
        <v>3589</v>
      </c>
      <c r="I29" s="48" t="s">
        <v>3589</v>
      </c>
      <c r="J29" s="171">
        <v>7.4</v>
      </c>
      <c r="K29" s="171">
        <v>11.5</v>
      </c>
      <c r="L29" s="50" t="s">
        <v>3590</v>
      </c>
      <c r="M29" s="50" t="s">
        <v>3590</v>
      </c>
      <c r="N29" s="184">
        <v>11.5</v>
      </c>
      <c r="O29" s="184">
        <v>15.6</v>
      </c>
      <c r="P29" s="52" t="s">
        <v>3591</v>
      </c>
      <c r="Q29" s="52" t="s">
        <v>3591</v>
      </c>
      <c r="R29" s="191">
        <v>15.6</v>
      </c>
      <c r="S29" s="191">
        <v>21.2</v>
      </c>
      <c r="T29" s="54" t="s">
        <v>3592</v>
      </c>
      <c r="U29" s="54" t="s">
        <v>3592</v>
      </c>
      <c r="V29" s="180">
        <v>21.2</v>
      </c>
      <c r="W29" s="180">
        <v>54.4</v>
      </c>
      <c r="X29" s="48" t="s">
        <v>3593</v>
      </c>
      <c r="Y29" s="48" t="s">
        <v>3593</v>
      </c>
      <c r="Z29" s="171"/>
      <c r="AA29" s="171"/>
      <c r="AB29" s="50"/>
      <c r="AC29" s="50"/>
      <c r="AD29" s="184"/>
      <c r="AE29" s="184"/>
      <c r="AF29" s="52"/>
      <c r="AG29" s="52"/>
      <c r="AH29" s="191"/>
      <c r="AI29" s="191"/>
      <c r="AJ29" s="54"/>
      <c r="AK29" s="54"/>
      <c r="AL29" s="180"/>
      <c r="AM29" s="180"/>
      <c r="AN29" s="48"/>
      <c r="AO29" s="48"/>
      <c r="AP29" s="171"/>
      <c r="AQ29" s="171"/>
      <c r="AR29" s="50"/>
      <c r="AS29" s="50"/>
      <c r="AT29" s="121"/>
      <c r="AU29" s="121"/>
    </row>
    <row r="30" spans="1:47">
      <c r="A30" s="15">
        <v>138</v>
      </c>
      <c r="B30" s="15">
        <v>3</v>
      </c>
      <c r="C30" s="15"/>
      <c r="D30" s="15"/>
      <c r="E30" s="151">
        <v>-999999.9</v>
      </c>
      <c r="F30" s="163">
        <v>-9.9999999999999995E-7</v>
      </c>
      <c r="G30" s="213">
        <v>1.1000000000000001</v>
      </c>
      <c r="H30" s="48" t="s">
        <v>3609</v>
      </c>
      <c r="I30" s="48" t="s">
        <v>3609</v>
      </c>
      <c r="J30" s="171">
        <v>1.1000000000000001</v>
      </c>
      <c r="K30" s="171">
        <v>3.2</v>
      </c>
      <c r="L30" s="50" t="s">
        <v>3610</v>
      </c>
      <c r="M30" s="50" t="s">
        <v>3610</v>
      </c>
      <c r="N30" s="184">
        <v>3.2</v>
      </c>
      <c r="O30" s="184">
        <v>6.8</v>
      </c>
      <c r="P30" s="52" t="s">
        <v>3611</v>
      </c>
      <c r="Q30" s="52" t="s">
        <v>3611</v>
      </c>
      <c r="R30" s="191">
        <v>6.8</v>
      </c>
      <c r="S30" s="191">
        <v>14.1</v>
      </c>
      <c r="T30" s="54" t="s">
        <v>3612</v>
      </c>
      <c r="U30" s="54" t="s">
        <v>3612</v>
      </c>
      <c r="V30" s="180">
        <v>14.1</v>
      </c>
      <c r="W30" s="180">
        <v>36.5</v>
      </c>
      <c r="X30" s="48" t="s">
        <v>3613</v>
      </c>
      <c r="Y30" s="48" t="s">
        <v>3613</v>
      </c>
      <c r="Z30" s="171"/>
      <c r="AA30" s="171"/>
      <c r="AB30" s="50"/>
      <c r="AC30" s="50"/>
      <c r="AD30" s="184"/>
      <c r="AE30" s="184"/>
      <c r="AF30" s="52"/>
      <c r="AG30" s="52"/>
      <c r="AH30" s="191"/>
      <c r="AI30" s="191"/>
      <c r="AJ30" s="54"/>
      <c r="AK30" s="54"/>
      <c r="AL30" s="180"/>
      <c r="AM30" s="180"/>
      <c r="AN30" s="48"/>
      <c r="AO30" s="48"/>
      <c r="AP30" s="171"/>
      <c r="AQ30" s="171"/>
      <c r="AR30" s="50"/>
      <c r="AS30" s="50"/>
      <c r="AT30" s="121"/>
      <c r="AU30" s="121"/>
    </row>
    <row r="31" spans="1:47">
      <c r="A31" s="15">
        <v>139</v>
      </c>
      <c r="B31" s="15">
        <v>3</v>
      </c>
      <c r="C31" s="15"/>
      <c r="D31" s="15"/>
      <c r="E31" s="151">
        <v>-999999.9</v>
      </c>
      <c r="F31" s="163">
        <v>-9.9999999999999995E-7</v>
      </c>
      <c r="G31" s="213">
        <v>2.1</v>
      </c>
      <c r="H31" s="48" t="s">
        <v>3614</v>
      </c>
      <c r="I31" s="48" t="s">
        <v>3614</v>
      </c>
      <c r="J31" s="171">
        <v>2.1</v>
      </c>
      <c r="K31" s="171">
        <v>7.5</v>
      </c>
      <c r="L31" s="50" t="s">
        <v>3615</v>
      </c>
      <c r="M31" s="50" t="s">
        <v>3615</v>
      </c>
      <c r="N31" s="184">
        <v>7.5</v>
      </c>
      <c r="O31" s="184">
        <v>17.2</v>
      </c>
      <c r="P31" s="52" t="s">
        <v>3616</v>
      </c>
      <c r="Q31" s="52" t="s">
        <v>3616</v>
      </c>
      <c r="R31" s="191">
        <v>17.2</v>
      </c>
      <c r="S31" s="191">
        <v>35.299999999999997</v>
      </c>
      <c r="T31" s="54" t="s">
        <v>3617</v>
      </c>
      <c r="U31" s="54" t="s">
        <v>3617</v>
      </c>
      <c r="V31" s="180">
        <v>35.299999999999997</v>
      </c>
      <c r="W31" s="180">
        <v>80.7</v>
      </c>
      <c r="X31" s="48" t="s">
        <v>3618</v>
      </c>
      <c r="Y31" s="48" t="s">
        <v>3618</v>
      </c>
      <c r="Z31" s="171"/>
      <c r="AA31" s="171"/>
      <c r="AB31" s="50"/>
      <c r="AC31" s="50"/>
      <c r="AD31" s="184"/>
      <c r="AE31" s="184"/>
      <c r="AF31" s="52"/>
      <c r="AG31" s="52"/>
      <c r="AH31" s="191"/>
      <c r="AI31" s="191"/>
      <c r="AJ31" s="54"/>
      <c r="AK31" s="54"/>
      <c r="AL31" s="180"/>
      <c r="AM31" s="180"/>
      <c r="AN31" s="48"/>
      <c r="AO31" s="48"/>
      <c r="AP31" s="171"/>
      <c r="AQ31" s="171"/>
      <c r="AR31" s="50"/>
      <c r="AS31" s="50"/>
      <c r="AT31" s="121"/>
      <c r="AU31" s="121"/>
    </row>
    <row r="32" spans="1:47">
      <c r="A32" s="15">
        <v>140</v>
      </c>
      <c r="B32" s="15">
        <v>3</v>
      </c>
      <c r="C32" s="15"/>
      <c r="D32" s="15"/>
      <c r="E32" s="151">
        <v>-999999.9</v>
      </c>
      <c r="F32" s="163">
        <v>-9.9999999999999995E-7</v>
      </c>
      <c r="G32" s="213">
        <v>0.8</v>
      </c>
      <c r="H32" s="48" t="s">
        <v>3619</v>
      </c>
      <c r="I32" s="48" t="s">
        <v>3619</v>
      </c>
      <c r="J32" s="171">
        <v>0.8</v>
      </c>
      <c r="K32" s="171">
        <v>1.9</v>
      </c>
      <c r="L32" s="50" t="s">
        <v>3620</v>
      </c>
      <c r="M32" s="50" t="s">
        <v>3620</v>
      </c>
      <c r="N32" s="184">
        <v>1.0900000000000001</v>
      </c>
      <c r="O32" s="184">
        <v>3.9</v>
      </c>
      <c r="P32" s="52" t="s">
        <v>3621</v>
      </c>
      <c r="Q32" s="52" t="s">
        <v>3621</v>
      </c>
      <c r="R32" s="191">
        <v>3.9</v>
      </c>
      <c r="S32" s="191">
        <v>8</v>
      </c>
      <c r="T32" s="54" t="s">
        <v>3622</v>
      </c>
      <c r="U32" s="54" t="s">
        <v>3622</v>
      </c>
      <c r="V32" s="180">
        <v>8</v>
      </c>
      <c r="W32" s="180">
        <v>20</v>
      </c>
      <c r="X32" s="48" t="s">
        <v>3623</v>
      </c>
      <c r="Y32" s="48" t="s">
        <v>3623</v>
      </c>
      <c r="Z32" s="171"/>
      <c r="AA32" s="171"/>
      <c r="AB32" s="50"/>
      <c r="AC32" s="50"/>
      <c r="AD32" s="184"/>
      <c r="AE32" s="184"/>
      <c r="AF32" s="52"/>
      <c r="AG32" s="52"/>
      <c r="AH32" s="191"/>
      <c r="AI32" s="191"/>
      <c r="AJ32" s="54"/>
      <c r="AK32" s="54"/>
      <c r="AL32" s="180"/>
      <c r="AM32" s="180"/>
      <c r="AN32" s="48"/>
      <c r="AO32" s="48"/>
      <c r="AP32" s="171"/>
      <c r="AQ32" s="171"/>
      <c r="AR32" s="50"/>
      <c r="AS32" s="50"/>
      <c r="AT32" s="121"/>
      <c r="AU32" s="121"/>
    </row>
    <row r="33" spans="1:47">
      <c r="A33" s="15">
        <v>141</v>
      </c>
      <c r="B33" s="15">
        <v>3</v>
      </c>
      <c r="C33" s="15"/>
      <c r="D33" s="15"/>
      <c r="E33" s="151">
        <v>-999999.9</v>
      </c>
      <c r="F33" s="163">
        <v>-9.9999999999999995E-7</v>
      </c>
      <c r="G33" s="213">
        <v>5.6</v>
      </c>
      <c r="H33" s="48" t="s">
        <v>3624</v>
      </c>
      <c r="I33" s="48" t="s">
        <v>3624</v>
      </c>
      <c r="J33" s="171">
        <v>5.6</v>
      </c>
      <c r="K33" s="171">
        <v>8</v>
      </c>
      <c r="L33" s="50" t="s">
        <v>3625</v>
      </c>
      <c r="M33" s="50" t="s">
        <v>3625</v>
      </c>
      <c r="N33" s="184">
        <v>8</v>
      </c>
      <c r="O33" s="184">
        <v>10.1</v>
      </c>
      <c r="P33" s="52" t="s">
        <v>3626</v>
      </c>
      <c r="Q33" s="52" t="s">
        <v>3626</v>
      </c>
      <c r="R33" s="191">
        <v>10.1</v>
      </c>
      <c r="S33" s="191">
        <v>12.8</v>
      </c>
      <c r="T33" s="54" t="s">
        <v>3627</v>
      </c>
      <c r="U33" s="54" t="s">
        <v>3627</v>
      </c>
      <c r="V33" s="180">
        <v>12.8</v>
      </c>
      <c r="W33" s="180">
        <v>24.1</v>
      </c>
      <c r="X33" s="48" t="s">
        <v>3628</v>
      </c>
      <c r="Y33" s="48" t="s">
        <v>3628</v>
      </c>
      <c r="Z33" s="171"/>
      <c r="AA33" s="171"/>
      <c r="AB33" s="50"/>
      <c r="AC33" s="50"/>
      <c r="AD33" s="184"/>
      <c r="AE33" s="184"/>
      <c r="AF33" s="52"/>
      <c r="AG33" s="52"/>
      <c r="AH33" s="191"/>
      <c r="AI33" s="191"/>
      <c r="AJ33" s="54"/>
      <c r="AK33" s="54"/>
      <c r="AL33" s="180"/>
      <c r="AM33" s="180"/>
      <c r="AN33" s="48"/>
      <c r="AO33" s="48"/>
      <c r="AP33" s="171"/>
      <c r="AQ33" s="171"/>
      <c r="AR33" s="50"/>
      <c r="AS33" s="50"/>
      <c r="AT33" s="121"/>
      <c r="AU33" s="121"/>
    </row>
    <row r="34" spans="1:47">
      <c r="A34" s="15">
        <v>142</v>
      </c>
      <c r="B34" s="15">
        <v>3</v>
      </c>
      <c r="C34" s="15"/>
      <c r="D34" s="15"/>
      <c r="E34" s="151">
        <v>-999999.9</v>
      </c>
      <c r="F34" s="163">
        <v>-9.9999999999999995E-7</v>
      </c>
      <c r="G34" s="213">
        <v>2.6</v>
      </c>
      <c r="H34" s="48" t="s">
        <v>3629</v>
      </c>
      <c r="I34" s="48" t="s">
        <v>3630</v>
      </c>
      <c r="J34" s="171">
        <v>2.6</v>
      </c>
      <c r="K34" s="171">
        <v>5.3</v>
      </c>
      <c r="L34" s="50" t="s">
        <v>3631</v>
      </c>
      <c r="M34" s="50" t="s">
        <v>3631</v>
      </c>
      <c r="N34" s="184">
        <v>5.3</v>
      </c>
      <c r="O34" s="184">
        <v>8.6999999999999993</v>
      </c>
      <c r="P34" s="52" t="s">
        <v>3632</v>
      </c>
      <c r="Q34" s="52" t="s">
        <v>3632</v>
      </c>
      <c r="R34" s="191">
        <v>8.6999999999999993</v>
      </c>
      <c r="S34" s="191">
        <v>13.4</v>
      </c>
      <c r="T34" s="54" t="s">
        <v>3633</v>
      </c>
      <c r="U34" s="54" t="s">
        <v>3633</v>
      </c>
      <c r="V34" s="180">
        <v>13.4</v>
      </c>
      <c r="W34" s="180">
        <v>42</v>
      </c>
      <c r="X34" s="48" t="s">
        <v>3634</v>
      </c>
      <c r="Y34" s="48" t="s">
        <v>3634</v>
      </c>
      <c r="Z34" s="171"/>
      <c r="AA34" s="171"/>
      <c r="AB34" s="50"/>
      <c r="AC34" s="50"/>
      <c r="AD34" s="184"/>
      <c r="AE34" s="184"/>
      <c r="AF34" s="52"/>
      <c r="AG34" s="52"/>
      <c r="AH34" s="191"/>
      <c r="AI34" s="191"/>
      <c r="AJ34" s="54"/>
      <c r="AK34" s="54"/>
      <c r="AL34" s="180"/>
      <c r="AM34" s="180"/>
      <c r="AN34" s="48"/>
      <c r="AO34" s="48"/>
      <c r="AP34" s="171"/>
      <c r="AQ34" s="171"/>
      <c r="AR34" s="50"/>
      <c r="AS34" s="50"/>
      <c r="AT34" s="121"/>
      <c r="AU34" s="121"/>
    </row>
    <row r="35" spans="1:47">
      <c r="A35" s="15">
        <v>143</v>
      </c>
      <c r="B35" s="15">
        <v>3</v>
      </c>
      <c r="C35" s="15"/>
      <c r="D35" s="15"/>
      <c r="E35" s="151">
        <v>-999999.9</v>
      </c>
      <c r="F35" s="163">
        <v>-9.9999999999999995E-7</v>
      </c>
      <c r="G35" s="213">
        <v>2.7</v>
      </c>
      <c r="H35" s="48" t="s">
        <v>3635</v>
      </c>
      <c r="I35" s="48" t="s">
        <v>3635</v>
      </c>
      <c r="J35" s="171">
        <v>2.7</v>
      </c>
      <c r="K35" s="171">
        <v>8.5</v>
      </c>
      <c r="L35" s="50" t="s">
        <v>3636</v>
      </c>
      <c r="M35" s="50" t="s">
        <v>3636</v>
      </c>
      <c r="N35" s="184">
        <v>8.5</v>
      </c>
      <c r="O35" s="184">
        <v>18.3</v>
      </c>
      <c r="P35" s="52" t="s">
        <v>3637</v>
      </c>
      <c r="Q35" s="52" t="s">
        <v>3638</v>
      </c>
      <c r="R35" s="191">
        <v>18.3</v>
      </c>
      <c r="S35" s="191">
        <v>40</v>
      </c>
      <c r="T35" s="54" t="s">
        <v>3639</v>
      </c>
      <c r="U35" s="54" t="s">
        <v>3639</v>
      </c>
      <c r="V35" s="180">
        <v>40</v>
      </c>
      <c r="W35" s="180">
        <v>100</v>
      </c>
      <c r="X35" s="48" t="s">
        <v>3640</v>
      </c>
      <c r="Y35" s="48" t="s">
        <v>3640</v>
      </c>
      <c r="Z35" s="171"/>
      <c r="AA35" s="171"/>
      <c r="AB35" s="50"/>
      <c r="AC35" s="50"/>
      <c r="AD35" s="184"/>
      <c r="AE35" s="184"/>
      <c r="AF35" s="52"/>
      <c r="AG35" s="52"/>
      <c r="AH35" s="191"/>
      <c r="AI35" s="191"/>
      <c r="AJ35" s="54"/>
      <c r="AK35" s="54"/>
      <c r="AL35" s="180"/>
      <c r="AM35" s="180"/>
      <c r="AN35" s="48"/>
      <c r="AO35" s="48"/>
      <c r="AP35" s="171"/>
      <c r="AQ35" s="171"/>
      <c r="AR35" s="50"/>
      <c r="AS35" s="50"/>
      <c r="AT35" s="121"/>
      <c r="AU35" s="121"/>
    </row>
    <row r="36" spans="1:47">
      <c r="A36" s="15">
        <v>144</v>
      </c>
      <c r="B36" s="15">
        <v>3</v>
      </c>
      <c r="C36" s="15"/>
      <c r="D36" s="15"/>
      <c r="E36" s="151">
        <v>-999999.9</v>
      </c>
      <c r="F36" s="163">
        <v>-9.9999999999999995E-7</v>
      </c>
      <c r="G36" s="213">
        <v>1.2</v>
      </c>
      <c r="H36" s="48" t="s">
        <v>3641</v>
      </c>
      <c r="I36" s="48" t="s">
        <v>3641</v>
      </c>
      <c r="J36" s="171">
        <v>1.2</v>
      </c>
      <c r="K36" s="171">
        <v>3.4</v>
      </c>
      <c r="L36" s="50" t="s">
        <v>3642</v>
      </c>
      <c r="M36" s="50" t="s">
        <v>3642</v>
      </c>
      <c r="N36" s="184">
        <v>3.4</v>
      </c>
      <c r="O36" s="184">
        <v>6.9</v>
      </c>
      <c r="P36" s="52" t="s">
        <v>3643</v>
      </c>
      <c r="Q36" s="52" t="s">
        <v>3643</v>
      </c>
      <c r="R36" s="191">
        <v>6.8</v>
      </c>
      <c r="S36" s="191">
        <v>14.1</v>
      </c>
      <c r="T36" s="54" t="s">
        <v>3644</v>
      </c>
      <c r="U36" s="54" t="s">
        <v>3644</v>
      </c>
      <c r="V36" s="180">
        <v>12.3</v>
      </c>
      <c r="W36" s="180">
        <v>35</v>
      </c>
      <c r="X36" s="48" t="s">
        <v>3645</v>
      </c>
      <c r="Y36" s="48" t="s">
        <v>3645</v>
      </c>
      <c r="Z36" s="171"/>
      <c r="AA36" s="171"/>
      <c r="AB36" s="50"/>
      <c r="AC36" s="50"/>
      <c r="AD36" s="184"/>
      <c r="AE36" s="184"/>
      <c r="AF36" s="52"/>
      <c r="AG36" s="52"/>
      <c r="AH36" s="191"/>
      <c r="AI36" s="191"/>
      <c r="AJ36" s="54"/>
      <c r="AK36" s="54"/>
      <c r="AL36" s="180"/>
      <c r="AM36" s="180"/>
      <c r="AN36" s="48"/>
      <c r="AO36" s="48"/>
      <c r="AP36" s="171"/>
      <c r="AQ36" s="171"/>
      <c r="AR36" s="50"/>
      <c r="AS36" s="50"/>
      <c r="AT36" s="121"/>
      <c r="AU36" s="121"/>
    </row>
    <row r="37" spans="1:47">
      <c r="A37" s="15">
        <v>145</v>
      </c>
      <c r="B37" s="15">
        <v>3</v>
      </c>
      <c r="C37" s="15"/>
      <c r="D37" s="15"/>
      <c r="E37" s="151">
        <v>-999999.9</v>
      </c>
      <c r="F37" s="163">
        <v>-9.9999999999999995E-7</v>
      </c>
      <c r="G37" s="213">
        <v>1.8</v>
      </c>
      <c r="H37" s="48" t="s">
        <v>3646</v>
      </c>
      <c r="I37" s="48" t="s">
        <v>3646</v>
      </c>
      <c r="J37" s="171">
        <v>1.8</v>
      </c>
      <c r="K37" s="171">
        <v>4.5</v>
      </c>
      <c r="L37" s="50" t="s">
        <v>3647</v>
      </c>
      <c r="M37" s="50" t="s">
        <v>3647</v>
      </c>
      <c r="N37" s="184">
        <v>4.5</v>
      </c>
      <c r="O37" s="184">
        <v>9.1</v>
      </c>
      <c r="P37" s="52" t="s">
        <v>3648</v>
      </c>
      <c r="Q37" s="52" t="s">
        <v>3648</v>
      </c>
      <c r="R37" s="191">
        <v>9.1</v>
      </c>
      <c r="S37" s="191">
        <v>17</v>
      </c>
      <c r="T37" s="54" t="s">
        <v>3649</v>
      </c>
      <c r="U37" s="54" t="s">
        <v>3649</v>
      </c>
      <c r="V37" s="180">
        <v>17</v>
      </c>
      <c r="W37" s="180">
        <v>65</v>
      </c>
      <c r="X37" s="48" t="s">
        <v>3650</v>
      </c>
      <c r="Y37" s="48" t="s">
        <v>3650</v>
      </c>
      <c r="Z37" s="171"/>
      <c r="AA37" s="171"/>
      <c r="AB37" s="50"/>
      <c r="AC37" s="50"/>
      <c r="AD37" s="184"/>
      <c r="AE37" s="184"/>
      <c r="AF37" s="52"/>
      <c r="AG37" s="52"/>
      <c r="AH37" s="191"/>
      <c r="AI37" s="191"/>
      <c r="AJ37" s="54"/>
      <c r="AK37" s="54"/>
      <c r="AL37" s="180"/>
      <c r="AM37" s="180"/>
      <c r="AN37" s="48"/>
      <c r="AO37" s="48"/>
      <c r="AP37" s="171"/>
      <c r="AQ37" s="171"/>
      <c r="AR37" s="50"/>
      <c r="AS37" s="50"/>
      <c r="AT37" s="121"/>
      <c r="AU37" s="121"/>
    </row>
    <row r="38" spans="1:47">
      <c r="A38" s="15">
        <v>146</v>
      </c>
      <c r="B38" s="15">
        <v>3</v>
      </c>
      <c r="C38" s="15"/>
      <c r="D38" s="15"/>
      <c r="E38" s="151">
        <v>-999999.9</v>
      </c>
      <c r="F38" s="163">
        <v>-9.9999999999999995E-7</v>
      </c>
      <c r="G38" s="213">
        <v>14.3</v>
      </c>
      <c r="H38" s="48" t="s">
        <v>3651</v>
      </c>
      <c r="I38" s="48" t="s">
        <v>3651</v>
      </c>
      <c r="J38" s="171">
        <v>14.3</v>
      </c>
      <c r="K38" s="171">
        <v>25.8</v>
      </c>
      <c r="L38" s="50" t="s">
        <v>3652</v>
      </c>
      <c r="M38" s="50" t="s">
        <v>3652</v>
      </c>
      <c r="N38" s="184">
        <v>25.8</v>
      </c>
      <c r="O38" s="184">
        <v>38.799999999999997</v>
      </c>
      <c r="P38" s="52" t="s">
        <v>3653</v>
      </c>
      <c r="Q38" s="52" t="s">
        <v>3653</v>
      </c>
      <c r="R38" s="191">
        <v>38.799999999999997</v>
      </c>
      <c r="S38" s="191">
        <v>54.4</v>
      </c>
      <c r="T38" s="54" t="s">
        <v>3654</v>
      </c>
      <c r="U38" s="54" t="s">
        <v>3654</v>
      </c>
      <c r="V38" s="180">
        <v>54.4</v>
      </c>
      <c r="W38" s="180">
        <v>94.5</v>
      </c>
      <c r="X38" s="48" t="s">
        <v>3655</v>
      </c>
      <c r="Y38" s="48" t="s">
        <v>3655</v>
      </c>
      <c r="Z38" s="171"/>
      <c r="AA38" s="171"/>
      <c r="AB38" s="50"/>
      <c r="AC38" s="50"/>
      <c r="AD38" s="184"/>
      <c r="AE38" s="184"/>
      <c r="AF38" s="52"/>
      <c r="AG38" s="52"/>
      <c r="AH38" s="191"/>
      <c r="AI38" s="191"/>
      <c r="AJ38" s="54"/>
      <c r="AK38" s="54"/>
      <c r="AL38" s="180"/>
      <c r="AM38" s="180"/>
      <c r="AN38" s="48"/>
      <c r="AO38" s="48"/>
      <c r="AP38" s="171"/>
      <c r="AQ38" s="171"/>
      <c r="AR38" s="50"/>
      <c r="AS38" s="50"/>
      <c r="AT38" s="121"/>
      <c r="AU38" s="121"/>
    </row>
    <row r="39" spans="1:47">
      <c r="A39" s="15">
        <v>147</v>
      </c>
      <c r="B39" s="15">
        <v>3</v>
      </c>
      <c r="C39" s="15"/>
      <c r="D39" s="15"/>
      <c r="E39" s="151">
        <v>-999999.9</v>
      </c>
      <c r="F39" s="163">
        <v>-9.9999999999999995E-7</v>
      </c>
      <c r="G39" s="213">
        <v>4.5999999999999996</v>
      </c>
      <c r="H39" s="48" t="s">
        <v>3656</v>
      </c>
      <c r="I39" s="48" t="s">
        <v>3656</v>
      </c>
      <c r="J39" s="171">
        <v>4.5999999999999996</v>
      </c>
      <c r="K39" s="171">
        <v>7.6</v>
      </c>
      <c r="L39" s="50" t="s">
        <v>3657</v>
      </c>
      <c r="M39" s="50" t="s">
        <v>3657</v>
      </c>
      <c r="N39" s="184">
        <v>7.6</v>
      </c>
      <c r="O39" s="184">
        <v>11.2</v>
      </c>
      <c r="P39" s="52" t="s">
        <v>3658</v>
      </c>
      <c r="Q39" s="52" t="s">
        <v>3658</v>
      </c>
      <c r="R39" s="191">
        <v>11.2</v>
      </c>
      <c r="S39" s="191">
        <v>16.3</v>
      </c>
      <c r="T39" s="54" t="s">
        <v>3659</v>
      </c>
      <c r="U39" s="54" t="s">
        <v>3659</v>
      </c>
      <c r="V39" s="180">
        <v>16.3</v>
      </c>
      <c r="W39" s="180">
        <v>39.9</v>
      </c>
      <c r="X39" s="48" t="s">
        <v>3660</v>
      </c>
      <c r="Y39" s="48" t="s">
        <v>3660</v>
      </c>
      <c r="Z39" s="171"/>
      <c r="AA39" s="171"/>
      <c r="AB39" s="50"/>
      <c r="AC39" s="50"/>
      <c r="AD39" s="184"/>
      <c r="AE39" s="184"/>
      <c r="AF39" s="52"/>
      <c r="AG39" s="52"/>
      <c r="AH39" s="191"/>
      <c r="AI39" s="191"/>
      <c r="AJ39" s="54"/>
      <c r="AK39" s="54"/>
      <c r="AL39" s="180"/>
      <c r="AM39" s="180"/>
      <c r="AN39" s="48"/>
      <c r="AO39" s="48"/>
      <c r="AP39" s="171"/>
      <c r="AQ39" s="171"/>
      <c r="AR39" s="50"/>
      <c r="AS39" s="50"/>
      <c r="AT39" s="121"/>
      <c r="AU39" s="121"/>
    </row>
    <row r="40" spans="1:47">
      <c r="A40" s="15">
        <v>148</v>
      </c>
      <c r="B40" s="15">
        <v>3</v>
      </c>
      <c r="C40" s="15"/>
      <c r="D40" s="15"/>
      <c r="E40" s="151">
        <v>-999999.9</v>
      </c>
      <c r="F40" s="163">
        <v>-9.9999999999999995E-7</v>
      </c>
      <c r="G40" s="213">
        <v>19.600000000000001</v>
      </c>
      <c r="H40" s="48" t="s">
        <v>3661</v>
      </c>
      <c r="I40" s="48" t="s">
        <v>3661</v>
      </c>
      <c r="J40" s="171">
        <v>19.600000000000001</v>
      </c>
      <c r="K40" s="171">
        <v>25.7</v>
      </c>
      <c r="L40" s="50" t="s">
        <v>3662</v>
      </c>
      <c r="M40" s="50" t="s">
        <v>3662</v>
      </c>
      <c r="N40" s="184">
        <v>25.7</v>
      </c>
      <c r="O40" s="184">
        <v>31.8</v>
      </c>
      <c r="P40" s="52" t="s">
        <v>3663</v>
      </c>
      <c r="Q40" s="52" t="s">
        <v>3663</v>
      </c>
      <c r="R40" s="191">
        <v>31.8</v>
      </c>
      <c r="S40" s="191">
        <v>40</v>
      </c>
      <c r="T40" s="54" t="s">
        <v>3664</v>
      </c>
      <c r="U40" s="54" t="s">
        <v>3664</v>
      </c>
      <c r="V40" s="180">
        <v>40</v>
      </c>
      <c r="W40" s="180">
        <v>67.400000000000006</v>
      </c>
      <c r="X40" s="48" t="s">
        <v>3665</v>
      </c>
      <c r="Y40" s="48" t="s">
        <v>3665</v>
      </c>
      <c r="Z40" s="171"/>
      <c r="AA40" s="171"/>
      <c r="AB40" s="50"/>
      <c r="AC40" s="50"/>
      <c r="AD40" s="184"/>
      <c r="AE40" s="184"/>
      <c r="AF40" s="52"/>
      <c r="AG40" s="52"/>
      <c r="AH40" s="191"/>
      <c r="AI40" s="191"/>
      <c r="AJ40" s="54"/>
      <c r="AK40" s="54"/>
      <c r="AL40" s="180"/>
      <c r="AM40" s="180"/>
      <c r="AN40" s="48"/>
      <c r="AO40" s="48"/>
      <c r="AP40" s="171"/>
      <c r="AQ40" s="171"/>
      <c r="AR40" s="50"/>
      <c r="AS40" s="50"/>
      <c r="AT40" s="121"/>
      <c r="AU40" s="121"/>
    </row>
    <row r="41" spans="1:47">
      <c r="A41" s="15">
        <v>149</v>
      </c>
      <c r="B41" s="15">
        <v>3</v>
      </c>
      <c r="C41" s="15"/>
      <c r="D41" s="15"/>
      <c r="E41" s="151">
        <v>-999999.9</v>
      </c>
      <c r="F41" s="163">
        <v>-9.9999999999999995E-7</v>
      </c>
      <c r="G41" s="213">
        <v>3.8</v>
      </c>
      <c r="H41" s="48" t="s">
        <v>3666</v>
      </c>
      <c r="I41" s="48" t="s">
        <v>3666</v>
      </c>
      <c r="J41" s="171">
        <v>3.8</v>
      </c>
      <c r="K41" s="171">
        <v>7.2</v>
      </c>
      <c r="L41" s="50" t="s">
        <v>3667</v>
      </c>
      <c r="M41" s="50" t="s">
        <v>3667</v>
      </c>
      <c r="N41" s="184">
        <v>7.2</v>
      </c>
      <c r="O41" s="184">
        <v>11.8</v>
      </c>
      <c r="P41" s="52" t="s">
        <v>3668</v>
      </c>
      <c r="Q41" s="52" t="s">
        <v>3668</v>
      </c>
      <c r="R41" s="191">
        <v>11.8</v>
      </c>
      <c r="S41" s="191">
        <v>18.7</v>
      </c>
      <c r="T41" s="54" t="s">
        <v>3669</v>
      </c>
      <c r="U41" s="54" t="s">
        <v>3669</v>
      </c>
      <c r="V41" s="180">
        <v>18.7</v>
      </c>
      <c r="W41" s="180">
        <v>54.4</v>
      </c>
      <c r="X41" s="48" t="s">
        <v>3670</v>
      </c>
      <c r="Y41" s="48" t="s">
        <v>3670</v>
      </c>
      <c r="Z41" s="171"/>
      <c r="AA41" s="171"/>
      <c r="AB41" s="50"/>
      <c r="AC41" s="50"/>
      <c r="AD41" s="184"/>
      <c r="AE41" s="184"/>
      <c r="AF41" s="52"/>
      <c r="AG41" s="52"/>
      <c r="AH41" s="191"/>
      <c r="AI41" s="191"/>
      <c r="AJ41" s="54"/>
      <c r="AK41" s="54"/>
      <c r="AL41" s="180"/>
      <c r="AM41" s="180"/>
      <c r="AN41" s="48"/>
      <c r="AO41" s="48"/>
      <c r="AP41" s="171"/>
      <c r="AQ41" s="171"/>
      <c r="AR41" s="50"/>
      <c r="AS41" s="50"/>
      <c r="AT41" s="121"/>
      <c r="AU41" s="121"/>
    </row>
    <row r="42" spans="1:47">
      <c r="A42" s="15">
        <v>150</v>
      </c>
      <c r="B42" s="15">
        <v>3</v>
      </c>
      <c r="C42" s="15"/>
      <c r="D42" s="15"/>
      <c r="E42" s="151">
        <v>-999999.9</v>
      </c>
      <c r="F42" s="163">
        <v>-9.9999999999999995E-7</v>
      </c>
      <c r="G42" s="213">
        <v>15.4</v>
      </c>
      <c r="H42" s="48" t="s">
        <v>3671</v>
      </c>
      <c r="I42" s="48" t="s">
        <v>3671</v>
      </c>
      <c r="J42" s="171">
        <v>15.4</v>
      </c>
      <c r="K42" s="171">
        <v>23</v>
      </c>
      <c r="L42" s="50" t="s">
        <v>3672</v>
      </c>
      <c r="M42" s="50" t="s">
        <v>3672</v>
      </c>
      <c r="N42" s="184">
        <v>23</v>
      </c>
      <c r="O42" s="184">
        <v>30.8</v>
      </c>
      <c r="P42" s="52" t="s">
        <v>3673</v>
      </c>
      <c r="Q42" s="52" t="s">
        <v>3673</v>
      </c>
      <c r="R42" s="191">
        <v>30.8</v>
      </c>
      <c r="S42" s="191">
        <v>39.1</v>
      </c>
      <c r="T42" s="54" t="s">
        <v>3674</v>
      </c>
      <c r="U42" s="54" t="s">
        <v>3674</v>
      </c>
      <c r="V42" s="180">
        <v>39.1</v>
      </c>
      <c r="W42" s="180">
        <v>59.9</v>
      </c>
      <c r="X42" s="48" t="s">
        <v>3675</v>
      </c>
      <c r="Y42" s="48" t="s">
        <v>3675</v>
      </c>
      <c r="Z42" s="171"/>
      <c r="AA42" s="171"/>
      <c r="AB42" s="50"/>
      <c r="AC42" s="50"/>
      <c r="AD42" s="184"/>
      <c r="AE42" s="184"/>
      <c r="AF42" s="52"/>
      <c r="AG42" s="52"/>
      <c r="AH42" s="191"/>
      <c r="AI42" s="191"/>
      <c r="AJ42" s="54"/>
      <c r="AK42" s="54"/>
      <c r="AL42" s="180"/>
      <c r="AM42" s="180"/>
      <c r="AN42" s="48"/>
      <c r="AO42" s="48"/>
      <c r="AP42" s="171"/>
      <c r="AQ42" s="171"/>
      <c r="AR42" s="50"/>
      <c r="AS42" s="50"/>
      <c r="AT42" s="121"/>
      <c r="AU42" s="121"/>
    </row>
    <row r="43" spans="1:47">
      <c r="A43" s="15">
        <v>151</v>
      </c>
      <c r="B43" s="15">
        <v>3</v>
      </c>
      <c r="C43" s="15"/>
      <c r="D43" s="15"/>
      <c r="E43" s="151">
        <v>-999999.9</v>
      </c>
      <c r="F43" s="163">
        <v>-9.9999999999999995E-7</v>
      </c>
      <c r="G43" s="213">
        <v>3.7</v>
      </c>
      <c r="H43" s="48" t="s">
        <v>3676</v>
      </c>
      <c r="I43" s="48" t="s">
        <v>3676</v>
      </c>
      <c r="J43" s="171">
        <v>3.7</v>
      </c>
      <c r="K43" s="171">
        <v>6.4</v>
      </c>
      <c r="L43" s="50" t="s">
        <v>3677</v>
      </c>
      <c r="M43" s="50" t="s">
        <v>3677</v>
      </c>
      <c r="N43" s="184">
        <v>6.4</v>
      </c>
      <c r="O43" s="184">
        <v>10.6</v>
      </c>
      <c r="P43" s="52" t="s">
        <v>3678</v>
      </c>
      <c r="Q43" s="52" t="s">
        <v>3678</v>
      </c>
      <c r="R43" s="191">
        <v>10.6</v>
      </c>
      <c r="S43" s="191">
        <v>19.100000000000001</v>
      </c>
      <c r="T43" s="54" t="s">
        <v>3679</v>
      </c>
      <c r="U43" s="54" t="s">
        <v>3679</v>
      </c>
      <c r="V43" s="180">
        <v>19.100000000000001</v>
      </c>
      <c r="W43" s="180">
        <v>39.6</v>
      </c>
      <c r="X43" s="48" t="s">
        <v>3680</v>
      </c>
      <c r="Y43" s="48" t="s">
        <v>3680</v>
      </c>
      <c r="Z43" s="171"/>
      <c r="AA43" s="171"/>
      <c r="AB43" s="50"/>
      <c r="AC43" s="50"/>
      <c r="AD43" s="184"/>
      <c r="AE43" s="184"/>
      <c r="AF43" s="52"/>
      <c r="AG43" s="52"/>
      <c r="AH43" s="191"/>
      <c r="AI43" s="191"/>
      <c r="AJ43" s="54"/>
      <c r="AK43" s="54"/>
      <c r="AL43" s="180"/>
      <c r="AM43" s="180"/>
      <c r="AN43" s="48"/>
      <c r="AO43" s="48"/>
      <c r="AP43" s="171"/>
      <c r="AQ43" s="171"/>
      <c r="AR43" s="50"/>
      <c r="AS43" s="50"/>
      <c r="AT43" s="121"/>
      <c r="AU43" s="121"/>
    </row>
    <row r="44" spans="1:47">
      <c r="A44" s="15">
        <v>152</v>
      </c>
      <c r="B44" s="15">
        <v>3</v>
      </c>
      <c r="C44" s="15"/>
      <c r="D44" s="15"/>
      <c r="E44" s="151">
        <v>-999999.9</v>
      </c>
      <c r="F44" s="163">
        <v>-9.9999999999999995E-7</v>
      </c>
      <c r="G44" s="213">
        <v>0.9</v>
      </c>
      <c r="H44" s="48" t="s">
        <v>3681</v>
      </c>
      <c r="I44" s="48" t="s">
        <v>3681</v>
      </c>
      <c r="J44" s="171">
        <v>0.9</v>
      </c>
      <c r="K44" s="171">
        <v>2.7</v>
      </c>
      <c r="L44" s="50" t="s">
        <v>3682</v>
      </c>
      <c r="M44" s="50" t="s">
        <v>3682</v>
      </c>
      <c r="N44" s="184">
        <v>2.7</v>
      </c>
      <c r="O44" s="184">
        <v>5.2</v>
      </c>
      <c r="P44" s="52" t="s">
        <v>3683</v>
      </c>
      <c r="Q44" s="52" t="s">
        <v>3683</v>
      </c>
      <c r="R44" s="191">
        <v>5.2</v>
      </c>
      <c r="S44" s="191">
        <v>10.1</v>
      </c>
      <c r="T44" s="54" t="s">
        <v>3684</v>
      </c>
      <c r="U44" s="54" t="s">
        <v>3684</v>
      </c>
      <c r="V44" s="180">
        <v>10.1</v>
      </c>
      <c r="W44" s="180">
        <v>27.6</v>
      </c>
      <c r="X44" s="48" t="s">
        <v>3685</v>
      </c>
      <c r="Y44" s="48" t="s">
        <v>3685</v>
      </c>
      <c r="Z44" s="171"/>
      <c r="AA44" s="171"/>
      <c r="AB44" s="50"/>
      <c r="AC44" s="50"/>
      <c r="AD44" s="184"/>
      <c r="AE44" s="184"/>
      <c r="AF44" s="52"/>
      <c r="AG44" s="52"/>
      <c r="AH44" s="191"/>
      <c r="AI44" s="191"/>
      <c r="AJ44" s="54"/>
      <c r="AK44" s="54"/>
      <c r="AL44" s="180"/>
      <c r="AM44" s="180"/>
      <c r="AN44" s="48"/>
      <c r="AO44" s="48"/>
      <c r="AP44" s="171"/>
      <c r="AQ44" s="171"/>
      <c r="AR44" s="50"/>
      <c r="AS44" s="50"/>
      <c r="AT44" s="121"/>
      <c r="AU44" s="121"/>
    </row>
    <row r="45" spans="1:47">
      <c r="A45" s="15">
        <v>153</v>
      </c>
      <c r="B45" s="15">
        <v>3</v>
      </c>
      <c r="C45" s="15"/>
      <c r="D45" s="15"/>
      <c r="E45" s="151">
        <v>-999999.9</v>
      </c>
      <c r="F45" s="163">
        <v>-9.9999999999999995E-7</v>
      </c>
      <c r="G45" s="213">
        <v>4.7</v>
      </c>
      <c r="H45" s="48" t="s">
        <v>3686</v>
      </c>
      <c r="I45" s="48" t="s">
        <v>3686</v>
      </c>
      <c r="J45" s="171">
        <v>4.7</v>
      </c>
      <c r="K45" s="171">
        <v>8</v>
      </c>
      <c r="L45" s="50" t="s">
        <v>3687</v>
      </c>
      <c r="M45" s="50" t="s">
        <v>3687</v>
      </c>
      <c r="N45" s="184">
        <v>8</v>
      </c>
      <c r="O45" s="184">
        <v>11.5</v>
      </c>
      <c r="P45" s="52" t="s">
        <v>3688</v>
      </c>
      <c r="Q45" s="52" t="s">
        <v>3688</v>
      </c>
      <c r="R45" s="191">
        <v>11.5</v>
      </c>
      <c r="S45" s="191">
        <v>16.8</v>
      </c>
      <c r="T45" s="54" t="s">
        <v>3689</v>
      </c>
      <c r="U45" s="54" t="s">
        <v>3689</v>
      </c>
      <c r="V45" s="180">
        <v>16.8</v>
      </c>
      <c r="W45" s="180">
        <v>41.8</v>
      </c>
      <c r="X45" s="48" t="s">
        <v>3690</v>
      </c>
      <c r="Y45" s="48" t="s">
        <v>3690</v>
      </c>
      <c r="Z45" s="171"/>
      <c r="AA45" s="171"/>
      <c r="AB45" s="50"/>
      <c r="AC45" s="50"/>
      <c r="AD45" s="184"/>
      <c r="AE45" s="184"/>
      <c r="AF45" s="52"/>
      <c r="AG45" s="52"/>
      <c r="AH45" s="191"/>
      <c r="AI45" s="191"/>
      <c r="AJ45" s="54"/>
      <c r="AK45" s="54"/>
      <c r="AL45" s="180"/>
      <c r="AM45" s="180"/>
      <c r="AN45" s="48"/>
      <c r="AO45" s="48"/>
      <c r="AP45" s="171"/>
      <c r="AQ45" s="171"/>
      <c r="AR45" s="50"/>
      <c r="AS45" s="50"/>
      <c r="AT45" s="121"/>
      <c r="AU45" s="121"/>
    </row>
    <row r="46" spans="1:47">
      <c r="A46" s="15">
        <v>154</v>
      </c>
      <c r="B46" s="15">
        <v>3</v>
      </c>
      <c r="C46" s="15"/>
      <c r="D46" s="15"/>
      <c r="E46" s="151">
        <v>-999999.9</v>
      </c>
      <c r="F46" s="163">
        <v>-9.9999999999999995E-7</v>
      </c>
      <c r="G46" s="213">
        <v>12.3</v>
      </c>
      <c r="H46" s="48" t="s">
        <v>3691</v>
      </c>
      <c r="I46" s="48" t="s">
        <v>3691</v>
      </c>
      <c r="J46" s="171">
        <v>12.3</v>
      </c>
      <c r="K46" s="171">
        <v>16.899999999999999</v>
      </c>
      <c r="L46" s="50" t="s">
        <v>3692</v>
      </c>
      <c r="M46" s="50" t="s">
        <v>3692</v>
      </c>
      <c r="N46" s="184">
        <v>16.899999999999999</v>
      </c>
      <c r="O46" s="184">
        <v>21.5</v>
      </c>
      <c r="P46" s="52" t="s">
        <v>3693</v>
      </c>
      <c r="Q46" s="52" t="s">
        <v>3693</v>
      </c>
      <c r="R46" s="191">
        <v>21.5</v>
      </c>
      <c r="S46" s="191">
        <v>27.2</v>
      </c>
      <c r="T46" s="54" t="s">
        <v>3694</v>
      </c>
      <c r="U46" s="54" t="s">
        <v>3694</v>
      </c>
      <c r="V46" s="180">
        <v>27.2</v>
      </c>
      <c r="W46" s="180">
        <v>56.9</v>
      </c>
      <c r="X46" s="48" t="s">
        <v>3695</v>
      </c>
      <c r="Y46" s="48" t="s">
        <v>3695</v>
      </c>
      <c r="Z46" s="171"/>
      <c r="AA46" s="171"/>
      <c r="AB46" s="50"/>
      <c r="AC46" s="50"/>
      <c r="AD46" s="184"/>
      <c r="AE46" s="184"/>
      <c r="AF46" s="52"/>
      <c r="AG46" s="52"/>
      <c r="AH46" s="191"/>
      <c r="AI46" s="191"/>
      <c r="AJ46" s="54"/>
      <c r="AK46" s="54"/>
      <c r="AL46" s="180"/>
      <c r="AM46" s="180"/>
      <c r="AN46" s="48"/>
      <c r="AO46" s="48"/>
      <c r="AP46" s="171"/>
      <c r="AQ46" s="171"/>
      <c r="AR46" s="50"/>
      <c r="AS46" s="50"/>
      <c r="AT46" s="121"/>
      <c r="AU46" s="121"/>
    </row>
    <row r="47" spans="1:47">
      <c r="A47" s="15">
        <v>155</v>
      </c>
      <c r="B47" s="15">
        <v>3</v>
      </c>
      <c r="C47" s="15"/>
      <c r="D47" s="15"/>
      <c r="E47" s="151">
        <v>-999999.9</v>
      </c>
      <c r="F47" s="163">
        <v>-9.9999999999999995E-7</v>
      </c>
      <c r="G47" s="213">
        <v>5.7</v>
      </c>
      <c r="H47" s="48" t="s">
        <v>3696</v>
      </c>
      <c r="I47" s="48" t="s">
        <v>3696</v>
      </c>
      <c r="J47" s="171">
        <v>5.7</v>
      </c>
      <c r="K47" s="171">
        <v>8.5</v>
      </c>
      <c r="L47" s="50" t="s">
        <v>3697</v>
      </c>
      <c r="M47" s="50" t="s">
        <v>3697</v>
      </c>
      <c r="N47" s="184">
        <v>8.5</v>
      </c>
      <c r="O47" s="184">
        <v>11.6</v>
      </c>
      <c r="P47" s="52" t="s">
        <v>3698</v>
      </c>
      <c r="Q47" s="52" t="s">
        <v>3698</v>
      </c>
      <c r="R47" s="191">
        <v>11.6</v>
      </c>
      <c r="S47" s="191">
        <v>15.8</v>
      </c>
      <c r="T47" s="54" t="s">
        <v>3699</v>
      </c>
      <c r="U47" s="54" t="s">
        <v>3699</v>
      </c>
      <c r="V47" s="180">
        <v>15.8</v>
      </c>
      <c r="W47" s="180">
        <v>34.1</v>
      </c>
      <c r="X47" s="48" t="s">
        <v>3700</v>
      </c>
      <c r="Y47" s="48" t="s">
        <v>3700</v>
      </c>
      <c r="Z47" s="171"/>
      <c r="AA47" s="171"/>
      <c r="AB47" s="50"/>
      <c r="AC47" s="50"/>
      <c r="AD47" s="184"/>
      <c r="AE47" s="184"/>
      <c r="AF47" s="52"/>
      <c r="AG47" s="52"/>
      <c r="AH47" s="191"/>
      <c r="AI47" s="191"/>
      <c r="AJ47" s="54"/>
      <c r="AK47" s="54"/>
      <c r="AL47" s="180"/>
      <c r="AM47" s="180"/>
      <c r="AN47" s="48"/>
      <c r="AO47" s="48"/>
      <c r="AP47" s="171"/>
      <c r="AQ47" s="171"/>
      <c r="AR47" s="50"/>
      <c r="AS47" s="50"/>
      <c r="AT47" s="121"/>
      <c r="AU47" s="121"/>
    </row>
    <row r="48" spans="1:47">
      <c r="A48" s="15">
        <v>156</v>
      </c>
      <c r="B48" s="15">
        <v>3</v>
      </c>
      <c r="C48" s="15"/>
      <c r="D48" s="15"/>
      <c r="E48" s="151">
        <v>-999999.9</v>
      </c>
      <c r="F48" s="163">
        <v>-9.9999999999999995E-7</v>
      </c>
      <c r="G48" s="213">
        <v>10.3</v>
      </c>
      <c r="H48" s="48" t="s">
        <v>3701</v>
      </c>
      <c r="I48" s="48" t="s">
        <v>3701</v>
      </c>
      <c r="J48" s="171">
        <v>10.3</v>
      </c>
      <c r="K48" s="172">
        <v>18.55</v>
      </c>
      <c r="L48" s="50" t="s">
        <v>3702</v>
      </c>
      <c r="M48" s="50" t="s">
        <v>3702</v>
      </c>
      <c r="N48" s="184">
        <v>18.5</v>
      </c>
      <c r="O48" s="184">
        <v>29.9</v>
      </c>
      <c r="P48" s="52" t="s">
        <v>3703</v>
      </c>
      <c r="Q48" s="52" t="s">
        <v>3703</v>
      </c>
      <c r="R48" s="191">
        <v>29.9</v>
      </c>
      <c r="S48" s="191">
        <v>46.2</v>
      </c>
      <c r="T48" s="54" t="s">
        <v>3704</v>
      </c>
      <c r="U48" s="54" t="s">
        <v>3704</v>
      </c>
      <c r="V48" s="180">
        <v>46.2</v>
      </c>
      <c r="W48" s="180">
        <v>90.3</v>
      </c>
      <c r="X48" s="48" t="s">
        <v>3705</v>
      </c>
      <c r="Y48" s="48" t="s">
        <v>3705</v>
      </c>
      <c r="Z48" s="171"/>
      <c r="AA48" s="171"/>
      <c r="AB48" s="50"/>
      <c r="AC48" s="50"/>
      <c r="AD48" s="184"/>
      <c r="AE48" s="184"/>
      <c r="AF48" s="52"/>
      <c r="AG48" s="52"/>
      <c r="AH48" s="191"/>
      <c r="AI48" s="191"/>
      <c r="AJ48" s="54"/>
      <c r="AK48" s="54"/>
      <c r="AL48" s="180"/>
      <c r="AM48" s="180"/>
      <c r="AN48" s="48"/>
      <c r="AO48" s="48"/>
      <c r="AP48" s="171"/>
      <c r="AQ48" s="171"/>
      <c r="AR48" s="50"/>
      <c r="AS48" s="50"/>
      <c r="AT48" s="121"/>
      <c r="AU48" s="121"/>
    </row>
    <row r="49" spans="1:47">
      <c r="A49" s="15">
        <v>157</v>
      </c>
      <c r="B49" s="15">
        <v>3</v>
      </c>
      <c r="C49" s="15"/>
      <c r="D49" s="15"/>
      <c r="E49" s="151">
        <v>-999999.9</v>
      </c>
      <c r="F49" s="163">
        <v>-9.9999999999999995E-7</v>
      </c>
      <c r="G49" s="213">
        <v>2</v>
      </c>
      <c r="H49" s="48" t="s">
        <v>3706</v>
      </c>
      <c r="I49" s="48" t="s">
        <v>3706</v>
      </c>
      <c r="J49" s="171">
        <v>2</v>
      </c>
      <c r="K49" s="171">
        <v>4</v>
      </c>
      <c r="L49" s="50" t="s">
        <v>3707</v>
      </c>
      <c r="M49" s="50" t="s">
        <v>3707</v>
      </c>
      <c r="N49" s="184">
        <v>4</v>
      </c>
      <c r="O49" s="184">
        <v>8.4</v>
      </c>
      <c r="P49" s="52" t="s">
        <v>3708</v>
      </c>
      <c r="Q49" s="52" t="s">
        <v>3709</v>
      </c>
      <c r="R49" s="191">
        <v>8.4</v>
      </c>
      <c r="S49" s="191">
        <v>17.100000000000001</v>
      </c>
      <c r="T49" s="54" t="s">
        <v>3710</v>
      </c>
      <c r="U49" s="54" t="s">
        <v>3710</v>
      </c>
      <c r="V49" s="180">
        <v>17.100000000000001</v>
      </c>
      <c r="W49" s="180">
        <v>30.8</v>
      </c>
      <c r="X49" s="48" t="s">
        <v>3711</v>
      </c>
      <c r="Y49" s="48" t="s">
        <v>3711</v>
      </c>
      <c r="Z49" s="171"/>
      <c r="AA49" s="171"/>
      <c r="AB49" s="50"/>
      <c r="AC49" s="50"/>
      <c r="AD49" s="184"/>
      <c r="AE49" s="184"/>
      <c r="AF49" s="52"/>
      <c r="AG49" s="52"/>
      <c r="AH49" s="191"/>
      <c r="AI49" s="191"/>
      <c r="AJ49" s="54"/>
      <c r="AK49" s="54"/>
      <c r="AL49" s="180"/>
      <c r="AM49" s="180"/>
      <c r="AN49" s="48"/>
      <c r="AO49" s="48"/>
      <c r="AP49" s="171"/>
      <c r="AQ49" s="171"/>
      <c r="AR49" s="50"/>
      <c r="AS49" s="50"/>
      <c r="AT49" s="121"/>
      <c r="AU49" s="121"/>
    </row>
    <row r="50" spans="1:47">
      <c r="A50" s="15">
        <v>158</v>
      </c>
      <c r="B50" s="15">
        <v>3</v>
      </c>
      <c r="C50" s="15"/>
      <c r="D50" s="15"/>
      <c r="E50" s="151">
        <v>-999999.9</v>
      </c>
      <c r="F50" s="163">
        <v>-9.9999999999999995E-7</v>
      </c>
      <c r="G50" s="213">
        <v>9.1999999999999993</v>
      </c>
      <c r="H50" s="48" t="s">
        <v>3712</v>
      </c>
      <c r="I50" s="48" t="s">
        <v>3712</v>
      </c>
      <c r="J50" s="171">
        <v>9.1999999999999993</v>
      </c>
      <c r="K50" s="171">
        <v>21.5</v>
      </c>
      <c r="L50" s="50" t="s">
        <v>3713</v>
      </c>
      <c r="M50" s="50" t="s">
        <v>3713</v>
      </c>
      <c r="N50" s="184">
        <v>21.5</v>
      </c>
      <c r="O50" s="184">
        <v>36.6</v>
      </c>
      <c r="P50" s="52" t="s">
        <v>3714</v>
      </c>
      <c r="Q50" s="52" t="s">
        <v>3714</v>
      </c>
      <c r="R50" s="191">
        <v>36.6</v>
      </c>
      <c r="S50" s="191">
        <v>55</v>
      </c>
      <c r="T50" s="54" t="s">
        <v>3715</v>
      </c>
      <c r="U50" s="54" t="s">
        <v>3715</v>
      </c>
      <c r="V50" s="180">
        <v>55</v>
      </c>
      <c r="W50" s="180">
        <v>98.4</v>
      </c>
      <c r="X50" s="48" t="s">
        <v>3716</v>
      </c>
      <c r="Y50" s="48" t="s">
        <v>3716</v>
      </c>
      <c r="Z50" s="171"/>
      <c r="AA50" s="171"/>
      <c r="AB50" s="50"/>
      <c r="AC50" s="50"/>
      <c r="AD50" s="184"/>
      <c r="AE50" s="184"/>
      <c r="AF50" s="52"/>
      <c r="AG50" s="52"/>
      <c r="AH50" s="191"/>
      <c r="AI50" s="191"/>
      <c r="AJ50" s="54"/>
      <c r="AK50" s="54"/>
      <c r="AL50" s="180"/>
      <c r="AM50" s="180"/>
      <c r="AN50" s="48"/>
      <c r="AO50" s="48"/>
      <c r="AP50" s="171"/>
      <c r="AQ50" s="171"/>
      <c r="AR50" s="50"/>
      <c r="AS50" s="50"/>
      <c r="AT50" s="121"/>
      <c r="AU50" s="121"/>
    </row>
    <row r="51" spans="1:47">
      <c r="A51" s="15">
        <v>159</v>
      </c>
      <c r="B51" s="15">
        <v>3</v>
      </c>
      <c r="C51" s="15"/>
      <c r="D51" s="15"/>
      <c r="E51" s="151">
        <v>-999999.9</v>
      </c>
      <c r="F51" s="163">
        <v>-9.9999999999999995E-7</v>
      </c>
      <c r="G51" s="213">
        <v>3</v>
      </c>
      <c r="H51" s="48" t="s">
        <v>3717</v>
      </c>
      <c r="I51" s="48" t="s">
        <v>3717</v>
      </c>
      <c r="J51" s="171">
        <v>3</v>
      </c>
      <c r="K51" s="171">
        <v>4.8</v>
      </c>
      <c r="L51" s="50" t="s">
        <v>3718</v>
      </c>
      <c r="M51" s="50" t="s">
        <v>3718</v>
      </c>
      <c r="N51" s="184">
        <v>4.8</v>
      </c>
      <c r="O51" s="184">
        <v>7</v>
      </c>
      <c r="P51" s="52" t="s">
        <v>3719</v>
      </c>
      <c r="Q51" s="52" t="s">
        <v>3719</v>
      </c>
      <c r="R51" s="191">
        <v>7</v>
      </c>
      <c r="S51" s="191">
        <v>9.9</v>
      </c>
      <c r="T51" s="54" t="s">
        <v>3720</v>
      </c>
      <c r="U51" s="54" t="s">
        <v>3720</v>
      </c>
      <c r="V51" s="180">
        <v>9.9</v>
      </c>
      <c r="W51" s="180">
        <v>20.5</v>
      </c>
      <c r="X51" s="48" t="s">
        <v>3721</v>
      </c>
      <c r="Y51" s="48" t="s">
        <v>3721</v>
      </c>
      <c r="Z51" s="171"/>
      <c r="AA51" s="171"/>
      <c r="AB51" s="50"/>
      <c r="AC51" s="50"/>
      <c r="AD51" s="184"/>
      <c r="AE51" s="184"/>
      <c r="AF51" s="52"/>
      <c r="AG51" s="52"/>
      <c r="AH51" s="191"/>
      <c r="AI51" s="191"/>
      <c r="AJ51" s="54"/>
      <c r="AK51" s="54"/>
      <c r="AL51" s="180"/>
      <c r="AM51" s="180"/>
      <c r="AN51" s="48"/>
      <c r="AO51" s="48"/>
      <c r="AP51" s="171"/>
      <c r="AQ51" s="171"/>
      <c r="AR51" s="50"/>
      <c r="AS51" s="50"/>
      <c r="AT51" s="121"/>
      <c r="AU51" s="121"/>
    </row>
    <row r="52" spans="1:47">
      <c r="A52" s="15">
        <v>160</v>
      </c>
      <c r="B52" s="15">
        <v>3</v>
      </c>
      <c r="C52" s="15"/>
      <c r="D52" s="15"/>
      <c r="E52" s="151">
        <v>-999999.9</v>
      </c>
      <c r="F52" s="163">
        <v>-9.9999999999999995E-7</v>
      </c>
      <c r="G52" s="213">
        <v>4.2</v>
      </c>
      <c r="H52" s="48" t="s">
        <v>3722</v>
      </c>
      <c r="I52" s="48" t="s">
        <v>3722</v>
      </c>
      <c r="J52" s="171">
        <v>4.2</v>
      </c>
      <c r="K52" s="171">
        <v>5.8</v>
      </c>
      <c r="L52" s="50" t="s">
        <v>3723</v>
      </c>
      <c r="M52" s="50" t="s">
        <v>3723</v>
      </c>
      <c r="N52" s="184">
        <v>5.8</v>
      </c>
      <c r="O52" s="184">
        <v>7.5</v>
      </c>
      <c r="P52" s="52" t="s">
        <v>3724</v>
      </c>
      <c r="Q52" s="52" t="s">
        <v>3724</v>
      </c>
      <c r="R52" s="191">
        <v>7.5</v>
      </c>
      <c r="S52" s="191">
        <v>9.9</v>
      </c>
      <c r="T52" s="54" t="s">
        <v>3725</v>
      </c>
      <c r="U52" s="54" t="s">
        <v>3725</v>
      </c>
      <c r="V52" s="180">
        <v>9.9</v>
      </c>
      <c r="W52" s="180">
        <v>24.6</v>
      </c>
      <c r="X52" s="48" t="s">
        <v>3726</v>
      </c>
      <c r="Y52" s="48" t="s">
        <v>3726</v>
      </c>
      <c r="Z52" s="171"/>
      <c r="AA52" s="171"/>
      <c r="AB52" s="50"/>
      <c r="AC52" s="50"/>
      <c r="AD52" s="184"/>
      <c r="AE52" s="184"/>
      <c r="AF52" s="52"/>
      <c r="AG52" s="52"/>
      <c r="AH52" s="191"/>
      <c r="AI52" s="191"/>
      <c r="AJ52" s="54"/>
      <c r="AK52" s="54"/>
      <c r="AL52" s="180"/>
      <c r="AM52" s="180"/>
      <c r="AN52" s="48"/>
      <c r="AO52" s="48"/>
      <c r="AP52" s="171"/>
      <c r="AQ52" s="171"/>
      <c r="AR52" s="50"/>
      <c r="AS52" s="50"/>
      <c r="AT52" s="121"/>
      <c r="AU52" s="121"/>
    </row>
    <row r="53" spans="1:47" s="43" customFormat="1">
      <c r="A53" s="20">
        <v>161</v>
      </c>
      <c r="B53" s="20">
        <v>4</v>
      </c>
      <c r="C53" s="20"/>
      <c r="D53" s="20"/>
      <c r="E53" s="151">
        <v>-999999.9</v>
      </c>
      <c r="F53" s="163">
        <v>-9.9999999999999995E-7</v>
      </c>
      <c r="G53" s="214">
        <v>0.2</v>
      </c>
      <c r="H53" s="56" t="s">
        <v>3727</v>
      </c>
      <c r="I53" s="56" t="s">
        <v>3727</v>
      </c>
      <c r="J53" s="172">
        <v>0.2</v>
      </c>
      <c r="K53" s="172">
        <v>0.4</v>
      </c>
      <c r="L53" s="57" t="s">
        <v>3728</v>
      </c>
      <c r="M53" s="57" t="s">
        <v>3728</v>
      </c>
      <c r="N53" s="185">
        <v>0.4</v>
      </c>
      <c r="O53" s="185">
        <v>0.6</v>
      </c>
      <c r="P53" s="58" t="s">
        <v>3729</v>
      </c>
      <c r="Q53" s="58" t="s">
        <v>3729</v>
      </c>
      <c r="R53" s="192">
        <v>0.6</v>
      </c>
      <c r="S53" s="192">
        <v>0.8</v>
      </c>
      <c r="T53" s="59" t="s">
        <v>3730</v>
      </c>
      <c r="U53" s="59" t="s">
        <v>3730</v>
      </c>
      <c r="V53" s="181">
        <v>0.8</v>
      </c>
      <c r="W53" s="181">
        <v>1</v>
      </c>
      <c r="X53" s="56" t="s">
        <v>3731</v>
      </c>
      <c r="Y53" s="56" t="s">
        <v>3731</v>
      </c>
      <c r="Z53" s="172"/>
      <c r="AA53" s="172"/>
      <c r="AB53" s="57"/>
      <c r="AC53" s="57"/>
      <c r="AD53" s="185"/>
      <c r="AE53" s="185"/>
      <c r="AF53" s="58"/>
      <c r="AG53" s="58"/>
      <c r="AH53" s="191"/>
      <c r="AI53" s="191"/>
      <c r="AJ53" s="59"/>
      <c r="AK53" s="59"/>
      <c r="AL53" s="180"/>
      <c r="AM53" s="180"/>
      <c r="AN53" s="56"/>
      <c r="AO53" s="56"/>
      <c r="AP53" s="171"/>
      <c r="AQ53" s="171"/>
      <c r="AR53" s="57"/>
      <c r="AS53" s="57"/>
      <c r="AT53" s="202"/>
      <c r="AU53" s="202"/>
    </row>
    <row r="54" spans="1:47" s="43" customFormat="1">
      <c r="A54" s="20">
        <v>162</v>
      </c>
      <c r="B54" s="20">
        <v>4</v>
      </c>
      <c r="C54" s="20"/>
      <c r="D54" s="20"/>
      <c r="E54" s="151">
        <v>-999999.9</v>
      </c>
      <c r="F54" s="162">
        <v>-999999.9</v>
      </c>
      <c r="G54" s="214">
        <v>-1.5</v>
      </c>
      <c r="H54" s="56" t="s">
        <v>3727</v>
      </c>
      <c r="I54" s="56" t="s">
        <v>3727</v>
      </c>
      <c r="J54" s="172">
        <v>-1.5</v>
      </c>
      <c r="K54" s="172">
        <v>-0.5</v>
      </c>
      <c r="L54" s="57" t="s">
        <v>3728</v>
      </c>
      <c r="M54" s="57" t="s">
        <v>3728</v>
      </c>
      <c r="N54" s="185">
        <v>-0.5</v>
      </c>
      <c r="O54" s="185">
        <v>0.5</v>
      </c>
      <c r="P54" s="58" t="s">
        <v>3729</v>
      </c>
      <c r="Q54" s="58" t="s">
        <v>3729</v>
      </c>
      <c r="R54" s="192">
        <v>0.5</v>
      </c>
      <c r="S54" s="192">
        <v>1.5</v>
      </c>
      <c r="T54" s="59" t="s">
        <v>3730</v>
      </c>
      <c r="U54" s="59" t="s">
        <v>3730</v>
      </c>
      <c r="V54" s="181">
        <v>1.5</v>
      </c>
      <c r="W54" s="181">
        <v>2.5</v>
      </c>
      <c r="X54" s="56" t="s">
        <v>3731</v>
      </c>
      <c r="Y54" s="56" t="s">
        <v>3731</v>
      </c>
      <c r="Z54" s="172"/>
      <c r="AA54" s="172"/>
      <c r="AB54" s="57"/>
      <c r="AC54" s="57"/>
      <c r="AD54" s="185"/>
      <c r="AE54" s="185"/>
      <c r="AF54" s="58"/>
      <c r="AG54" s="58"/>
      <c r="AH54" s="191"/>
      <c r="AI54" s="191"/>
      <c r="AJ54" s="59"/>
      <c r="AK54" s="59"/>
      <c r="AL54" s="180"/>
      <c r="AM54" s="180"/>
      <c r="AN54" s="56"/>
      <c r="AO54" s="56"/>
      <c r="AP54" s="171"/>
      <c r="AQ54" s="171"/>
      <c r="AR54" s="57"/>
      <c r="AS54" s="57"/>
      <c r="AT54" s="202"/>
      <c r="AU54" s="202"/>
    </row>
    <row r="55" spans="1:47" s="43" customFormat="1">
      <c r="A55" s="20">
        <v>163</v>
      </c>
      <c r="B55" s="20">
        <v>5</v>
      </c>
      <c r="C55" s="20"/>
      <c r="D55" s="20"/>
      <c r="E55" s="151">
        <v>-999999.9</v>
      </c>
      <c r="F55" s="163">
        <v>-9.9999999999999995E-7</v>
      </c>
      <c r="G55" s="214">
        <v>0.2</v>
      </c>
      <c r="H55" s="56" t="s">
        <v>3732</v>
      </c>
      <c r="I55" s="56" t="s">
        <v>3732</v>
      </c>
      <c r="J55" s="172">
        <v>0.2</v>
      </c>
      <c r="K55" s="172">
        <v>0.4</v>
      </c>
      <c r="L55" s="57" t="s">
        <v>3507</v>
      </c>
      <c r="M55" s="57" t="s">
        <v>3507</v>
      </c>
      <c r="N55" s="185">
        <v>0.4</v>
      </c>
      <c r="O55" s="185">
        <v>0.6</v>
      </c>
      <c r="P55" s="58" t="s">
        <v>3733</v>
      </c>
      <c r="Q55" s="58" t="s">
        <v>3733</v>
      </c>
      <c r="R55" s="192">
        <v>0.6</v>
      </c>
      <c r="S55" s="192">
        <v>0.8</v>
      </c>
      <c r="T55" s="59" t="s">
        <v>3505</v>
      </c>
      <c r="U55" s="59" t="s">
        <v>3505</v>
      </c>
      <c r="V55" s="181">
        <v>0.8</v>
      </c>
      <c r="W55" s="181">
        <v>1</v>
      </c>
      <c r="X55" s="56" t="s">
        <v>3734</v>
      </c>
      <c r="Y55" s="56" t="s">
        <v>3734</v>
      </c>
      <c r="Z55" s="172"/>
      <c r="AA55" s="172"/>
      <c r="AB55" s="57"/>
      <c r="AC55" s="57"/>
      <c r="AD55" s="185"/>
      <c r="AE55" s="185"/>
      <c r="AF55" s="58"/>
      <c r="AG55" s="58"/>
      <c r="AH55" s="191"/>
      <c r="AI55" s="191"/>
      <c r="AJ55" s="59"/>
      <c r="AK55" s="59"/>
      <c r="AL55" s="180"/>
      <c r="AM55" s="180"/>
      <c r="AN55" s="56"/>
      <c r="AO55" s="56"/>
      <c r="AP55" s="171"/>
      <c r="AQ55" s="171"/>
      <c r="AR55" s="57"/>
      <c r="AS55" s="57"/>
      <c r="AT55" s="202"/>
      <c r="AU55" s="202"/>
    </row>
    <row r="56" spans="1:47">
      <c r="A56" s="15">
        <v>164</v>
      </c>
      <c r="B56" s="91">
        <v>6</v>
      </c>
      <c r="C56" s="91"/>
      <c r="D56" s="91"/>
      <c r="E56" s="151">
        <v>-999999.9</v>
      </c>
      <c r="F56" s="162">
        <v>-999999.9</v>
      </c>
      <c r="G56" s="213">
        <v>-2.5</v>
      </c>
      <c r="H56" s="48" t="s">
        <v>3503</v>
      </c>
      <c r="I56" s="48" t="s">
        <v>3503</v>
      </c>
      <c r="J56" s="171">
        <v>-2.5</v>
      </c>
      <c r="K56" s="171">
        <v>-1.5</v>
      </c>
      <c r="L56" s="50" t="s">
        <v>3734</v>
      </c>
      <c r="M56" s="50" t="s">
        <v>3734</v>
      </c>
      <c r="N56" s="184">
        <v>-1.5</v>
      </c>
      <c r="O56" s="184">
        <v>-0.5</v>
      </c>
      <c r="P56" s="52" t="s">
        <v>3505</v>
      </c>
      <c r="Q56" s="52" t="s">
        <v>3505</v>
      </c>
      <c r="R56" s="191">
        <v>-0.5</v>
      </c>
      <c r="S56" s="191">
        <v>0.5</v>
      </c>
      <c r="T56" s="54" t="s">
        <v>3733</v>
      </c>
      <c r="U56" s="54" t="s">
        <v>3733</v>
      </c>
      <c r="V56" s="180">
        <v>0.5</v>
      </c>
      <c r="W56" s="180">
        <v>1.5</v>
      </c>
      <c r="X56" s="48" t="s">
        <v>3507</v>
      </c>
      <c r="Y56" s="48" t="s">
        <v>3507</v>
      </c>
      <c r="Z56" s="171">
        <v>1.5</v>
      </c>
      <c r="AA56" s="171">
        <v>2.5</v>
      </c>
      <c r="AB56" s="50" t="s">
        <v>3732</v>
      </c>
      <c r="AC56" s="50" t="s">
        <v>3732</v>
      </c>
      <c r="AD56" s="184">
        <v>2.5</v>
      </c>
      <c r="AE56" s="185">
        <v>999999.9</v>
      </c>
      <c r="AF56" s="52" t="s">
        <v>3509</v>
      </c>
      <c r="AG56" s="52" t="s">
        <v>3509</v>
      </c>
      <c r="AH56" s="191"/>
      <c r="AI56" s="191"/>
      <c r="AJ56" s="54"/>
      <c r="AK56" s="54"/>
      <c r="AL56" s="180"/>
      <c r="AM56" s="180"/>
      <c r="AN56" s="48"/>
      <c r="AO56" s="48"/>
      <c r="AP56" s="171"/>
      <c r="AQ56" s="171"/>
      <c r="AR56" s="50"/>
      <c r="AS56" s="50"/>
      <c r="AT56" s="121"/>
      <c r="AU56" s="121"/>
    </row>
    <row r="57" spans="1:47">
      <c r="A57" s="15">
        <v>165</v>
      </c>
      <c r="B57" s="91">
        <v>6</v>
      </c>
      <c r="C57" s="91"/>
      <c r="D57" s="91"/>
      <c r="E57" s="151">
        <v>-999999.9</v>
      </c>
      <c r="F57" s="162">
        <v>-999999.9</v>
      </c>
      <c r="G57" s="213">
        <v>-2.5</v>
      </c>
      <c r="H57" s="48" t="s">
        <v>3503</v>
      </c>
      <c r="I57" s="48" t="s">
        <v>3503</v>
      </c>
      <c r="J57" s="171">
        <v>-2.5</v>
      </c>
      <c r="K57" s="171">
        <v>-1.5</v>
      </c>
      <c r="L57" s="50" t="s">
        <v>3734</v>
      </c>
      <c r="M57" s="50" t="s">
        <v>3734</v>
      </c>
      <c r="N57" s="184">
        <v>-1.5</v>
      </c>
      <c r="O57" s="184">
        <v>-0.5</v>
      </c>
      <c r="P57" s="52" t="s">
        <v>3505</v>
      </c>
      <c r="Q57" s="52" t="s">
        <v>3505</v>
      </c>
      <c r="R57" s="191">
        <v>-0.5</v>
      </c>
      <c r="S57" s="191">
        <v>0.5</v>
      </c>
      <c r="T57" s="54" t="s">
        <v>3733</v>
      </c>
      <c r="U57" s="54" t="s">
        <v>3733</v>
      </c>
      <c r="V57" s="180">
        <v>0.5</v>
      </c>
      <c r="W57" s="180">
        <v>1.5</v>
      </c>
      <c r="X57" s="48" t="s">
        <v>3507</v>
      </c>
      <c r="Y57" s="48" t="s">
        <v>3507</v>
      </c>
      <c r="Z57" s="171">
        <v>1.5</v>
      </c>
      <c r="AA57" s="171">
        <v>2.5</v>
      </c>
      <c r="AB57" s="50" t="s">
        <v>3732</v>
      </c>
      <c r="AC57" s="50" t="s">
        <v>3732</v>
      </c>
      <c r="AD57" s="184">
        <v>2.5</v>
      </c>
      <c r="AE57" s="184">
        <v>10</v>
      </c>
      <c r="AF57" s="52" t="s">
        <v>3509</v>
      </c>
      <c r="AG57" s="52" t="s">
        <v>3509</v>
      </c>
      <c r="AH57" s="191"/>
      <c r="AI57" s="191"/>
      <c r="AJ57" s="54"/>
      <c r="AK57" s="54"/>
      <c r="AL57" s="180"/>
      <c r="AM57" s="180"/>
      <c r="AN57" s="48"/>
      <c r="AO57" s="48"/>
      <c r="AP57" s="171"/>
      <c r="AQ57" s="171"/>
      <c r="AR57" s="50"/>
      <c r="AS57" s="50"/>
      <c r="AT57" s="121"/>
      <c r="AU57" s="121"/>
    </row>
    <row r="58" spans="1:47">
      <c r="A58" s="15">
        <v>166</v>
      </c>
      <c r="B58" s="91">
        <v>6</v>
      </c>
      <c r="C58" s="91"/>
      <c r="D58" s="91"/>
      <c r="E58" s="151">
        <v>-999999.9</v>
      </c>
      <c r="F58" s="162">
        <v>-999999.9</v>
      </c>
      <c r="G58" s="213">
        <v>-2.5</v>
      </c>
      <c r="H58" s="48" t="s">
        <v>3503</v>
      </c>
      <c r="I58" s="48" t="s">
        <v>3503</v>
      </c>
      <c r="J58" s="171">
        <v>-2.5</v>
      </c>
      <c r="K58" s="171">
        <v>-1.5</v>
      </c>
      <c r="L58" s="50" t="s">
        <v>3734</v>
      </c>
      <c r="M58" s="50" t="s">
        <v>3734</v>
      </c>
      <c r="N58" s="184">
        <v>-1.5</v>
      </c>
      <c r="O58" s="184">
        <v>-0.5</v>
      </c>
      <c r="P58" s="52" t="s">
        <v>3505</v>
      </c>
      <c r="Q58" s="52" t="s">
        <v>3505</v>
      </c>
      <c r="R58" s="191">
        <v>-0.5</v>
      </c>
      <c r="S58" s="191">
        <v>0.5</v>
      </c>
      <c r="T58" s="54" t="s">
        <v>3733</v>
      </c>
      <c r="U58" s="54" t="s">
        <v>3733</v>
      </c>
      <c r="V58" s="180">
        <v>0.5</v>
      </c>
      <c r="W58" s="180">
        <v>1.5</v>
      </c>
      <c r="X58" s="48" t="s">
        <v>3507</v>
      </c>
      <c r="Y58" s="48" t="s">
        <v>3507</v>
      </c>
      <c r="Z58" s="171">
        <v>1.5</v>
      </c>
      <c r="AA58" s="171">
        <v>2.5</v>
      </c>
      <c r="AB58" s="50" t="s">
        <v>3732</v>
      </c>
      <c r="AC58" s="50" t="s">
        <v>3732</v>
      </c>
      <c r="AD58" s="184">
        <v>2.5</v>
      </c>
      <c r="AE58" s="184">
        <v>10</v>
      </c>
      <c r="AF58" s="52" t="s">
        <v>3509</v>
      </c>
      <c r="AG58" s="52" t="s">
        <v>3509</v>
      </c>
      <c r="AH58" s="191"/>
      <c r="AI58" s="191"/>
      <c r="AJ58" s="54"/>
      <c r="AK58" s="54"/>
      <c r="AL58" s="180"/>
      <c r="AM58" s="180"/>
      <c r="AN58" s="48"/>
      <c r="AO58" s="48"/>
      <c r="AP58" s="171"/>
      <c r="AQ58" s="171"/>
      <c r="AR58" s="50"/>
      <c r="AS58" s="50"/>
      <c r="AT58" s="121"/>
      <c r="AU58" s="121"/>
    </row>
    <row r="59" spans="1:47">
      <c r="A59" s="15">
        <v>167</v>
      </c>
      <c r="B59" s="91">
        <v>6</v>
      </c>
      <c r="C59" s="91"/>
      <c r="D59" s="91"/>
      <c r="E59" s="151">
        <v>-999999.9</v>
      </c>
      <c r="F59" s="162">
        <v>-999999.9</v>
      </c>
      <c r="G59" s="213">
        <v>-2.5</v>
      </c>
      <c r="H59" s="48" t="s">
        <v>3503</v>
      </c>
      <c r="I59" s="48" t="s">
        <v>3503</v>
      </c>
      <c r="J59" s="171">
        <v>-2.5</v>
      </c>
      <c r="K59" s="171">
        <v>-1.5</v>
      </c>
      <c r="L59" s="50" t="s">
        <v>3734</v>
      </c>
      <c r="M59" s="50" t="s">
        <v>3734</v>
      </c>
      <c r="N59" s="184">
        <v>-1.5</v>
      </c>
      <c r="O59" s="184">
        <v>-0.5</v>
      </c>
      <c r="P59" s="52" t="s">
        <v>3505</v>
      </c>
      <c r="Q59" s="52" t="s">
        <v>3505</v>
      </c>
      <c r="R59" s="191">
        <v>-0.5</v>
      </c>
      <c r="S59" s="191">
        <v>0.5</v>
      </c>
      <c r="T59" s="54" t="s">
        <v>3733</v>
      </c>
      <c r="U59" s="54" t="s">
        <v>3733</v>
      </c>
      <c r="V59" s="180">
        <v>0.5</v>
      </c>
      <c r="W59" s="180">
        <v>1.5</v>
      </c>
      <c r="X59" s="48" t="s">
        <v>3507</v>
      </c>
      <c r="Y59" s="48" t="s">
        <v>3507</v>
      </c>
      <c r="Z59" s="171">
        <v>1.5</v>
      </c>
      <c r="AA59" s="171">
        <v>2.5</v>
      </c>
      <c r="AB59" s="50" t="s">
        <v>3732</v>
      </c>
      <c r="AC59" s="50" t="s">
        <v>3732</v>
      </c>
      <c r="AD59" s="184">
        <v>2.5</v>
      </c>
      <c r="AE59" s="184">
        <v>10</v>
      </c>
      <c r="AF59" s="52" t="s">
        <v>3509</v>
      </c>
      <c r="AG59" s="52" t="s">
        <v>3509</v>
      </c>
      <c r="AH59" s="191"/>
      <c r="AI59" s="191"/>
      <c r="AJ59" s="54"/>
      <c r="AK59" s="54"/>
      <c r="AL59" s="180"/>
      <c r="AM59" s="180"/>
      <c r="AN59" s="48"/>
      <c r="AO59" s="48"/>
      <c r="AP59" s="171"/>
      <c r="AQ59" s="171"/>
      <c r="AR59" s="50"/>
      <c r="AS59" s="50"/>
      <c r="AT59" s="121"/>
      <c r="AU59" s="121"/>
    </row>
    <row r="60" spans="1:47">
      <c r="A60" s="15">
        <v>168</v>
      </c>
      <c r="B60" s="91">
        <v>6</v>
      </c>
      <c r="C60" s="91"/>
      <c r="D60" s="91"/>
      <c r="E60" s="151">
        <v>-999999.9</v>
      </c>
      <c r="F60" s="162">
        <v>-999999.9</v>
      </c>
      <c r="G60" s="213">
        <v>-2.5</v>
      </c>
      <c r="H60" s="48" t="s">
        <v>3503</v>
      </c>
      <c r="I60" s="48" t="s">
        <v>3503</v>
      </c>
      <c r="J60" s="171">
        <v>-2.5</v>
      </c>
      <c r="K60" s="171">
        <v>-1.5</v>
      </c>
      <c r="L60" s="50" t="s">
        <v>3734</v>
      </c>
      <c r="M60" s="50" t="s">
        <v>3734</v>
      </c>
      <c r="N60" s="184">
        <v>-1.5</v>
      </c>
      <c r="O60" s="184">
        <v>-0.5</v>
      </c>
      <c r="P60" s="52" t="s">
        <v>3505</v>
      </c>
      <c r="Q60" s="52" t="s">
        <v>3505</v>
      </c>
      <c r="R60" s="191">
        <v>-0.5</v>
      </c>
      <c r="S60" s="191">
        <v>0.5</v>
      </c>
      <c r="T60" s="54" t="s">
        <v>3733</v>
      </c>
      <c r="U60" s="54" t="s">
        <v>3733</v>
      </c>
      <c r="V60" s="180">
        <v>0.5</v>
      </c>
      <c r="W60" s="180">
        <v>1.5</v>
      </c>
      <c r="X60" s="48" t="s">
        <v>3507</v>
      </c>
      <c r="Y60" s="48" t="s">
        <v>3507</v>
      </c>
      <c r="Z60" s="171">
        <v>1.5</v>
      </c>
      <c r="AA60" s="171">
        <v>2.5</v>
      </c>
      <c r="AB60" s="50" t="s">
        <v>3732</v>
      </c>
      <c r="AC60" s="50" t="s">
        <v>3732</v>
      </c>
      <c r="AD60" s="184">
        <v>2.5</v>
      </c>
      <c r="AE60" s="184">
        <v>10</v>
      </c>
      <c r="AF60" s="52" t="s">
        <v>3509</v>
      </c>
      <c r="AG60" s="52" t="s">
        <v>3509</v>
      </c>
      <c r="AH60" s="191"/>
      <c r="AI60" s="191"/>
      <c r="AJ60" s="54"/>
      <c r="AK60" s="54"/>
      <c r="AL60" s="180"/>
      <c r="AM60" s="180"/>
      <c r="AN60" s="48"/>
      <c r="AO60" s="48"/>
      <c r="AP60" s="171"/>
      <c r="AQ60" s="171"/>
      <c r="AR60" s="50"/>
      <c r="AS60" s="50"/>
      <c r="AT60" s="121"/>
      <c r="AU60" s="121"/>
    </row>
    <row r="61" spans="1:47">
      <c r="A61" s="15">
        <v>169</v>
      </c>
      <c r="B61" s="91">
        <v>6</v>
      </c>
      <c r="C61" s="91"/>
      <c r="D61" s="91"/>
      <c r="E61" s="151">
        <v>-999999.9</v>
      </c>
      <c r="F61" s="162">
        <v>-999999.9</v>
      </c>
      <c r="G61" s="213">
        <v>-2.5</v>
      </c>
      <c r="H61" s="48" t="s">
        <v>3503</v>
      </c>
      <c r="I61" s="48" t="s">
        <v>3503</v>
      </c>
      <c r="J61" s="171">
        <v>-2.5</v>
      </c>
      <c r="K61" s="171">
        <v>-1.5</v>
      </c>
      <c r="L61" s="50" t="s">
        <v>3734</v>
      </c>
      <c r="M61" s="50" t="s">
        <v>3734</v>
      </c>
      <c r="N61" s="184">
        <v>-1.5</v>
      </c>
      <c r="O61" s="184">
        <v>-0.5</v>
      </c>
      <c r="P61" s="52" t="s">
        <v>3505</v>
      </c>
      <c r="Q61" s="52" t="s">
        <v>3505</v>
      </c>
      <c r="R61" s="191">
        <v>-0.5</v>
      </c>
      <c r="S61" s="191">
        <v>0.5</v>
      </c>
      <c r="T61" s="54" t="s">
        <v>3733</v>
      </c>
      <c r="U61" s="54" t="s">
        <v>3733</v>
      </c>
      <c r="V61" s="180">
        <v>0.5</v>
      </c>
      <c r="W61" s="180">
        <v>1.5</v>
      </c>
      <c r="X61" s="48" t="s">
        <v>3507</v>
      </c>
      <c r="Y61" s="48" t="s">
        <v>3507</v>
      </c>
      <c r="Z61" s="171">
        <v>1.5</v>
      </c>
      <c r="AA61" s="171">
        <v>2.5</v>
      </c>
      <c r="AB61" s="50" t="s">
        <v>3732</v>
      </c>
      <c r="AC61" s="50" t="s">
        <v>3732</v>
      </c>
      <c r="AD61" s="184">
        <v>2.5</v>
      </c>
      <c r="AE61" s="184">
        <v>10</v>
      </c>
      <c r="AF61" s="52" t="s">
        <v>3509</v>
      </c>
      <c r="AG61" s="52" t="s">
        <v>3509</v>
      </c>
      <c r="AH61" s="191"/>
      <c r="AI61" s="191"/>
      <c r="AJ61" s="54"/>
      <c r="AK61" s="54"/>
      <c r="AL61" s="180"/>
      <c r="AM61" s="180"/>
      <c r="AN61" s="48"/>
      <c r="AO61" s="48"/>
      <c r="AP61" s="171"/>
      <c r="AQ61" s="171"/>
      <c r="AR61" s="50"/>
      <c r="AS61" s="50"/>
      <c r="AT61" s="121"/>
      <c r="AU61" s="121"/>
    </row>
    <row r="62" spans="1:47">
      <c r="A62" s="15">
        <v>170</v>
      </c>
      <c r="B62" s="91">
        <v>6</v>
      </c>
      <c r="C62" s="91"/>
      <c r="D62" s="91"/>
      <c r="E62" s="151">
        <v>-999999.9</v>
      </c>
      <c r="F62" s="162">
        <v>-999999.9</v>
      </c>
      <c r="G62" s="213">
        <v>-2.5</v>
      </c>
      <c r="H62" s="48" t="s">
        <v>3735</v>
      </c>
      <c r="I62" s="48" t="s">
        <v>3735</v>
      </c>
      <c r="J62" s="171">
        <v>-2.5</v>
      </c>
      <c r="K62" s="171">
        <v>-1.5</v>
      </c>
      <c r="L62" s="50" t="s">
        <v>3734</v>
      </c>
      <c r="M62" s="50" t="s">
        <v>3734</v>
      </c>
      <c r="N62" s="184">
        <v>-1.5</v>
      </c>
      <c r="O62" s="184">
        <v>-0.5</v>
      </c>
      <c r="P62" s="52" t="s">
        <v>3505</v>
      </c>
      <c r="Q62" s="52" t="s">
        <v>3505</v>
      </c>
      <c r="R62" s="191">
        <v>-0.5</v>
      </c>
      <c r="S62" s="191">
        <v>0.5</v>
      </c>
      <c r="T62" s="54" t="s">
        <v>3733</v>
      </c>
      <c r="U62" s="54" t="s">
        <v>3733</v>
      </c>
      <c r="V62" s="180">
        <v>0.5</v>
      </c>
      <c r="W62" s="180">
        <v>1.5</v>
      </c>
      <c r="X62" s="48" t="s">
        <v>3507</v>
      </c>
      <c r="Y62" s="48" t="s">
        <v>3507</v>
      </c>
      <c r="Z62" s="171">
        <v>1.5</v>
      </c>
      <c r="AA62" s="171">
        <v>2.5</v>
      </c>
      <c r="AB62" s="50" t="s">
        <v>3732</v>
      </c>
      <c r="AC62" s="50" t="s">
        <v>3732</v>
      </c>
      <c r="AD62" s="184">
        <v>2.5</v>
      </c>
      <c r="AE62" s="197">
        <v>30</v>
      </c>
      <c r="AF62" s="52" t="s">
        <v>3736</v>
      </c>
      <c r="AG62" s="52" t="s">
        <v>3736</v>
      </c>
      <c r="AH62" s="191"/>
      <c r="AI62" s="191"/>
      <c r="AJ62" s="54"/>
      <c r="AK62" s="54"/>
      <c r="AL62" s="180"/>
      <c r="AM62" s="180"/>
      <c r="AN62" s="48"/>
      <c r="AO62" s="48"/>
      <c r="AP62" s="171"/>
      <c r="AQ62" s="171"/>
      <c r="AR62" s="50"/>
      <c r="AS62" s="50"/>
      <c r="AT62" s="121"/>
      <c r="AU62" s="121"/>
    </row>
    <row r="63" spans="1:47">
      <c r="A63" s="15">
        <v>171</v>
      </c>
      <c r="B63" s="91">
        <v>6</v>
      </c>
      <c r="C63" s="91"/>
      <c r="D63" s="91"/>
      <c r="E63" s="151">
        <v>-999999.9</v>
      </c>
      <c r="F63" s="162">
        <v>-999999.9</v>
      </c>
      <c r="G63" s="213">
        <v>-2.5</v>
      </c>
      <c r="H63" s="48" t="s">
        <v>3503</v>
      </c>
      <c r="I63" s="48" t="s">
        <v>3503</v>
      </c>
      <c r="J63" s="171">
        <v>-2.5</v>
      </c>
      <c r="K63" s="171">
        <v>-1.5</v>
      </c>
      <c r="L63" s="50" t="s">
        <v>3734</v>
      </c>
      <c r="M63" s="50" t="s">
        <v>3734</v>
      </c>
      <c r="N63" s="184">
        <v>-1.5</v>
      </c>
      <c r="O63" s="184">
        <v>-0.5</v>
      </c>
      <c r="P63" s="52" t="s">
        <v>3505</v>
      </c>
      <c r="Q63" s="52" t="s">
        <v>3505</v>
      </c>
      <c r="R63" s="191">
        <v>-0.5</v>
      </c>
      <c r="S63" s="191">
        <v>0.5</v>
      </c>
      <c r="T63" s="54" t="s">
        <v>3733</v>
      </c>
      <c r="U63" s="54" t="s">
        <v>3733</v>
      </c>
      <c r="V63" s="180">
        <v>0.5</v>
      </c>
      <c r="W63" s="180">
        <v>1.5</v>
      </c>
      <c r="X63" s="48" t="s">
        <v>3507</v>
      </c>
      <c r="Y63" s="48" t="s">
        <v>3507</v>
      </c>
      <c r="Z63" s="171">
        <v>1.5</v>
      </c>
      <c r="AA63" s="171">
        <v>2.5</v>
      </c>
      <c r="AB63" s="50" t="s">
        <v>3732</v>
      </c>
      <c r="AC63" s="50" t="s">
        <v>3732</v>
      </c>
      <c r="AD63" s="184">
        <v>2.5</v>
      </c>
      <c r="AE63" s="184">
        <v>10</v>
      </c>
      <c r="AF63" s="52" t="s">
        <v>3509</v>
      </c>
      <c r="AG63" s="52" t="s">
        <v>3509</v>
      </c>
      <c r="AH63" s="191"/>
      <c r="AI63" s="191"/>
      <c r="AJ63" s="54"/>
      <c r="AK63" s="54"/>
      <c r="AL63" s="180"/>
      <c r="AM63" s="180"/>
      <c r="AN63" s="48"/>
      <c r="AO63" s="48"/>
      <c r="AP63" s="171"/>
      <c r="AQ63" s="171"/>
      <c r="AR63" s="50"/>
      <c r="AS63" s="50"/>
      <c r="AT63" s="121"/>
      <c r="AU63" s="121"/>
    </row>
    <row r="64" spans="1:47">
      <c r="A64" s="15">
        <v>172</v>
      </c>
      <c r="B64" s="91">
        <v>6</v>
      </c>
      <c r="C64" s="91"/>
      <c r="D64" s="91"/>
      <c r="E64" s="151">
        <v>-999999.9</v>
      </c>
      <c r="F64" s="162">
        <v>-999999.9</v>
      </c>
      <c r="G64" s="213">
        <v>-2.5</v>
      </c>
      <c r="H64" s="48" t="s">
        <v>3503</v>
      </c>
      <c r="I64" s="48" t="s">
        <v>3503</v>
      </c>
      <c r="J64" s="171">
        <v>-2.5</v>
      </c>
      <c r="K64" s="171">
        <v>-1.5</v>
      </c>
      <c r="L64" s="50" t="s">
        <v>3734</v>
      </c>
      <c r="M64" s="50" t="s">
        <v>3734</v>
      </c>
      <c r="N64" s="184">
        <v>-1.5</v>
      </c>
      <c r="O64" s="184">
        <v>-0.5</v>
      </c>
      <c r="P64" s="52" t="s">
        <v>3505</v>
      </c>
      <c r="Q64" s="52" t="s">
        <v>3505</v>
      </c>
      <c r="R64" s="191">
        <v>-0.5</v>
      </c>
      <c r="S64" s="191">
        <v>0.5</v>
      </c>
      <c r="T64" s="54" t="s">
        <v>3733</v>
      </c>
      <c r="U64" s="54" t="s">
        <v>3733</v>
      </c>
      <c r="V64" s="180">
        <v>0.5</v>
      </c>
      <c r="W64" s="180">
        <v>1.5</v>
      </c>
      <c r="X64" s="48" t="s">
        <v>3507</v>
      </c>
      <c r="Y64" s="48" t="s">
        <v>3507</v>
      </c>
      <c r="Z64" s="171">
        <v>1.5</v>
      </c>
      <c r="AA64" s="171">
        <v>2.5</v>
      </c>
      <c r="AB64" s="50" t="s">
        <v>3732</v>
      </c>
      <c r="AC64" s="50" t="s">
        <v>3732</v>
      </c>
      <c r="AD64" s="184">
        <v>2.5</v>
      </c>
      <c r="AE64" s="184">
        <v>10</v>
      </c>
      <c r="AF64" s="52" t="s">
        <v>3509</v>
      </c>
      <c r="AG64" s="52" t="s">
        <v>3509</v>
      </c>
      <c r="AH64" s="191"/>
      <c r="AI64" s="191"/>
      <c r="AJ64" s="54"/>
      <c r="AK64" s="54"/>
      <c r="AL64" s="180"/>
      <c r="AM64" s="180"/>
      <c r="AN64" s="48"/>
      <c r="AO64" s="48"/>
      <c r="AP64" s="171"/>
      <c r="AQ64" s="171"/>
      <c r="AR64" s="50"/>
      <c r="AS64" s="50"/>
      <c r="AT64" s="121"/>
      <c r="AU64" s="121"/>
    </row>
    <row r="65" spans="1:47">
      <c r="A65" s="15">
        <v>173</v>
      </c>
      <c r="B65" s="91">
        <v>6</v>
      </c>
      <c r="C65" s="91"/>
      <c r="D65" s="91"/>
      <c r="E65" s="151">
        <v>-999999.9</v>
      </c>
      <c r="F65" s="162">
        <v>-999999.9</v>
      </c>
      <c r="G65" s="213">
        <v>-2.5</v>
      </c>
      <c r="H65" s="48" t="s">
        <v>3503</v>
      </c>
      <c r="I65" s="48" t="s">
        <v>3503</v>
      </c>
      <c r="J65" s="171">
        <v>-2.5</v>
      </c>
      <c r="K65" s="171">
        <v>-1.5</v>
      </c>
      <c r="L65" s="50" t="s">
        <v>3734</v>
      </c>
      <c r="M65" s="50" t="s">
        <v>3734</v>
      </c>
      <c r="N65" s="184">
        <v>-1.5</v>
      </c>
      <c r="O65" s="184">
        <v>-0.5</v>
      </c>
      <c r="P65" s="52" t="s">
        <v>3505</v>
      </c>
      <c r="Q65" s="52" t="s">
        <v>3505</v>
      </c>
      <c r="R65" s="191">
        <v>-0.5</v>
      </c>
      <c r="S65" s="191">
        <v>0.5</v>
      </c>
      <c r="T65" s="54" t="s">
        <v>3733</v>
      </c>
      <c r="U65" s="54" t="s">
        <v>3733</v>
      </c>
      <c r="V65" s="180">
        <v>0.5</v>
      </c>
      <c r="W65" s="180">
        <v>1.5</v>
      </c>
      <c r="X65" s="48" t="s">
        <v>3507</v>
      </c>
      <c r="Y65" s="48" t="s">
        <v>3507</v>
      </c>
      <c r="Z65" s="171">
        <v>1.5</v>
      </c>
      <c r="AA65" s="171">
        <v>2.5</v>
      </c>
      <c r="AB65" s="50" t="s">
        <v>3732</v>
      </c>
      <c r="AC65" s="50" t="s">
        <v>3732</v>
      </c>
      <c r="AD65" s="184">
        <v>2.5</v>
      </c>
      <c r="AE65" s="184">
        <v>10</v>
      </c>
      <c r="AF65" s="52" t="s">
        <v>3509</v>
      </c>
      <c r="AG65" s="52" t="s">
        <v>3509</v>
      </c>
      <c r="AH65" s="191"/>
      <c r="AI65" s="191"/>
      <c r="AJ65" s="54"/>
      <c r="AK65" s="54"/>
      <c r="AL65" s="180"/>
      <c r="AM65" s="180"/>
      <c r="AN65" s="48"/>
      <c r="AO65" s="48"/>
      <c r="AP65" s="171"/>
      <c r="AQ65" s="171"/>
      <c r="AR65" s="50"/>
      <c r="AS65" s="50"/>
      <c r="AT65" s="121"/>
      <c r="AU65" s="121"/>
    </row>
    <row r="66" spans="1:47">
      <c r="A66" s="15">
        <v>174</v>
      </c>
      <c r="B66" s="91">
        <v>6</v>
      </c>
      <c r="C66" s="91"/>
      <c r="D66" s="91"/>
      <c r="E66" s="151">
        <v>-999999.9</v>
      </c>
      <c r="F66" s="162">
        <v>-999999.9</v>
      </c>
      <c r="G66" s="213">
        <v>-2.5</v>
      </c>
      <c r="H66" s="48" t="s">
        <v>3503</v>
      </c>
      <c r="I66" s="48" t="s">
        <v>3503</v>
      </c>
      <c r="J66" s="171">
        <v>-2.5</v>
      </c>
      <c r="K66" s="171">
        <v>-1.5</v>
      </c>
      <c r="L66" s="50" t="s">
        <v>3734</v>
      </c>
      <c r="M66" s="50" t="s">
        <v>3734</v>
      </c>
      <c r="N66" s="184">
        <v>-1.5</v>
      </c>
      <c r="O66" s="184">
        <v>-0.5</v>
      </c>
      <c r="P66" s="52" t="s">
        <v>3505</v>
      </c>
      <c r="Q66" s="52" t="s">
        <v>3505</v>
      </c>
      <c r="R66" s="191">
        <v>-0.5</v>
      </c>
      <c r="S66" s="191">
        <v>0.5</v>
      </c>
      <c r="T66" s="54" t="s">
        <v>3733</v>
      </c>
      <c r="U66" s="54" t="s">
        <v>3733</v>
      </c>
      <c r="V66" s="180">
        <v>0.5</v>
      </c>
      <c r="W66" s="180">
        <v>1.5</v>
      </c>
      <c r="X66" s="48" t="s">
        <v>3507</v>
      </c>
      <c r="Y66" s="48" t="s">
        <v>3507</v>
      </c>
      <c r="Z66" s="171">
        <v>1.5</v>
      </c>
      <c r="AA66" s="171">
        <v>2.5</v>
      </c>
      <c r="AB66" s="50" t="s">
        <v>3732</v>
      </c>
      <c r="AC66" s="50" t="s">
        <v>3732</v>
      </c>
      <c r="AD66" s="184">
        <v>2.5</v>
      </c>
      <c r="AE66" s="184">
        <v>10</v>
      </c>
      <c r="AF66" s="52" t="s">
        <v>3509</v>
      </c>
      <c r="AG66" s="52" t="s">
        <v>3509</v>
      </c>
      <c r="AH66" s="191"/>
      <c r="AI66" s="191"/>
      <c r="AJ66" s="54"/>
      <c r="AK66" s="54"/>
      <c r="AL66" s="180"/>
      <c r="AM66" s="180"/>
      <c r="AN66" s="48"/>
      <c r="AO66" s="48"/>
      <c r="AP66" s="171"/>
      <c r="AQ66" s="171"/>
      <c r="AR66" s="50"/>
      <c r="AS66" s="50"/>
      <c r="AT66" s="121"/>
      <c r="AU66" s="121"/>
    </row>
    <row r="67" spans="1:47">
      <c r="A67" s="15">
        <v>175</v>
      </c>
      <c r="B67" s="91">
        <v>6</v>
      </c>
      <c r="C67" s="91"/>
      <c r="D67" s="91"/>
      <c r="E67" s="151">
        <v>-999999.9</v>
      </c>
      <c r="F67" s="162">
        <v>-999999.9</v>
      </c>
      <c r="G67" s="213">
        <v>-2.5</v>
      </c>
      <c r="H67" s="48" t="s">
        <v>3503</v>
      </c>
      <c r="I67" s="48" t="s">
        <v>3503</v>
      </c>
      <c r="J67" s="171">
        <v>-2.5</v>
      </c>
      <c r="K67" s="171">
        <v>-1.5</v>
      </c>
      <c r="L67" s="50" t="s">
        <v>3734</v>
      </c>
      <c r="M67" s="50" t="s">
        <v>3734</v>
      </c>
      <c r="N67" s="184">
        <v>-1.5</v>
      </c>
      <c r="O67" s="184">
        <v>-0.5</v>
      </c>
      <c r="P67" s="52" t="s">
        <v>3505</v>
      </c>
      <c r="Q67" s="52" t="s">
        <v>3505</v>
      </c>
      <c r="R67" s="191">
        <v>-0.5</v>
      </c>
      <c r="S67" s="191">
        <v>0.5</v>
      </c>
      <c r="T67" s="54" t="s">
        <v>3733</v>
      </c>
      <c r="U67" s="54" t="s">
        <v>3733</v>
      </c>
      <c r="V67" s="180">
        <v>0.5</v>
      </c>
      <c r="W67" s="180">
        <v>1.5</v>
      </c>
      <c r="X67" s="48" t="s">
        <v>3507</v>
      </c>
      <c r="Y67" s="48" t="s">
        <v>3507</v>
      </c>
      <c r="Z67" s="171">
        <v>1.5</v>
      </c>
      <c r="AA67" s="171">
        <v>2.5</v>
      </c>
      <c r="AB67" s="50" t="s">
        <v>3732</v>
      </c>
      <c r="AC67" s="50" t="s">
        <v>3732</v>
      </c>
      <c r="AD67" s="184">
        <v>2.5</v>
      </c>
      <c r="AE67" s="184">
        <v>10</v>
      </c>
      <c r="AF67" s="52" t="s">
        <v>3509</v>
      </c>
      <c r="AG67" s="52" t="s">
        <v>3509</v>
      </c>
      <c r="AH67" s="191"/>
      <c r="AI67" s="191"/>
      <c r="AJ67" s="54"/>
      <c r="AK67" s="54"/>
      <c r="AL67" s="180"/>
      <c r="AM67" s="180"/>
      <c r="AN67" s="48"/>
      <c r="AO67" s="48"/>
      <c r="AP67" s="171"/>
      <c r="AQ67" s="171"/>
      <c r="AR67" s="50"/>
      <c r="AS67" s="50"/>
      <c r="AT67" s="121"/>
      <c r="AU67" s="121"/>
    </row>
    <row r="68" spans="1:47">
      <c r="A68" s="15">
        <v>176</v>
      </c>
      <c r="B68" s="91">
        <v>6</v>
      </c>
      <c r="C68" s="91"/>
      <c r="D68" s="91"/>
      <c r="E68" s="151">
        <v>-999999.9</v>
      </c>
      <c r="F68" s="162">
        <v>-999999.9</v>
      </c>
      <c r="G68" s="213">
        <v>-2.5</v>
      </c>
      <c r="H68" s="48" t="s">
        <v>3503</v>
      </c>
      <c r="I68" s="48" t="s">
        <v>3503</v>
      </c>
      <c r="J68" s="171">
        <v>-2.5</v>
      </c>
      <c r="K68" s="171">
        <v>-1.5</v>
      </c>
      <c r="L68" s="50" t="s">
        <v>3734</v>
      </c>
      <c r="M68" s="50" t="s">
        <v>3734</v>
      </c>
      <c r="N68" s="184">
        <v>-1.5</v>
      </c>
      <c r="O68" s="184">
        <v>-0.5</v>
      </c>
      <c r="P68" s="52" t="s">
        <v>3505</v>
      </c>
      <c r="Q68" s="52" t="s">
        <v>3505</v>
      </c>
      <c r="R68" s="191">
        <v>-0.5</v>
      </c>
      <c r="S68" s="191">
        <v>0.5</v>
      </c>
      <c r="T68" s="54" t="s">
        <v>3733</v>
      </c>
      <c r="U68" s="54" t="s">
        <v>3733</v>
      </c>
      <c r="V68" s="180">
        <v>0.5</v>
      </c>
      <c r="W68" s="180">
        <v>1.5</v>
      </c>
      <c r="X68" s="48" t="s">
        <v>3507</v>
      </c>
      <c r="Y68" s="48" t="s">
        <v>3507</v>
      </c>
      <c r="Z68" s="171">
        <v>1.5</v>
      </c>
      <c r="AA68" s="171">
        <v>2.5</v>
      </c>
      <c r="AB68" s="50" t="s">
        <v>3732</v>
      </c>
      <c r="AC68" s="50" t="s">
        <v>3732</v>
      </c>
      <c r="AD68" s="184">
        <v>2.5</v>
      </c>
      <c r="AE68" s="184">
        <v>12</v>
      </c>
      <c r="AF68" s="52" t="s">
        <v>3509</v>
      </c>
      <c r="AG68" s="52" t="s">
        <v>3509</v>
      </c>
      <c r="AH68" s="191"/>
      <c r="AI68" s="191"/>
      <c r="AJ68" s="54"/>
      <c r="AK68" s="54"/>
      <c r="AL68" s="180"/>
      <c r="AM68" s="180"/>
      <c r="AN68" s="48"/>
      <c r="AO68" s="48"/>
      <c r="AP68" s="171"/>
      <c r="AQ68" s="171"/>
      <c r="AR68" s="50"/>
      <c r="AS68" s="50"/>
      <c r="AT68" s="121"/>
      <c r="AU68" s="121"/>
    </row>
    <row r="69" spans="1:47">
      <c r="A69" s="15">
        <v>177</v>
      </c>
      <c r="B69" s="91">
        <v>6</v>
      </c>
      <c r="C69" s="91"/>
      <c r="D69" s="91"/>
      <c r="E69" s="151">
        <v>-999999.9</v>
      </c>
      <c r="F69" s="162">
        <v>-999999.9</v>
      </c>
      <c r="G69" s="213">
        <v>-2.5</v>
      </c>
      <c r="H69" s="48" t="s">
        <v>3503</v>
      </c>
      <c r="I69" s="48" t="s">
        <v>3503</v>
      </c>
      <c r="J69" s="171">
        <v>-2.5</v>
      </c>
      <c r="K69" s="171">
        <v>-1.5</v>
      </c>
      <c r="L69" s="50" t="s">
        <v>3734</v>
      </c>
      <c r="M69" s="50" t="s">
        <v>3734</v>
      </c>
      <c r="N69" s="184">
        <v>-1.5</v>
      </c>
      <c r="O69" s="184">
        <v>-0.5</v>
      </c>
      <c r="P69" s="52" t="s">
        <v>3505</v>
      </c>
      <c r="Q69" s="52" t="s">
        <v>3505</v>
      </c>
      <c r="R69" s="191">
        <v>-0.5</v>
      </c>
      <c r="S69" s="191">
        <v>0.5</v>
      </c>
      <c r="T69" s="54" t="s">
        <v>3733</v>
      </c>
      <c r="U69" s="54" t="s">
        <v>3733</v>
      </c>
      <c r="V69" s="180">
        <v>0.5</v>
      </c>
      <c r="W69" s="180">
        <v>1.5</v>
      </c>
      <c r="X69" s="48" t="s">
        <v>3507</v>
      </c>
      <c r="Y69" s="48" t="s">
        <v>3507</v>
      </c>
      <c r="Z69" s="171">
        <v>1.5</v>
      </c>
      <c r="AA69" s="171">
        <v>2.5</v>
      </c>
      <c r="AB69" s="50" t="s">
        <v>3732</v>
      </c>
      <c r="AC69" s="50" t="s">
        <v>3732</v>
      </c>
      <c r="AD69" s="184">
        <v>2.5</v>
      </c>
      <c r="AE69" s="184">
        <v>10</v>
      </c>
      <c r="AF69" s="52" t="s">
        <v>3509</v>
      </c>
      <c r="AG69" s="52" t="s">
        <v>3509</v>
      </c>
      <c r="AH69" s="191"/>
      <c r="AI69" s="191"/>
      <c r="AJ69" s="54"/>
      <c r="AK69" s="54"/>
      <c r="AL69" s="180"/>
      <c r="AM69" s="180"/>
      <c r="AN69" s="48"/>
      <c r="AO69" s="48"/>
      <c r="AP69" s="171"/>
      <c r="AQ69" s="171"/>
      <c r="AR69" s="50"/>
      <c r="AS69" s="50"/>
      <c r="AT69" s="121"/>
      <c r="AU69" s="121"/>
    </row>
    <row r="70" spans="1:47">
      <c r="A70" s="15">
        <v>178</v>
      </c>
      <c r="B70" s="91">
        <v>6</v>
      </c>
      <c r="C70" s="91"/>
      <c r="D70" s="91"/>
      <c r="E70" s="151">
        <v>-999999.9</v>
      </c>
      <c r="F70" s="162">
        <v>-999999.9</v>
      </c>
      <c r="G70" s="213">
        <v>-2.5</v>
      </c>
      <c r="H70" s="48" t="s">
        <v>3503</v>
      </c>
      <c r="I70" s="48" t="s">
        <v>3503</v>
      </c>
      <c r="J70" s="171">
        <v>-2.5</v>
      </c>
      <c r="K70" s="171">
        <v>-1.5</v>
      </c>
      <c r="L70" s="50" t="s">
        <v>3734</v>
      </c>
      <c r="M70" s="50" t="s">
        <v>3734</v>
      </c>
      <c r="N70" s="184">
        <v>-1.5</v>
      </c>
      <c r="O70" s="184">
        <v>-0.5</v>
      </c>
      <c r="P70" s="52" t="s">
        <v>3505</v>
      </c>
      <c r="Q70" s="52" t="s">
        <v>3505</v>
      </c>
      <c r="R70" s="191">
        <v>-0.5</v>
      </c>
      <c r="S70" s="191">
        <v>0.5</v>
      </c>
      <c r="T70" s="54" t="s">
        <v>3733</v>
      </c>
      <c r="U70" s="54" t="s">
        <v>3733</v>
      </c>
      <c r="V70" s="180">
        <v>0.5</v>
      </c>
      <c r="W70" s="180">
        <v>1.5</v>
      </c>
      <c r="X70" s="48" t="s">
        <v>3507</v>
      </c>
      <c r="Y70" s="48" t="s">
        <v>3507</v>
      </c>
      <c r="Z70" s="171">
        <v>1.5</v>
      </c>
      <c r="AA70" s="171">
        <v>2.5</v>
      </c>
      <c r="AB70" s="50" t="s">
        <v>3732</v>
      </c>
      <c r="AC70" s="50" t="s">
        <v>3732</v>
      </c>
      <c r="AD70" s="184">
        <v>2.5</v>
      </c>
      <c r="AE70" s="184">
        <v>10</v>
      </c>
      <c r="AF70" s="52" t="s">
        <v>3509</v>
      </c>
      <c r="AG70" s="52" t="s">
        <v>3509</v>
      </c>
      <c r="AH70" s="191"/>
      <c r="AI70" s="191"/>
      <c r="AJ70" s="54"/>
      <c r="AK70" s="54"/>
      <c r="AL70" s="180"/>
      <c r="AM70" s="180"/>
      <c r="AN70" s="48"/>
      <c r="AO70" s="48"/>
      <c r="AP70" s="171"/>
      <c r="AQ70" s="171"/>
      <c r="AR70" s="50"/>
      <c r="AS70" s="50"/>
      <c r="AT70" s="121"/>
      <c r="AU70" s="121"/>
    </row>
    <row r="71" spans="1:47">
      <c r="A71" s="15">
        <v>179</v>
      </c>
      <c r="B71" s="91">
        <v>6</v>
      </c>
      <c r="C71" s="91"/>
      <c r="D71" s="91"/>
      <c r="E71" s="151">
        <v>-999999.9</v>
      </c>
      <c r="F71" s="162">
        <v>-999999.9</v>
      </c>
      <c r="G71" s="213">
        <v>-2.5</v>
      </c>
      <c r="H71" s="48" t="s">
        <v>3503</v>
      </c>
      <c r="I71" s="48" t="s">
        <v>3503</v>
      </c>
      <c r="J71" s="171">
        <v>-2.5</v>
      </c>
      <c r="K71" s="171">
        <v>-1.5</v>
      </c>
      <c r="L71" s="50" t="s">
        <v>3734</v>
      </c>
      <c r="M71" s="50" t="s">
        <v>3734</v>
      </c>
      <c r="N71" s="184">
        <v>-1.5</v>
      </c>
      <c r="O71" s="184">
        <v>-0.5</v>
      </c>
      <c r="P71" s="52" t="s">
        <v>3505</v>
      </c>
      <c r="Q71" s="52" t="s">
        <v>3505</v>
      </c>
      <c r="R71" s="191">
        <v>-0.5</v>
      </c>
      <c r="S71" s="191">
        <v>0.5</v>
      </c>
      <c r="T71" s="54" t="s">
        <v>3733</v>
      </c>
      <c r="U71" s="54" t="s">
        <v>3733</v>
      </c>
      <c r="V71" s="180">
        <v>0.5</v>
      </c>
      <c r="W71" s="180">
        <v>1.5</v>
      </c>
      <c r="X71" s="48" t="s">
        <v>3507</v>
      </c>
      <c r="Y71" s="48" t="s">
        <v>3507</v>
      </c>
      <c r="Z71" s="171">
        <v>1.5</v>
      </c>
      <c r="AA71" s="171">
        <v>2.5</v>
      </c>
      <c r="AB71" s="50" t="s">
        <v>3732</v>
      </c>
      <c r="AC71" s="50" t="s">
        <v>3732</v>
      </c>
      <c r="AD71" s="184">
        <v>2.5</v>
      </c>
      <c r="AE71" s="184">
        <v>10</v>
      </c>
      <c r="AF71" s="52" t="s">
        <v>3509</v>
      </c>
      <c r="AG71" s="52" t="s">
        <v>3509</v>
      </c>
      <c r="AH71" s="191"/>
      <c r="AI71" s="191"/>
      <c r="AJ71" s="54"/>
      <c r="AK71" s="54"/>
      <c r="AL71" s="180"/>
      <c r="AM71" s="180"/>
      <c r="AN71" s="48"/>
      <c r="AO71" s="48"/>
      <c r="AP71" s="171"/>
      <c r="AQ71" s="171"/>
      <c r="AR71" s="50"/>
      <c r="AS71" s="50"/>
      <c r="AT71" s="121"/>
      <c r="AU71" s="121"/>
    </row>
    <row r="72" spans="1:47">
      <c r="A72" s="15">
        <v>180</v>
      </c>
      <c r="B72" s="91">
        <v>6</v>
      </c>
      <c r="C72" s="91"/>
      <c r="D72" s="91"/>
      <c r="E72" s="151">
        <v>-999999.9</v>
      </c>
      <c r="F72" s="162">
        <v>-999999.9</v>
      </c>
      <c r="G72" s="213">
        <v>-2.5</v>
      </c>
      <c r="H72" s="48" t="s">
        <v>3503</v>
      </c>
      <c r="I72" s="48" t="s">
        <v>3503</v>
      </c>
      <c r="J72" s="171">
        <v>-2.5</v>
      </c>
      <c r="K72" s="171">
        <v>-1.5</v>
      </c>
      <c r="L72" s="50" t="s">
        <v>3734</v>
      </c>
      <c r="M72" s="50" t="s">
        <v>3734</v>
      </c>
      <c r="N72" s="184">
        <v>-1.5</v>
      </c>
      <c r="O72" s="184">
        <v>-0.5</v>
      </c>
      <c r="P72" s="52" t="s">
        <v>3505</v>
      </c>
      <c r="Q72" s="52" t="s">
        <v>3505</v>
      </c>
      <c r="R72" s="191">
        <v>-0.5</v>
      </c>
      <c r="S72" s="191">
        <v>0.5</v>
      </c>
      <c r="T72" s="54" t="s">
        <v>3733</v>
      </c>
      <c r="U72" s="54" t="s">
        <v>3733</v>
      </c>
      <c r="V72" s="180">
        <v>0.5</v>
      </c>
      <c r="W72" s="180">
        <v>1.5</v>
      </c>
      <c r="X72" s="48" t="s">
        <v>3507</v>
      </c>
      <c r="Y72" s="48" t="s">
        <v>3507</v>
      </c>
      <c r="Z72" s="171">
        <v>1.5</v>
      </c>
      <c r="AA72" s="171">
        <v>2.5</v>
      </c>
      <c r="AB72" s="50" t="s">
        <v>3732</v>
      </c>
      <c r="AC72" s="50" t="s">
        <v>3732</v>
      </c>
      <c r="AD72" s="184">
        <v>2.5</v>
      </c>
      <c r="AE72" s="184">
        <v>10</v>
      </c>
      <c r="AF72" s="52" t="s">
        <v>3509</v>
      </c>
      <c r="AG72" s="52" t="s">
        <v>3509</v>
      </c>
      <c r="AH72" s="191"/>
      <c r="AI72" s="191"/>
      <c r="AJ72" s="54"/>
      <c r="AK72" s="54"/>
      <c r="AL72" s="180"/>
      <c r="AM72" s="180"/>
      <c r="AN72" s="48"/>
      <c r="AO72" s="48"/>
      <c r="AP72" s="171"/>
      <c r="AQ72" s="171"/>
      <c r="AR72" s="50"/>
      <c r="AS72" s="50"/>
      <c r="AT72" s="121"/>
      <c r="AU72" s="121"/>
    </row>
    <row r="73" spans="1:47">
      <c r="A73" s="15">
        <v>181</v>
      </c>
      <c r="B73" s="91">
        <v>7</v>
      </c>
      <c r="C73" s="91"/>
      <c r="D73" s="91"/>
      <c r="E73" s="151">
        <v>-999999.9</v>
      </c>
      <c r="F73" s="162">
        <v>-999999.9</v>
      </c>
      <c r="G73" s="214">
        <v>-9.9999999999999995E-7</v>
      </c>
      <c r="H73" s="48" t="s">
        <v>3737</v>
      </c>
      <c r="I73" s="48" t="s">
        <v>3738</v>
      </c>
      <c r="J73" s="172">
        <v>-9.9999999999999995E-7</v>
      </c>
      <c r="K73" s="172">
        <v>0</v>
      </c>
      <c r="L73" s="50" t="s">
        <v>3739</v>
      </c>
      <c r="M73" s="50" t="s">
        <v>3739</v>
      </c>
      <c r="N73" s="184">
        <v>0</v>
      </c>
      <c r="O73" s="184">
        <v>5</v>
      </c>
      <c r="P73" s="52" t="s">
        <v>3730</v>
      </c>
      <c r="Q73" s="52" t="s">
        <v>3730</v>
      </c>
      <c r="R73" s="191">
        <v>5</v>
      </c>
      <c r="S73" s="191">
        <v>12.5</v>
      </c>
      <c r="T73" s="54" t="s">
        <v>3740</v>
      </c>
      <c r="U73" s="54" t="s">
        <v>3740</v>
      </c>
      <c r="V73" s="180">
        <v>12.5</v>
      </c>
      <c r="W73" s="180">
        <v>25</v>
      </c>
      <c r="X73" s="48" t="s">
        <v>3728</v>
      </c>
      <c r="Y73" s="48" t="s">
        <v>3728</v>
      </c>
      <c r="Z73" s="171">
        <v>25</v>
      </c>
      <c r="AA73" s="171">
        <v>50</v>
      </c>
      <c r="AB73" s="50" t="s">
        <v>3732</v>
      </c>
      <c r="AC73" s="50" t="s">
        <v>3732</v>
      </c>
      <c r="AD73" s="184">
        <v>50</v>
      </c>
      <c r="AE73" s="184">
        <v>100</v>
      </c>
      <c r="AF73" s="52" t="s">
        <v>3509</v>
      </c>
      <c r="AG73" s="52" t="s">
        <v>3509</v>
      </c>
      <c r="AH73" s="191">
        <v>100</v>
      </c>
      <c r="AI73" s="199">
        <v>999999.9</v>
      </c>
      <c r="AJ73" s="54" t="s">
        <v>3741</v>
      </c>
      <c r="AK73" s="54" t="s">
        <v>3741</v>
      </c>
      <c r="AL73" s="180"/>
      <c r="AM73" s="180"/>
      <c r="AN73" s="48"/>
      <c r="AO73" s="48"/>
      <c r="AP73" s="171"/>
      <c r="AQ73" s="171"/>
      <c r="AR73" s="50"/>
      <c r="AS73" s="50"/>
      <c r="AT73" s="121"/>
      <c r="AU73" s="121"/>
    </row>
    <row r="74" spans="1:47">
      <c r="A74" s="15">
        <v>183</v>
      </c>
      <c r="B74" s="91">
        <v>7</v>
      </c>
      <c r="C74" s="91"/>
      <c r="D74" s="91"/>
      <c r="E74" s="151">
        <v>-999999.9</v>
      </c>
      <c r="F74" s="162">
        <v>-999999.9</v>
      </c>
      <c r="G74" s="214">
        <v>-9.9999999999999995E-7</v>
      </c>
      <c r="H74" s="48" t="s">
        <v>3737</v>
      </c>
      <c r="I74" s="48" t="s">
        <v>3738</v>
      </c>
      <c r="J74" s="172">
        <v>-9.9999999999999995E-7</v>
      </c>
      <c r="K74" s="172">
        <v>0</v>
      </c>
      <c r="L74" s="50" t="s">
        <v>3739</v>
      </c>
      <c r="M74" s="50" t="s">
        <v>3739</v>
      </c>
      <c r="N74" s="184">
        <v>0</v>
      </c>
      <c r="O74" s="184">
        <v>0.05</v>
      </c>
      <c r="P74" s="52" t="s">
        <v>3730</v>
      </c>
      <c r="Q74" s="52" t="s">
        <v>3730</v>
      </c>
      <c r="R74" s="191">
        <v>0.05</v>
      </c>
      <c r="S74" s="191">
        <v>0.125</v>
      </c>
      <c r="T74" s="54" t="s">
        <v>3740</v>
      </c>
      <c r="U74" s="54" t="s">
        <v>3740</v>
      </c>
      <c r="V74" s="180">
        <v>0.125</v>
      </c>
      <c r="W74" s="180">
        <v>0.25</v>
      </c>
      <c r="X74" s="48" t="s">
        <v>3728</v>
      </c>
      <c r="Y74" s="48" t="s">
        <v>3728</v>
      </c>
      <c r="Z74" s="171">
        <v>0.25</v>
      </c>
      <c r="AA74" s="171">
        <v>0.5</v>
      </c>
      <c r="AB74" s="50" t="s">
        <v>3732</v>
      </c>
      <c r="AC74" s="50" t="s">
        <v>3732</v>
      </c>
      <c r="AD74" s="184">
        <v>0.5</v>
      </c>
      <c r="AE74" s="184">
        <v>1</v>
      </c>
      <c r="AF74" s="52" t="s">
        <v>3509</v>
      </c>
      <c r="AG74" s="52" t="s">
        <v>3509</v>
      </c>
      <c r="AH74" s="191">
        <v>1</v>
      </c>
      <c r="AI74" s="199">
        <v>999999.9</v>
      </c>
      <c r="AJ74" s="54" t="s">
        <v>3741</v>
      </c>
      <c r="AK74" s="54" t="s">
        <v>3741</v>
      </c>
      <c r="AL74" s="180"/>
      <c r="AM74" s="180"/>
      <c r="AN74" s="48"/>
      <c r="AO74" s="48"/>
      <c r="AP74" s="171"/>
      <c r="AQ74" s="171"/>
      <c r="AR74" s="50"/>
      <c r="AS74" s="50"/>
      <c r="AT74" s="121"/>
      <c r="AU74" s="121"/>
    </row>
    <row r="75" spans="1:47">
      <c r="A75" s="20">
        <v>193</v>
      </c>
      <c r="B75" s="20">
        <v>8</v>
      </c>
      <c r="C75" s="20"/>
      <c r="D75" s="20"/>
      <c r="E75" s="151">
        <v>-999999.9</v>
      </c>
      <c r="F75" s="162">
        <v>-999999.9</v>
      </c>
      <c r="G75" s="214">
        <v>-2.5</v>
      </c>
      <c r="H75" s="56" t="s">
        <v>3503</v>
      </c>
      <c r="I75" s="56" t="s">
        <v>3503</v>
      </c>
      <c r="J75" s="172">
        <v>-2.5</v>
      </c>
      <c r="K75" s="172">
        <v>-1.5</v>
      </c>
      <c r="L75" s="57" t="s">
        <v>3504</v>
      </c>
      <c r="M75" s="57" t="s">
        <v>3504</v>
      </c>
      <c r="N75" s="185">
        <v>-1.5</v>
      </c>
      <c r="O75" s="185">
        <v>-0.5</v>
      </c>
      <c r="P75" s="58" t="s">
        <v>3505</v>
      </c>
      <c r="Q75" s="58" t="s">
        <v>3505</v>
      </c>
      <c r="R75" s="192">
        <v>-0.5</v>
      </c>
      <c r="S75" s="192">
        <v>0.5</v>
      </c>
      <c r="T75" s="59" t="s">
        <v>3506</v>
      </c>
      <c r="U75" s="59" t="s">
        <v>3506</v>
      </c>
      <c r="V75" s="181">
        <v>0.5</v>
      </c>
      <c r="W75" s="181">
        <v>1.5</v>
      </c>
      <c r="X75" s="56" t="s">
        <v>3507</v>
      </c>
      <c r="Y75" s="56" t="s">
        <v>3507</v>
      </c>
      <c r="Z75" s="172">
        <v>1.5</v>
      </c>
      <c r="AA75" s="172">
        <v>2.5</v>
      </c>
      <c r="AB75" s="57" t="s">
        <v>3508</v>
      </c>
      <c r="AC75" s="57" t="s">
        <v>3508</v>
      </c>
      <c r="AD75" s="185">
        <v>2.5</v>
      </c>
      <c r="AE75" s="198">
        <v>10</v>
      </c>
      <c r="AF75" s="60" t="s">
        <v>3509</v>
      </c>
      <c r="AG75" s="60" t="s">
        <v>3509</v>
      </c>
      <c r="AH75" s="209"/>
      <c r="AI75" s="209"/>
      <c r="AJ75" s="61"/>
      <c r="AK75" s="61"/>
      <c r="AL75" s="180"/>
      <c r="AM75" s="180"/>
      <c r="AN75" s="48"/>
      <c r="AO75" s="48"/>
      <c r="AP75" s="171"/>
      <c r="AQ75" s="171"/>
      <c r="AR75" s="50"/>
      <c r="AS75" s="50"/>
      <c r="AT75" s="121"/>
      <c r="AU75" s="121"/>
    </row>
    <row r="76" spans="1:47">
      <c r="A76" s="20">
        <v>194</v>
      </c>
      <c r="B76" s="20">
        <v>8</v>
      </c>
      <c r="C76" s="20"/>
      <c r="D76" s="20"/>
      <c r="E76" s="151">
        <v>-999999.9</v>
      </c>
      <c r="F76" s="162">
        <v>-999999.9</v>
      </c>
      <c r="G76" s="214">
        <v>11</v>
      </c>
      <c r="H76" s="56" t="s">
        <v>3742</v>
      </c>
      <c r="I76" s="56" t="s">
        <v>3742</v>
      </c>
      <c r="J76" s="172">
        <v>11</v>
      </c>
      <c r="K76" s="172">
        <v>13</v>
      </c>
      <c r="L76" s="57" t="s">
        <v>3743</v>
      </c>
      <c r="M76" s="57" t="s">
        <v>3743</v>
      </c>
      <c r="N76" s="185">
        <v>13</v>
      </c>
      <c r="O76" s="185">
        <v>15</v>
      </c>
      <c r="P76" s="58" t="s">
        <v>3744</v>
      </c>
      <c r="Q76" s="58" t="s">
        <v>3744</v>
      </c>
      <c r="R76" s="192">
        <v>15</v>
      </c>
      <c r="S76" s="192">
        <v>17</v>
      </c>
      <c r="T76" s="59" t="s">
        <v>3745</v>
      </c>
      <c r="U76" s="59" t="s">
        <v>3745</v>
      </c>
      <c r="V76" s="181">
        <v>17</v>
      </c>
      <c r="W76" s="181">
        <v>19</v>
      </c>
      <c r="X76" s="56" t="s">
        <v>3746</v>
      </c>
      <c r="Y76" s="56" t="s">
        <v>3746</v>
      </c>
      <c r="Z76" s="172">
        <v>19</v>
      </c>
      <c r="AA76" s="172">
        <v>21</v>
      </c>
      <c r="AB76" s="57" t="s">
        <v>3747</v>
      </c>
      <c r="AC76" s="57" t="s">
        <v>3747</v>
      </c>
      <c r="AD76" s="185">
        <v>21</v>
      </c>
      <c r="AE76" s="185">
        <v>100</v>
      </c>
      <c r="AF76" s="60" t="s">
        <v>3748</v>
      </c>
      <c r="AG76" s="60" t="s">
        <v>3748</v>
      </c>
      <c r="AH76" s="191"/>
      <c r="AI76" s="191"/>
      <c r="AJ76" s="54"/>
      <c r="AK76" s="54"/>
      <c r="AL76" s="180"/>
      <c r="AM76" s="180"/>
      <c r="AN76" s="48"/>
      <c r="AO76" s="48"/>
      <c r="AP76" s="171"/>
      <c r="AQ76" s="171"/>
      <c r="AR76" s="50"/>
      <c r="AS76" s="50"/>
      <c r="AT76" s="121"/>
      <c r="AU76" s="121"/>
    </row>
    <row r="77" spans="1:47">
      <c r="A77" s="20">
        <v>195</v>
      </c>
      <c r="B77" s="20">
        <v>8</v>
      </c>
      <c r="C77" s="20"/>
      <c r="D77" s="20"/>
      <c r="E77" s="151">
        <v>-999999.9</v>
      </c>
      <c r="F77" s="162">
        <v>-999999.9</v>
      </c>
      <c r="G77" s="214">
        <v>15</v>
      </c>
      <c r="H77" s="56" t="s">
        <v>3749</v>
      </c>
      <c r="I77" s="56" t="s">
        <v>3749</v>
      </c>
      <c r="J77" s="172">
        <v>15</v>
      </c>
      <c r="K77" s="172">
        <v>18</v>
      </c>
      <c r="L77" s="57" t="s">
        <v>3750</v>
      </c>
      <c r="M77" s="57" t="s">
        <v>3750</v>
      </c>
      <c r="N77" s="185">
        <v>18</v>
      </c>
      <c r="O77" s="185">
        <v>21</v>
      </c>
      <c r="P77" s="58" t="s">
        <v>3751</v>
      </c>
      <c r="Q77" s="58" t="s">
        <v>3751</v>
      </c>
      <c r="R77" s="192">
        <v>21</v>
      </c>
      <c r="S77" s="192">
        <v>24</v>
      </c>
      <c r="T77" s="59" t="s">
        <v>3752</v>
      </c>
      <c r="U77" s="59" t="s">
        <v>3752</v>
      </c>
      <c r="V77" s="181">
        <v>24</v>
      </c>
      <c r="W77" s="181">
        <v>27</v>
      </c>
      <c r="X77" s="56" t="s">
        <v>3753</v>
      </c>
      <c r="Y77" s="56" t="s">
        <v>3753</v>
      </c>
      <c r="Z77" s="172">
        <v>27</v>
      </c>
      <c r="AA77" s="172">
        <v>30</v>
      </c>
      <c r="AB77" s="57" t="s">
        <v>3754</v>
      </c>
      <c r="AC77" s="57" t="s">
        <v>3754</v>
      </c>
      <c r="AD77" s="185">
        <v>30</v>
      </c>
      <c r="AE77" s="185">
        <v>100</v>
      </c>
      <c r="AF77" s="60" t="s">
        <v>3755</v>
      </c>
      <c r="AG77" s="60" t="s">
        <v>3755</v>
      </c>
      <c r="AH77" s="209"/>
      <c r="AI77" s="209"/>
      <c r="AJ77" s="54"/>
      <c r="AK77" s="54"/>
      <c r="AL77" s="180"/>
      <c r="AM77" s="180"/>
      <c r="AN77" s="48"/>
      <c r="AO77" s="48"/>
      <c r="AP77" s="171"/>
      <c r="AQ77" s="171"/>
      <c r="AR77" s="50"/>
      <c r="AS77" s="50"/>
      <c r="AT77" s="121"/>
      <c r="AU77" s="121"/>
    </row>
    <row r="78" spans="1:47">
      <c r="A78" s="20">
        <v>196</v>
      </c>
      <c r="B78" s="20">
        <v>8</v>
      </c>
      <c r="C78" s="20"/>
      <c r="D78" s="20"/>
      <c r="E78" s="151">
        <v>-999999.9</v>
      </c>
      <c r="F78" s="162">
        <v>-999999.9</v>
      </c>
      <c r="G78" s="214">
        <v>25</v>
      </c>
      <c r="H78" s="56" t="s">
        <v>3756</v>
      </c>
      <c r="I78" s="56" t="s">
        <v>3756</v>
      </c>
      <c r="J78" s="172">
        <v>25</v>
      </c>
      <c r="K78" s="172">
        <v>27</v>
      </c>
      <c r="L78" s="57" t="s">
        <v>3757</v>
      </c>
      <c r="M78" s="57" t="s">
        <v>3757</v>
      </c>
      <c r="N78" s="185">
        <v>27</v>
      </c>
      <c r="O78" s="185">
        <v>30</v>
      </c>
      <c r="P78" s="58" t="s">
        <v>3754</v>
      </c>
      <c r="Q78" s="58" t="s">
        <v>3754</v>
      </c>
      <c r="R78" s="192">
        <v>30</v>
      </c>
      <c r="S78" s="192">
        <v>33</v>
      </c>
      <c r="T78" s="59" t="s">
        <v>3758</v>
      </c>
      <c r="U78" s="59" t="s">
        <v>3758</v>
      </c>
      <c r="V78" s="181">
        <v>33</v>
      </c>
      <c r="W78" s="181">
        <v>36</v>
      </c>
      <c r="X78" s="56" t="s">
        <v>3759</v>
      </c>
      <c r="Y78" s="56" t="s">
        <v>3759</v>
      </c>
      <c r="Z78" s="172">
        <v>36</v>
      </c>
      <c r="AA78" s="172">
        <v>40</v>
      </c>
      <c r="AB78" s="57" t="s">
        <v>3760</v>
      </c>
      <c r="AC78" s="57" t="s">
        <v>3760</v>
      </c>
      <c r="AD78" s="185">
        <v>40</v>
      </c>
      <c r="AE78" s="185">
        <v>100</v>
      </c>
      <c r="AF78" s="60" t="s">
        <v>3761</v>
      </c>
      <c r="AG78" s="60" t="s">
        <v>3761</v>
      </c>
      <c r="AH78" s="191"/>
      <c r="AI78" s="191"/>
      <c r="AJ78" s="54"/>
      <c r="AK78" s="54"/>
      <c r="AL78" s="180"/>
      <c r="AM78" s="180"/>
      <c r="AN78" s="48"/>
      <c r="AO78" s="48"/>
      <c r="AP78" s="171"/>
      <c r="AQ78" s="171"/>
      <c r="AR78" s="50"/>
      <c r="AS78" s="50"/>
      <c r="AT78" s="121"/>
      <c r="AU78" s="121"/>
    </row>
    <row r="79" spans="1:47">
      <c r="A79" s="121">
        <v>197</v>
      </c>
      <c r="B79" s="121">
        <v>14</v>
      </c>
      <c r="C79" s="121"/>
      <c r="D79" s="121"/>
      <c r="E79" s="152"/>
      <c r="F79" s="165"/>
      <c r="G79" s="215"/>
      <c r="H79" s="122" t="s">
        <v>3442</v>
      </c>
      <c r="I79" s="122"/>
      <c r="J79" s="173"/>
      <c r="K79" s="173"/>
      <c r="L79" s="123"/>
      <c r="M79" s="123"/>
      <c r="N79" s="186"/>
      <c r="O79" s="186"/>
      <c r="P79" s="124"/>
      <c r="Q79" s="124"/>
      <c r="R79" s="193"/>
      <c r="S79" s="193"/>
      <c r="T79" s="126"/>
      <c r="U79" s="126"/>
      <c r="V79" s="165"/>
      <c r="W79" s="165"/>
      <c r="X79" s="122"/>
      <c r="Y79" s="122"/>
      <c r="Z79" s="173"/>
      <c r="AA79" s="173"/>
      <c r="AB79" s="123"/>
      <c r="AC79" s="123"/>
      <c r="AD79" s="186"/>
      <c r="AE79" s="186"/>
      <c r="AF79" s="124"/>
      <c r="AG79" s="124"/>
      <c r="AH79" s="209"/>
      <c r="AI79" s="209"/>
      <c r="AJ79" s="126"/>
      <c r="AK79" s="126"/>
      <c r="AL79" s="180"/>
      <c r="AM79" s="180"/>
      <c r="AN79" s="127"/>
      <c r="AO79" s="127"/>
      <c r="AP79" s="171"/>
      <c r="AQ79" s="171"/>
      <c r="AR79" s="128"/>
      <c r="AS79" s="128"/>
      <c r="AT79" s="121"/>
      <c r="AU79" s="121"/>
    </row>
    <row r="80" spans="1:47">
      <c r="A80" s="121">
        <v>198</v>
      </c>
      <c r="B80" s="121">
        <v>15</v>
      </c>
      <c r="C80" s="121"/>
      <c r="D80" s="121"/>
      <c r="E80" s="152"/>
      <c r="F80" s="165"/>
      <c r="G80" s="215"/>
      <c r="H80" s="122" t="s">
        <v>3445</v>
      </c>
      <c r="I80" s="122"/>
      <c r="J80" s="173"/>
      <c r="K80" s="173"/>
      <c r="L80" s="123"/>
      <c r="M80" s="123"/>
      <c r="N80" s="186"/>
      <c r="O80" s="186"/>
      <c r="P80" s="124"/>
      <c r="Q80" s="124"/>
      <c r="R80" s="193"/>
      <c r="S80" s="193"/>
      <c r="T80" s="126"/>
      <c r="U80" s="126"/>
      <c r="V80" s="165"/>
      <c r="W80" s="165"/>
      <c r="X80" s="122"/>
      <c r="Y80" s="122"/>
      <c r="Z80" s="173"/>
      <c r="AA80" s="173"/>
      <c r="AB80" s="123"/>
      <c r="AC80" s="123"/>
      <c r="AD80" s="186"/>
      <c r="AE80" s="186"/>
      <c r="AF80" s="124"/>
      <c r="AG80" s="124"/>
      <c r="AH80" s="191"/>
      <c r="AI80" s="191"/>
      <c r="AJ80" s="126"/>
      <c r="AK80" s="126"/>
      <c r="AL80" s="180"/>
      <c r="AM80" s="180"/>
      <c r="AN80" s="127"/>
      <c r="AO80" s="127"/>
      <c r="AP80" s="171"/>
      <c r="AQ80" s="171"/>
      <c r="AR80" s="128"/>
      <c r="AS80" s="128"/>
      <c r="AT80" s="121"/>
      <c r="AU80" s="121"/>
    </row>
    <row r="81" spans="1:47">
      <c r="A81">
        <v>199</v>
      </c>
      <c r="B81" s="20">
        <v>16</v>
      </c>
      <c r="C81" s="20"/>
      <c r="D81" s="20"/>
      <c r="E81" s="151">
        <v>-999999.9</v>
      </c>
      <c r="F81" s="162">
        <v>-999999.9</v>
      </c>
      <c r="G81" s="214">
        <v>21</v>
      </c>
      <c r="H81" s="56" t="s">
        <v>3762</v>
      </c>
      <c r="I81" s="56" t="s">
        <v>3762</v>
      </c>
      <c r="J81" s="172">
        <v>21</v>
      </c>
      <c r="K81" s="172">
        <v>23</v>
      </c>
      <c r="L81" s="57" t="s">
        <v>3763</v>
      </c>
      <c r="M81" s="57" t="s">
        <v>3763</v>
      </c>
      <c r="N81" s="185">
        <v>23</v>
      </c>
      <c r="O81" s="185">
        <v>25</v>
      </c>
      <c r="P81" s="58" t="s">
        <v>3764</v>
      </c>
      <c r="Q81" s="58" t="s">
        <v>3764</v>
      </c>
      <c r="R81" s="192">
        <v>25</v>
      </c>
      <c r="S81" s="192">
        <v>27</v>
      </c>
      <c r="T81" s="59" t="s">
        <v>3757</v>
      </c>
      <c r="U81" s="59" t="s">
        <v>3757</v>
      </c>
      <c r="V81" s="181">
        <v>27</v>
      </c>
      <c r="W81" s="181">
        <v>29</v>
      </c>
      <c r="X81" s="56" t="s">
        <v>3765</v>
      </c>
      <c r="Y81" s="56" t="s">
        <v>3765</v>
      </c>
      <c r="Z81" s="172">
        <v>29</v>
      </c>
      <c r="AA81" s="172">
        <v>31</v>
      </c>
      <c r="AB81" s="57" t="s">
        <v>3766</v>
      </c>
      <c r="AC81" s="57" t="s">
        <v>3766</v>
      </c>
      <c r="AD81" s="185">
        <v>31</v>
      </c>
      <c r="AE81" s="185">
        <v>100</v>
      </c>
      <c r="AF81" s="60" t="s">
        <v>3755</v>
      </c>
      <c r="AG81" s="60" t="s">
        <v>3755</v>
      </c>
      <c r="AH81" s="209"/>
      <c r="AI81" s="209"/>
      <c r="AJ81" s="54"/>
      <c r="AK81" s="54"/>
      <c r="AL81" s="180"/>
      <c r="AM81" s="180"/>
      <c r="AN81" s="48"/>
      <c r="AO81" s="48"/>
      <c r="AP81" s="171"/>
      <c r="AQ81" s="171"/>
      <c r="AR81" s="50"/>
      <c r="AS81" s="50"/>
      <c r="AT81" s="121"/>
      <c r="AU81" s="121"/>
    </row>
    <row r="82" spans="1:47">
      <c r="A82" s="139">
        <v>201</v>
      </c>
      <c r="B82" s="139">
        <v>3</v>
      </c>
      <c r="C82" s="139"/>
      <c r="D82" s="139"/>
      <c r="E82" s="151">
        <v>-999999.9</v>
      </c>
      <c r="F82" s="166">
        <v>-9.9999999999999995E-7</v>
      </c>
      <c r="G82" s="216">
        <v>1400</v>
      </c>
      <c r="H82" s="132" t="s">
        <v>3767</v>
      </c>
      <c r="I82" s="132" t="s">
        <v>3768</v>
      </c>
      <c r="J82" s="174">
        <v>1400</v>
      </c>
      <c r="K82" s="174">
        <v>1650</v>
      </c>
      <c r="L82" s="135" t="s">
        <v>3769</v>
      </c>
      <c r="M82" s="135" t="s">
        <v>3769</v>
      </c>
      <c r="N82" s="187">
        <v>1650</v>
      </c>
      <c r="O82" s="187">
        <v>1950</v>
      </c>
      <c r="P82" s="133" t="s">
        <v>3770</v>
      </c>
      <c r="Q82" s="133" t="s">
        <v>3770</v>
      </c>
      <c r="R82" s="194">
        <v>1950</v>
      </c>
      <c r="S82" s="194">
        <v>2450</v>
      </c>
      <c r="T82" s="134" t="s">
        <v>3771</v>
      </c>
      <c r="U82" s="134" t="s">
        <v>3771</v>
      </c>
      <c r="V82" s="182">
        <v>2450</v>
      </c>
      <c r="W82" s="182">
        <v>8300</v>
      </c>
      <c r="X82" s="132" t="s">
        <v>3772</v>
      </c>
      <c r="Y82" s="132" t="s">
        <v>3772</v>
      </c>
      <c r="Z82" s="171"/>
      <c r="AA82" s="171"/>
      <c r="AB82" s="50"/>
      <c r="AC82" s="50"/>
      <c r="AD82" s="184"/>
      <c r="AE82" s="184"/>
      <c r="AF82" s="52"/>
      <c r="AG82" s="52"/>
      <c r="AH82" s="191"/>
      <c r="AI82" s="191"/>
      <c r="AJ82" s="54"/>
      <c r="AK82" s="54"/>
      <c r="AL82" s="180"/>
      <c r="AM82" s="180"/>
      <c r="AN82" s="48"/>
      <c r="AO82" s="48"/>
      <c r="AP82" s="171"/>
      <c r="AQ82" s="171"/>
      <c r="AR82" s="50"/>
      <c r="AS82" s="50"/>
      <c r="AT82" s="121"/>
      <c r="AU82" s="121"/>
    </row>
    <row r="83" spans="1:47">
      <c r="A83" s="139">
        <v>202</v>
      </c>
      <c r="B83" s="139">
        <v>3</v>
      </c>
      <c r="C83" s="139" t="s">
        <v>3773</v>
      </c>
      <c r="D83" s="139" t="s">
        <v>3774</v>
      </c>
      <c r="E83" s="151">
        <v>-999999.9</v>
      </c>
      <c r="F83" s="166">
        <v>-9.9999999999999995E-7</v>
      </c>
      <c r="G83" s="216">
        <v>180</v>
      </c>
      <c r="H83" s="132" t="s">
        <v>3775</v>
      </c>
      <c r="I83" s="132" t="s">
        <v>3775</v>
      </c>
      <c r="J83" s="174">
        <v>180</v>
      </c>
      <c r="K83" s="174">
        <v>400</v>
      </c>
      <c r="L83" s="135" t="s">
        <v>3776</v>
      </c>
      <c r="M83" s="135" t="s">
        <v>3776</v>
      </c>
      <c r="N83" s="187">
        <v>400</v>
      </c>
      <c r="O83" s="187">
        <v>800</v>
      </c>
      <c r="P83" s="133" t="s">
        <v>3777</v>
      </c>
      <c r="Q83" s="133" t="s">
        <v>3777</v>
      </c>
      <c r="R83" s="194">
        <v>800</v>
      </c>
      <c r="S83" s="194">
        <v>1350</v>
      </c>
      <c r="T83" s="134" t="s">
        <v>3778</v>
      </c>
      <c r="U83" s="134" t="s">
        <v>3778</v>
      </c>
      <c r="V83" s="182">
        <v>1350</v>
      </c>
      <c r="W83" s="182">
        <v>3393</v>
      </c>
      <c r="X83" s="132" t="s">
        <v>3779</v>
      </c>
      <c r="Y83" s="132" t="s">
        <v>3779</v>
      </c>
      <c r="Z83" s="173"/>
      <c r="AA83" s="173"/>
      <c r="AB83" s="123"/>
      <c r="AC83" s="123"/>
      <c r="AD83" s="184"/>
      <c r="AE83" s="184"/>
      <c r="AF83" s="52"/>
      <c r="AG83" s="52"/>
      <c r="AH83" s="209"/>
      <c r="AI83" s="209"/>
      <c r="AJ83" s="54"/>
      <c r="AK83" s="54"/>
      <c r="AL83" s="180"/>
      <c r="AM83" s="180"/>
      <c r="AN83" s="48"/>
      <c r="AO83" s="48"/>
      <c r="AP83" s="171"/>
      <c r="AQ83" s="171"/>
      <c r="AR83" s="50"/>
      <c r="AS83" s="50"/>
      <c r="AT83" s="121"/>
      <c r="AU83" s="121"/>
    </row>
    <row r="84" spans="1:47">
      <c r="A84" s="139">
        <v>203</v>
      </c>
      <c r="B84" s="139">
        <v>3</v>
      </c>
      <c r="C84" s="139" t="s">
        <v>3773</v>
      </c>
      <c r="D84" s="139" t="s">
        <v>3774</v>
      </c>
      <c r="E84" s="151">
        <v>-999999.9</v>
      </c>
      <c r="F84" s="166">
        <v>-9.9999999999999995E-7</v>
      </c>
      <c r="G84" s="216">
        <v>250</v>
      </c>
      <c r="H84" s="132" t="s">
        <v>3780</v>
      </c>
      <c r="I84" s="132" t="s">
        <v>3780</v>
      </c>
      <c r="J84" s="174">
        <v>250</v>
      </c>
      <c r="K84" s="174">
        <v>700</v>
      </c>
      <c r="L84" s="135" t="s">
        <v>3781</v>
      </c>
      <c r="M84" s="135" t="s">
        <v>3781</v>
      </c>
      <c r="N84" s="187">
        <v>700</v>
      </c>
      <c r="O84" s="187">
        <v>1200</v>
      </c>
      <c r="P84" s="133" t="s">
        <v>3782</v>
      </c>
      <c r="Q84" s="133" t="s">
        <v>3782</v>
      </c>
      <c r="R84" s="194">
        <v>1200</v>
      </c>
      <c r="S84" s="194">
        <v>1700</v>
      </c>
      <c r="T84" s="134" t="s">
        <v>3783</v>
      </c>
      <c r="U84" s="134" t="s">
        <v>3783</v>
      </c>
      <c r="V84" s="182">
        <v>1700</v>
      </c>
      <c r="W84" s="182">
        <v>2756</v>
      </c>
      <c r="X84" s="132" t="s">
        <v>3784</v>
      </c>
      <c r="Y84" s="132" t="s">
        <v>3784</v>
      </c>
      <c r="Z84" s="173"/>
      <c r="AA84" s="173"/>
      <c r="AB84" s="123"/>
      <c r="AC84" s="123"/>
      <c r="AD84" s="184"/>
      <c r="AE84" s="184"/>
      <c r="AF84" s="52"/>
      <c r="AG84" s="52"/>
      <c r="AH84" s="191"/>
      <c r="AI84" s="191"/>
      <c r="AJ84" s="54"/>
      <c r="AK84" s="54"/>
      <c r="AL84" s="180"/>
      <c r="AM84" s="180"/>
      <c r="AN84" s="48"/>
      <c r="AO84" s="48"/>
      <c r="AP84" s="171"/>
      <c r="AQ84" s="171"/>
      <c r="AR84" s="50"/>
      <c r="AS84" s="50"/>
      <c r="AT84" s="121"/>
      <c r="AU84" s="121"/>
    </row>
    <row r="85" spans="1:47">
      <c r="A85" s="139">
        <v>204</v>
      </c>
      <c r="B85" s="139">
        <v>3</v>
      </c>
      <c r="C85" s="139"/>
      <c r="D85" s="139"/>
      <c r="E85" s="151">
        <v>-999999.9</v>
      </c>
      <c r="F85" s="166">
        <v>-9.9999999999999995E-7</v>
      </c>
      <c r="G85" s="216">
        <v>150</v>
      </c>
      <c r="H85" s="132" t="s">
        <v>3785</v>
      </c>
      <c r="I85" s="132" t="s">
        <v>3785</v>
      </c>
      <c r="J85" s="174">
        <v>150</v>
      </c>
      <c r="K85" s="174">
        <v>310</v>
      </c>
      <c r="L85" s="135" t="s">
        <v>3786</v>
      </c>
      <c r="M85" s="135" t="s">
        <v>3786</v>
      </c>
      <c r="N85" s="187">
        <v>310</v>
      </c>
      <c r="O85" s="187">
        <v>540</v>
      </c>
      <c r="P85" s="133" t="s">
        <v>3787</v>
      </c>
      <c r="Q85" s="133" t="s">
        <v>3787</v>
      </c>
      <c r="R85" s="194">
        <v>540</v>
      </c>
      <c r="S85" s="194">
        <v>930</v>
      </c>
      <c r="T85" s="134" t="s">
        <v>3788</v>
      </c>
      <c r="U85" s="134" t="s">
        <v>3788</v>
      </c>
      <c r="V85" s="182">
        <v>930</v>
      </c>
      <c r="W85" s="182">
        <v>2170</v>
      </c>
      <c r="X85" s="132" t="s">
        <v>3789</v>
      </c>
      <c r="Y85" s="132" t="s">
        <v>3789</v>
      </c>
      <c r="Z85" s="171"/>
      <c r="AA85" s="171"/>
      <c r="AB85" s="50"/>
      <c r="AC85" s="50"/>
      <c r="AD85" s="184"/>
      <c r="AE85" s="184"/>
      <c r="AF85" s="52"/>
      <c r="AG85" s="52"/>
      <c r="AH85" s="209"/>
      <c r="AI85" s="209"/>
      <c r="AJ85" s="54"/>
      <c r="AK85" s="54"/>
      <c r="AL85" s="180"/>
      <c r="AM85" s="180"/>
      <c r="AN85" s="48"/>
      <c r="AO85" s="48"/>
      <c r="AP85" s="171"/>
      <c r="AQ85" s="171"/>
      <c r="AR85" s="50"/>
      <c r="AS85" s="50"/>
      <c r="AT85" s="121"/>
      <c r="AU85" s="121"/>
    </row>
    <row r="86" spans="1:47">
      <c r="A86" s="139">
        <v>205</v>
      </c>
      <c r="B86" s="139">
        <v>3</v>
      </c>
      <c r="C86" s="139"/>
      <c r="D86" s="139"/>
      <c r="E86" s="151">
        <v>-999999.9</v>
      </c>
      <c r="F86" s="167">
        <v>1007</v>
      </c>
      <c r="G86" s="216">
        <v>1350</v>
      </c>
      <c r="H86" s="132" t="s">
        <v>3790</v>
      </c>
      <c r="I86" s="132" t="s">
        <v>3791</v>
      </c>
      <c r="J86" s="174">
        <v>1350</v>
      </c>
      <c r="K86" s="174">
        <v>1650</v>
      </c>
      <c r="L86" s="135" t="s">
        <v>3792</v>
      </c>
      <c r="M86" s="135" t="s">
        <v>3792</v>
      </c>
      <c r="N86" s="187">
        <v>1650</v>
      </c>
      <c r="O86" s="187">
        <v>1950</v>
      </c>
      <c r="P86" s="133" t="s">
        <v>3770</v>
      </c>
      <c r="Q86" s="133" t="s">
        <v>3770</v>
      </c>
      <c r="R86" s="194">
        <v>1950</v>
      </c>
      <c r="S86" s="194">
        <v>2450</v>
      </c>
      <c r="T86" s="134" t="s">
        <v>3771</v>
      </c>
      <c r="U86" s="134" t="s">
        <v>3771</v>
      </c>
      <c r="V86" s="182">
        <v>2450</v>
      </c>
      <c r="W86" s="182">
        <v>4128</v>
      </c>
      <c r="X86" s="132" t="s">
        <v>3793</v>
      </c>
      <c r="Y86" s="132" t="s">
        <v>3793</v>
      </c>
      <c r="Z86" s="171"/>
      <c r="AA86" s="171"/>
      <c r="AB86" s="50"/>
      <c r="AC86" s="50"/>
      <c r="AD86" s="184"/>
      <c r="AE86" s="184"/>
      <c r="AF86" s="52"/>
      <c r="AG86" s="52"/>
      <c r="AH86" s="191"/>
      <c r="AI86" s="191"/>
      <c r="AJ86" s="54"/>
      <c r="AK86" s="54"/>
      <c r="AL86" s="180"/>
      <c r="AM86" s="180"/>
      <c r="AN86" s="48"/>
      <c r="AO86" s="48"/>
      <c r="AP86" s="171"/>
      <c r="AQ86" s="171"/>
      <c r="AR86" s="50"/>
      <c r="AS86" s="50"/>
      <c r="AT86" s="121"/>
      <c r="AU86" s="121"/>
    </row>
    <row r="87" spans="1:47">
      <c r="A87" s="139">
        <v>206</v>
      </c>
      <c r="B87" s="139">
        <v>3</v>
      </c>
      <c r="C87" s="139"/>
      <c r="D87" s="139"/>
      <c r="E87" s="151">
        <v>-999999.9</v>
      </c>
      <c r="F87" s="166">
        <v>-9.9999999999999995E-7</v>
      </c>
      <c r="G87" s="216">
        <v>180</v>
      </c>
      <c r="H87" s="132" t="s">
        <v>3775</v>
      </c>
      <c r="I87" s="132" t="s">
        <v>3794</v>
      </c>
      <c r="J87" s="174">
        <v>180</v>
      </c>
      <c r="K87" s="174">
        <v>500</v>
      </c>
      <c r="L87" s="135" t="s">
        <v>3795</v>
      </c>
      <c r="M87" s="135" t="s">
        <v>3795</v>
      </c>
      <c r="N87" s="187">
        <v>500</v>
      </c>
      <c r="O87" s="187">
        <v>1000</v>
      </c>
      <c r="P87" s="133" t="s">
        <v>3796</v>
      </c>
      <c r="Q87" s="133" t="s">
        <v>3796</v>
      </c>
      <c r="R87" s="194">
        <v>1000</v>
      </c>
      <c r="S87" s="194">
        <v>1550</v>
      </c>
      <c r="T87" s="134" t="s">
        <v>3797</v>
      </c>
      <c r="U87" s="134" t="s">
        <v>3797</v>
      </c>
      <c r="V87" s="182">
        <v>1550</v>
      </c>
      <c r="W87" s="182">
        <v>2648</v>
      </c>
      <c r="X87" s="132" t="s">
        <v>3798</v>
      </c>
      <c r="Y87" s="132" t="s">
        <v>3798</v>
      </c>
      <c r="Z87" s="171"/>
      <c r="AA87" s="171"/>
      <c r="AB87" s="50"/>
      <c r="AC87" s="50"/>
      <c r="AD87" s="184"/>
      <c r="AE87" s="184"/>
      <c r="AF87" s="52"/>
      <c r="AG87" s="52"/>
      <c r="AH87" s="209"/>
      <c r="AI87" s="209"/>
      <c r="AJ87" s="54"/>
      <c r="AK87" s="54"/>
      <c r="AL87" s="180"/>
      <c r="AM87" s="180"/>
      <c r="AN87" s="48"/>
      <c r="AO87" s="48"/>
      <c r="AP87" s="171"/>
      <c r="AQ87" s="171"/>
      <c r="AR87" s="50"/>
      <c r="AS87" s="50"/>
      <c r="AT87" s="121"/>
      <c r="AU87" s="121"/>
    </row>
    <row r="88" spans="1:47">
      <c r="A88" s="139">
        <v>207</v>
      </c>
      <c r="B88" s="139">
        <v>3</v>
      </c>
      <c r="C88" s="139"/>
      <c r="D88" s="139"/>
      <c r="E88" s="151">
        <v>-999999.9</v>
      </c>
      <c r="F88" s="166">
        <v>-9.9999999999999995E-7</v>
      </c>
      <c r="G88" s="216">
        <v>170</v>
      </c>
      <c r="H88" s="132" t="s">
        <v>3799</v>
      </c>
      <c r="I88" s="132" t="s">
        <v>3799</v>
      </c>
      <c r="J88" s="174">
        <v>170</v>
      </c>
      <c r="K88" s="174">
        <v>550</v>
      </c>
      <c r="L88" s="135" t="s">
        <v>3800</v>
      </c>
      <c r="M88" s="135" t="s">
        <v>3800</v>
      </c>
      <c r="N88" s="187">
        <v>550</v>
      </c>
      <c r="O88" s="187">
        <v>1050</v>
      </c>
      <c r="P88" s="133" t="s">
        <v>3801</v>
      </c>
      <c r="Q88" s="133" t="s">
        <v>3801</v>
      </c>
      <c r="R88" s="194">
        <v>1050</v>
      </c>
      <c r="S88" s="194">
        <v>1600</v>
      </c>
      <c r="T88" s="134" t="s">
        <v>3802</v>
      </c>
      <c r="U88" s="134" t="s">
        <v>3802</v>
      </c>
      <c r="V88" s="182">
        <v>1600</v>
      </c>
      <c r="W88" s="182">
        <v>2648</v>
      </c>
      <c r="X88" s="132" t="s">
        <v>3803</v>
      </c>
      <c r="Y88" s="132" t="s">
        <v>3803</v>
      </c>
      <c r="Z88" s="171"/>
      <c r="AA88" s="171"/>
      <c r="AB88" s="50"/>
      <c r="AC88" s="50"/>
      <c r="AD88" s="184"/>
      <c r="AE88" s="184"/>
      <c r="AF88" s="52"/>
      <c r="AG88" s="52"/>
      <c r="AH88" s="191"/>
      <c r="AI88" s="191"/>
      <c r="AJ88" s="54"/>
      <c r="AK88" s="54"/>
      <c r="AL88" s="180"/>
      <c r="AM88" s="180"/>
      <c r="AN88" s="48"/>
      <c r="AO88" s="48"/>
      <c r="AP88" s="171"/>
      <c r="AQ88" s="171"/>
      <c r="AR88" s="50"/>
      <c r="AS88" s="50"/>
      <c r="AT88" s="121"/>
      <c r="AU88" s="121"/>
    </row>
    <row r="89" spans="1:47">
      <c r="A89" s="139">
        <v>208</v>
      </c>
      <c r="B89" s="139">
        <v>3</v>
      </c>
      <c r="C89" s="139"/>
      <c r="D89" s="139"/>
      <c r="E89" s="151">
        <v>-999999.9</v>
      </c>
      <c r="F89" s="166">
        <v>-9.9999999999999995E-7</v>
      </c>
      <c r="G89" s="216">
        <v>125</v>
      </c>
      <c r="H89" s="132" t="s">
        <v>3804</v>
      </c>
      <c r="I89" s="132" t="s">
        <v>3804</v>
      </c>
      <c r="J89" s="174">
        <v>125</v>
      </c>
      <c r="K89" s="174">
        <v>350</v>
      </c>
      <c r="L89" s="135" t="s">
        <v>3805</v>
      </c>
      <c r="M89" s="135" t="s">
        <v>3805</v>
      </c>
      <c r="N89" s="187">
        <v>350</v>
      </c>
      <c r="O89" s="187">
        <v>675</v>
      </c>
      <c r="P89" s="133" t="s">
        <v>3806</v>
      </c>
      <c r="Q89" s="133" t="s">
        <v>3806</v>
      </c>
      <c r="R89" s="194">
        <v>675</v>
      </c>
      <c r="S89" s="194">
        <v>1250</v>
      </c>
      <c r="T89" s="134" t="s">
        <v>3807</v>
      </c>
      <c r="U89" s="134" t="s">
        <v>3807</v>
      </c>
      <c r="V89" s="182">
        <v>1250</v>
      </c>
      <c r="W89" s="182">
        <v>2471</v>
      </c>
      <c r="X89" s="132" t="s">
        <v>3808</v>
      </c>
      <c r="Y89" s="132" t="s">
        <v>3808</v>
      </c>
      <c r="Z89" s="171"/>
      <c r="AA89" s="171"/>
      <c r="AB89" s="50"/>
      <c r="AC89" s="50"/>
      <c r="AD89" s="184"/>
      <c r="AE89" s="184"/>
      <c r="AF89" s="52"/>
      <c r="AG89" s="52"/>
      <c r="AH89" s="209"/>
      <c r="AI89" s="209"/>
      <c r="AJ89" s="54"/>
      <c r="AK89" s="54"/>
      <c r="AL89" s="180"/>
      <c r="AM89" s="180"/>
      <c r="AN89" s="48"/>
      <c r="AO89" s="48"/>
      <c r="AP89" s="171"/>
      <c r="AQ89" s="171"/>
      <c r="AR89" s="50"/>
      <c r="AS89" s="50"/>
      <c r="AT89" s="121"/>
      <c r="AU89" s="121"/>
    </row>
    <row r="90" spans="1:47">
      <c r="A90" s="15">
        <v>209</v>
      </c>
      <c r="B90" s="15">
        <v>3</v>
      </c>
      <c r="C90" s="15"/>
      <c r="D90" s="15"/>
      <c r="E90" s="151">
        <v>-999999.9</v>
      </c>
      <c r="F90" s="166">
        <v>-9.9999999999999995E-7</v>
      </c>
      <c r="G90" s="213">
        <v>4.7</v>
      </c>
      <c r="H90" s="48" t="s">
        <v>3809</v>
      </c>
      <c r="I90" s="48" t="s">
        <v>3809</v>
      </c>
      <c r="J90" s="171">
        <v>4.7</v>
      </c>
      <c r="K90" s="171">
        <v>6.4</v>
      </c>
      <c r="L90" s="50" t="s">
        <v>3810</v>
      </c>
      <c r="M90" s="50" t="s">
        <v>3810</v>
      </c>
      <c r="N90" s="184">
        <v>6.4</v>
      </c>
      <c r="O90" s="184">
        <v>8.1999999999999993</v>
      </c>
      <c r="P90" s="52" t="s">
        <v>3811</v>
      </c>
      <c r="Q90" s="52" t="s">
        <v>3811</v>
      </c>
      <c r="R90" s="191">
        <v>8.1999999999999993</v>
      </c>
      <c r="S90" s="191">
        <v>10.5</v>
      </c>
      <c r="T90" s="54" t="s">
        <v>3812</v>
      </c>
      <c r="U90" s="54" t="s">
        <v>3812</v>
      </c>
      <c r="V90" s="180">
        <v>10.5</v>
      </c>
      <c r="W90" s="180">
        <v>32</v>
      </c>
      <c r="X90" s="48" t="s">
        <v>3813</v>
      </c>
      <c r="Y90" s="48" t="s">
        <v>3813</v>
      </c>
      <c r="Z90" s="171"/>
      <c r="AA90" s="171"/>
      <c r="AB90" s="50"/>
      <c r="AC90" s="50"/>
      <c r="AD90" s="184"/>
      <c r="AE90" s="184"/>
      <c r="AF90" s="52"/>
      <c r="AG90" s="52"/>
      <c r="AH90" s="191"/>
      <c r="AI90" s="191"/>
      <c r="AJ90" s="54"/>
      <c r="AK90" s="54"/>
      <c r="AL90" s="180"/>
      <c r="AM90" s="180"/>
      <c r="AN90" s="48"/>
      <c r="AO90" s="48"/>
      <c r="AP90" s="171"/>
      <c r="AQ90" s="171"/>
      <c r="AR90" s="50"/>
      <c r="AS90" s="50"/>
      <c r="AT90" s="121"/>
      <c r="AU90" s="121"/>
    </row>
    <row r="91" spans="1:47">
      <c r="A91" s="15">
        <v>210</v>
      </c>
      <c r="B91" s="15">
        <v>3</v>
      </c>
      <c r="C91" s="15"/>
      <c r="D91" s="15"/>
      <c r="E91" s="151">
        <v>-999999.9</v>
      </c>
      <c r="F91" s="166">
        <v>-9.9999999999999995E-7</v>
      </c>
      <c r="G91" s="213">
        <v>5.5</v>
      </c>
      <c r="H91" s="48" t="s">
        <v>3814</v>
      </c>
      <c r="I91" s="48" t="s">
        <v>3814</v>
      </c>
      <c r="J91" s="171">
        <v>5.5</v>
      </c>
      <c r="K91" s="171">
        <v>9</v>
      </c>
      <c r="L91" s="50" t="s">
        <v>3815</v>
      </c>
      <c r="M91" s="50" t="s">
        <v>3815</v>
      </c>
      <c r="N91" s="184">
        <v>9</v>
      </c>
      <c r="O91" s="184">
        <v>12.7</v>
      </c>
      <c r="P91" s="52" t="s">
        <v>3816</v>
      </c>
      <c r="Q91" s="52" t="s">
        <v>3816</v>
      </c>
      <c r="R91" s="191">
        <v>12.7</v>
      </c>
      <c r="S91" s="191">
        <v>17.8</v>
      </c>
      <c r="T91" s="54" t="s">
        <v>3817</v>
      </c>
      <c r="U91" s="54" t="s">
        <v>3817</v>
      </c>
      <c r="V91" s="180">
        <v>17.8</v>
      </c>
      <c r="W91" s="180">
        <v>40.72</v>
      </c>
      <c r="X91" s="48" t="s">
        <v>3818</v>
      </c>
      <c r="Y91" s="48" t="s">
        <v>3818</v>
      </c>
      <c r="Z91" s="171"/>
      <c r="AA91" s="171"/>
      <c r="AB91" s="50"/>
      <c r="AC91" s="50"/>
      <c r="AD91" s="184"/>
      <c r="AE91" s="184"/>
      <c r="AF91" s="52"/>
      <c r="AG91" s="52"/>
      <c r="AH91" s="209"/>
      <c r="AI91" s="209"/>
      <c r="AJ91" s="54"/>
      <c r="AK91" s="54"/>
      <c r="AL91" s="180"/>
      <c r="AM91" s="180"/>
      <c r="AN91" s="48"/>
      <c r="AO91" s="48"/>
      <c r="AP91" s="171"/>
      <c r="AQ91" s="171"/>
      <c r="AR91" s="50"/>
      <c r="AS91" s="50"/>
      <c r="AT91" s="121"/>
      <c r="AU91" s="121"/>
    </row>
    <row r="92" spans="1:47">
      <c r="A92" s="15">
        <v>211</v>
      </c>
      <c r="B92" s="15">
        <v>3</v>
      </c>
      <c r="C92" s="15"/>
      <c r="D92" s="15"/>
      <c r="E92" s="151">
        <v>-999999.9</v>
      </c>
      <c r="F92" s="166">
        <v>-9.9999999999999995E-7</v>
      </c>
      <c r="G92" s="213">
        <v>100</v>
      </c>
      <c r="H92" s="48" t="s">
        <v>3819</v>
      </c>
      <c r="I92" s="48" t="s">
        <v>3819</v>
      </c>
      <c r="J92" s="171">
        <v>100</v>
      </c>
      <c r="K92" s="171">
        <v>120</v>
      </c>
      <c r="L92" s="50" t="s">
        <v>3820</v>
      </c>
      <c r="M92" s="50" t="s">
        <v>3820</v>
      </c>
      <c r="N92" s="184">
        <v>120</v>
      </c>
      <c r="O92" s="184">
        <v>140</v>
      </c>
      <c r="P92" s="52" t="s">
        <v>3821</v>
      </c>
      <c r="Q92" s="52" t="s">
        <v>3821</v>
      </c>
      <c r="R92" s="191">
        <v>140</v>
      </c>
      <c r="S92" s="191">
        <v>170</v>
      </c>
      <c r="T92" s="54" t="s">
        <v>3822</v>
      </c>
      <c r="U92" s="54" t="s">
        <v>3822</v>
      </c>
      <c r="V92" s="180">
        <v>170</v>
      </c>
      <c r="W92" s="180">
        <v>307</v>
      </c>
      <c r="X92" s="48" t="s">
        <v>3823</v>
      </c>
      <c r="Y92" s="48" t="s">
        <v>3823</v>
      </c>
      <c r="Z92" s="171"/>
      <c r="AA92" s="171"/>
      <c r="AB92" s="50"/>
      <c r="AC92" s="50"/>
      <c r="AD92" s="184"/>
      <c r="AE92" s="184"/>
      <c r="AF92" s="52"/>
      <c r="AG92" s="52"/>
      <c r="AH92" s="191"/>
      <c r="AI92" s="191"/>
      <c r="AJ92" s="54"/>
      <c r="AK92" s="54"/>
      <c r="AL92" s="180"/>
      <c r="AM92" s="180"/>
      <c r="AN92" s="48"/>
      <c r="AO92" s="48"/>
      <c r="AP92" s="171"/>
      <c r="AQ92" s="171"/>
      <c r="AR92" s="50"/>
      <c r="AS92" s="50"/>
      <c r="AT92" s="121"/>
      <c r="AU92" s="121"/>
    </row>
    <row r="93" spans="1:47">
      <c r="A93" s="15">
        <v>212</v>
      </c>
      <c r="B93" s="15">
        <v>3</v>
      </c>
      <c r="C93" s="15"/>
      <c r="D93" s="15"/>
      <c r="E93" s="151">
        <v>-999999.9</v>
      </c>
      <c r="F93" s="166">
        <v>-9.9999999999999995E-7</v>
      </c>
      <c r="G93" s="213">
        <v>90</v>
      </c>
      <c r="H93" s="48" t="s">
        <v>3824</v>
      </c>
      <c r="I93" s="48" t="s">
        <v>3824</v>
      </c>
      <c r="J93" s="171">
        <v>90</v>
      </c>
      <c r="K93" s="171">
        <v>120</v>
      </c>
      <c r="L93" s="50" t="s">
        <v>3825</v>
      </c>
      <c r="M93" s="50" t="s">
        <v>3825</v>
      </c>
      <c r="N93" s="184">
        <v>120</v>
      </c>
      <c r="O93" s="184">
        <v>160</v>
      </c>
      <c r="P93" s="52" t="s">
        <v>3826</v>
      </c>
      <c r="Q93" s="52" t="s">
        <v>3826</v>
      </c>
      <c r="R93" s="191">
        <v>160</v>
      </c>
      <c r="S93" s="191">
        <v>220</v>
      </c>
      <c r="T93" s="54" t="s">
        <v>3827</v>
      </c>
      <c r="U93" s="54" t="s">
        <v>3827</v>
      </c>
      <c r="V93" s="180">
        <v>220</v>
      </c>
      <c r="W93" s="180">
        <v>406</v>
      </c>
      <c r="X93" s="48" t="s">
        <v>3828</v>
      </c>
      <c r="Y93" s="48" t="s">
        <v>3828</v>
      </c>
      <c r="Z93" s="171"/>
      <c r="AA93" s="171"/>
      <c r="AB93" s="50"/>
      <c r="AC93" s="50"/>
      <c r="AD93" s="184"/>
      <c r="AE93" s="184"/>
      <c r="AF93" s="52"/>
      <c r="AG93" s="52"/>
      <c r="AH93" s="209"/>
      <c r="AI93" s="209"/>
      <c r="AJ93" s="54"/>
      <c r="AK93" s="54"/>
      <c r="AL93" s="180"/>
      <c r="AM93" s="180"/>
      <c r="AN93" s="48"/>
      <c r="AO93" s="48"/>
      <c r="AP93" s="171"/>
      <c r="AQ93" s="171"/>
      <c r="AR93" s="50"/>
      <c r="AS93" s="50"/>
      <c r="AT93" s="121"/>
      <c r="AU93" s="121"/>
    </row>
    <row r="94" spans="1:47">
      <c r="A94" s="121">
        <v>213</v>
      </c>
      <c r="B94" s="121">
        <v>3</v>
      </c>
      <c r="C94" s="121"/>
      <c r="D94" s="121"/>
      <c r="E94" s="151">
        <v>-999999.9</v>
      </c>
      <c r="F94" s="166">
        <v>-9.9999999999999995E-7</v>
      </c>
      <c r="G94" s="215">
        <v>1.2</v>
      </c>
      <c r="H94" s="122" t="s">
        <v>3829</v>
      </c>
      <c r="I94" s="122" t="s">
        <v>3829</v>
      </c>
      <c r="J94" s="173">
        <v>1.2</v>
      </c>
      <c r="K94" s="173">
        <v>2.5</v>
      </c>
      <c r="L94" s="123" t="s">
        <v>3830</v>
      </c>
      <c r="M94" s="123" t="s">
        <v>3830</v>
      </c>
      <c r="N94" s="186">
        <v>2.5</v>
      </c>
      <c r="O94" s="186">
        <v>4.2</v>
      </c>
      <c r="P94" s="124" t="s">
        <v>3831</v>
      </c>
      <c r="Q94" s="124" t="s">
        <v>3831</v>
      </c>
      <c r="R94" s="193">
        <v>4.2</v>
      </c>
      <c r="S94" s="193">
        <v>6.2</v>
      </c>
      <c r="T94" s="126" t="s">
        <v>3832</v>
      </c>
      <c r="U94" s="126" t="s">
        <v>3832</v>
      </c>
      <c r="V94" s="165">
        <v>6.2</v>
      </c>
      <c r="W94" s="165">
        <v>11.1</v>
      </c>
      <c r="X94" s="122" t="s">
        <v>3833</v>
      </c>
      <c r="Y94" s="122" t="s">
        <v>3833</v>
      </c>
      <c r="Z94" s="173"/>
      <c r="AA94" s="171"/>
      <c r="AB94" s="123"/>
      <c r="AC94" s="123"/>
      <c r="AD94" s="186"/>
      <c r="AE94" s="186"/>
      <c r="AF94" s="124"/>
      <c r="AG94" s="124"/>
      <c r="AH94" s="191"/>
      <c r="AI94" s="191"/>
      <c r="AJ94" s="126"/>
      <c r="AK94" s="126"/>
      <c r="AL94" s="180"/>
      <c r="AM94" s="180"/>
      <c r="AN94" s="127"/>
      <c r="AO94" s="127"/>
      <c r="AP94" s="171"/>
      <c r="AQ94" s="171"/>
      <c r="AR94" s="128"/>
      <c r="AS94" s="128"/>
      <c r="AT94" s="121"/>
      <c r="AU94" s="121"/>
    </row>
    <row r="95" spans="1:47">
      <c r="A95" s="121">
        <v>214</v>
      </c>
      <c r="B95" s="121">
        <v>3</v>
      </c>
      <c r="C95" s="121"/>
      <c r="D95" s="121"/>
      <c r="E95" s="151">
        <v>-999999.9</v>
      </c>
      <c r="F95" s="166">
        <v>-9.9999999999999995E-7</v>
      </c>
      <c r="G95" s="215">
        <v>0.08</v>
      </c>
      <c r="H95" s="122" t="s">
        <v>3834</v>
      </c>
      <c r="I95" s="122" t="s">
        <v>3834</v>
      </c>
      <c r="J95" s="173">
        <v>0.08</v>
      </c>
      <c r="K95" s="173">
        <v>0.14000000000000001</v>
      </c>
      <c r="L95" s="123" t="s">
        <v>3835</v>
      </c>
      <c r="M95" s="123" t="s">
        <v>3835</v>
      </c>
      <c r="N95" s="186">
        <v>0.14000000000000001</v>
      </c>
      <c r="O95" s="186">
        <v>0.22</v>
      </c>
      <c r="P95" s="124" t="s">
        <v>3836</v>
      </c>
      <c r="Q95" s="124" t="s">
        <v>3836</v>
      </c>
      <c r="R95" s="193">
        <v>0.22</v>
      </c>
      <c r="S95" s="193">
        <v>0.31</v>
      </c>
      <c r="T95" s="126" t="s">
        <v>3837</v>
      </c>
      <c r="U95" s="126" t="s">
        <v>3837</v>
      </c>
      <c r="V95" s="165">
        <v>0.31</v>
      </c>
      <c r="W95" s="165">
        <v>0.61</v>
      </c>
      <c r="X95" s="122" t="s">
        <v>3838</v>
      </c>
      <c r="Y95" s="122" t="s">
        <v>3838</v>
      </c>
      <c r="Z95" s="173"/>
      <c r="AA95" s="173"/>
      <c r="AB95" s="123"/>
      <c r="AC95" s="123"/>
      <c r="AD95" s="186"/>
      <c r="AE95" s="186"/>
      <c r="AF95" s="124"/>
      <c r="AG95" s="124"/>
      <c r="AH95" s="209"/>
      <c r="AI95" s="209"/>
      <c r="AJ95" s="126"/>
      <c r="AK95" s="126"/>
      <c r="AL95" s="180"/>
      <c r="AM95" s="180"/>
      <c r="AN95" s="127"/>
      <c r="AO95" s="127"/>
      <c r="AP95" s="171"/>
      <c r="AQ95" s="171"/>
      <c r="AR95" s="128"/>
      <c r="AS95" s="128"/>
      <c r="AT95" s="121"/>
      <c r="AU95" s="121"/>
    </row>
    <row r="96" spans="1:47">
      <c r="A96" s="121">
        <v>215</v>
      </c>
      <c r="B96" s="121">
        <v>3</v>
      </c>
      <c r="C96" s="121"/>
      <c r="D96" s="121"/>
      <c r="E96" s="151">
        <v>-999999.9</v>
      </c>
      <c r="F96" s="166">
        <v>-9.9999999999999995E-7</v>
      </c>
      <c r="G96" s="215">
        <v>0.06</v>
      </c>
      <c r="H96" s="122" t="s">
        <v>3839</v>
      </c>
      <c r="I96" s="122" t="s">
        <v>3839</v>
      </c>
      <c r="J96" s="173">
        <v>0.06</v>
      </c>
      <c r="K96" s="173">
        <v>0.11</v>
      </c>
      <c r="L96" s="123" t="s">
        <v>3840</v>
      </c>
      <c r="M96" s="123" t="s">
        <v>3840</v>
      </c>
      <c r="N96" s="186">
        <v>0.11</v>
      </c>
      <c r="O96" s="186">
        <v>0.17</v>
      </c>
      <c r="P96" s="124" t="s">
        <v>3841</v>
      </c>
      <c r="Q96" s="124" t="s">
        <v>3841</v>
      </c>
      <c r="R96" s="193">
        <v>0.17</v>
      </c>
      <c r="S96" s="193">
        <v>0.25</v>
      </c>
      <c r="T96" s="126" t="s">
        <v>3842</v>
      </c>
      <c r="U96" s="126" t="s">
        <v>3842</v>
      </c>
      <c r="V96" s="165">
        <v>0.25</v>
      </c>
      <c r="W96" s="165">
        <v>0.54</v>
      </c>
      <c r="X96" s="122" t="s">
        <v>3843</v>
      </c>
      <c r="Y96" s="122" t="s">
        <v>3843</v>
      </c>
      <c r="Z96" s="173"/>
      <c r="AA96" s="173"/>
      <c r="AB96" s="123"/>
      <c r="AC96" s="123"/>
      <c r="AD96" s="186"/>
      <c r="AE96" s="186"/>
      <c r="AF96" s="124"/>
      <c r="AG96" s="124"/>
      <c r="AH96" s="191"/>
      <c r="AI96" s="191"/>
      <c r="AJ96" s="126"/>
      <c r="AK96" s="126"/>
      <c r="AL96" s="180"/>
      <c r="AM96" s="180"/>
      <c r="AN96" s="127"/>
      <c r="AO96" s="127"/>
      <c r="AP96" s="171"/>
      <c r="AQ96" s="171"/>
      <c r="AR96" s="128"/>
      <c r="AS96" s="128"/>
      <c r="AT96" s="121"/>
      <c r="AU96" s="121"/>
    </row>
    <row r="97" spans="1:47">
      <c r="A97" s="121">
        <v>216</v>
      </c>
      <c r="B97" s="121">
        <v>3</v>
      </c>
      <c r="C97" s="121"/>
      <c r="D97" s="121"/>
      <c r="E97" s="151">
        <v>-999999.9</v>
      </c>
      <c r="F97" s="166">
        <v>-9.9999999999999995E-7</v>
      </c>
      <c r="G97" s="215">
        <v>0.1</v>
      </c>
      <c r="H97" s="122" t="s">
        <v>3844</v>
      </c>
      <c r="I97" s="122" t="s">
        <v>3844</v>
      </c>
      <c r="J97" s="173">
        <v>0.1</v>
      </c>
      <c r="K97" s="173">
        <v>0.19</v>
      </c>
      <c r="L97" s="123" t="s">
        <v>3845</v>
      </c>
      <c r="M97" s="123" t="s">
        <v>3845</v>
      </c>
      <c r="N97" s="186">
        <v>0.19</v>
      </c>
      <c r="O97" s="186">
        <v>0.3</v>
      </c>
      <c r="P97" s="124" t="s">
        <v>3846</v>
      </c>
      <c r="Q97" s="124" t="s">
        <v>3846</v>
      </c>
      <c r="R97" s="193">
        <v>0.3</v>
      </c>
      <c r="S97" s="193">
        <v>0.45</v>
      </c>
      <c r="T97" s="126" t="s">
        <v>3847</v>
      </c>
      <c r="U97" s="126" t="s">
        <v>3847</v>
      </c>
      <c r="V97" s="165">
        <v>0.45</v>
      </c>
      <c r="W97" s="165">
        <v>0.99</v>
      </c>
      <c r="X97" s="122" t="s">
        <v>3848</v>
      </c>
      <c r="Y97" s="122" t="s">
        <v>3848</v>
      </c>
      <c r="Z97" s="173"/>
      <c r="AA97" s="173"/>
      <c r="AB97" s="123"/>
      <c r="AC97" s="123"/>
      <c r="AD97" s="186"/>
      <c r="AE97" s="186"/>
      <c r="AF97" s="124"/>
      <c r="AG97" s="124"/>
      <c r="AH97" s="209"/>
      <c r="AI97" s="209"/>
      <c r="AJ97" s="126"/>
      <c r="AK97" s="126"/>
      <c r="AL97" s="180"/>
      <c r="AM97" s="180"/>
      <c r="AN97" s="127"/>
      <c r="AO97" s="127"/>
      <c r="AP97" s="171"/>
      <c r="AQ97" s="171"/>
      <c r="AR97" s="128"/>
      <c r="AS97" s="128"/>
      <c r="AT97" s="121"/>
      <c r="AU97" s="121"/>
    </row>
    <row r="98" spans="1:47">
      <c r="A98" s="121">
        <v>217</v>
      </c>
      <c r="B98" s="121">
        <v>3</v>
      </c>
      <c r="C98" s="121"/>
      <c r="D98" s="121"/>
      <c r="E98" s="151">
        <v>-999999.9</v>
      </c>
      <c r="F98" s="166">
        <v>-9.9999999999999995E-7</v>
      </c>
      <c r="G98" s="215">
        <v>11</v>
      </c>
      <c r="H98" s="122" t="s">
        <v>3849</v>
      </c>
      <c r="I98" s="122" t="s">
        <v>3849</v>
      </c>
      <c r="J98" s="173">
        <v>11</v>
      </c>
      <c r="K98" s="173">
        <v>19</v>
      </c>
      <c r="L98" s="123" t="s">
        <v>3850</v>
      </c>
      <c r="M98" s="123" t="s">
        <v>3850</v>
      </c>
      <c r="N98" s="186">
        <v>19</v>
      </c>
      <c r="O98" s="186">
        <v>31</v>
      </c>
      <c r="P98" s="124" t="s">
        <v>3851</v>
      </c>
      <c r="Q98" s="124" t="s">
        <v>3851</v>
      </c>
      <c r="R98" s="193">
        <v>31</v>
      </c>
      <c r="S98" s="193">
        <v>47</v>
      </c>
      <c r="T98" s="126" t="s">
        <v>3852</v>
      </c>
      <c r="U98" s="126" t="s">
        <v>3852</v>
      </c>
      <c r="V98" s="165">
        <v>47</v>
      </c>
      <c r="W98" s="165">
        <v>90.3</v>
      </c>
      <c r="X98" s="122" t="s">
        <v>3853</v>
      </c>
      <c r="Y98" s="122" t="s">
        <v>3853</v>
      </c>
      <c r="Z98" s="173"/>
      <c r="AA98" s="173"/>
      <c r="AB98" s="123"/>
      <c r="AC98" s="123"/>
      <c r="AD98" s="186"/>
      <c r="AE98" s="186"/>
      <c r="AF98" s="124"/>
      <c r="AG98" s="124"/>
      <c r="AH98" s="191"/>
      <c r="AI98" s="191"/>
      <c r="AJ98" s="126"/>
      <c r="AK98" s="126"/>
      <c r="AL98" s="180"/>
      <c r="AM98" s="180"/>
      <c r="AN98" s="127"/>
      <c r="AO98" s="127"/>
      <c r="AP98" s="171"/>
      <c r="AQ98" s="171"/>
      <c r="AR98" s="128"/>
      <c r="AS98" s="128"/>
      <c r="AT98" s="121"/>
      <c r="AU98" s="121"/>
    </row>
    <row r="99" spans="1:47">
      <c r="A99" s="121">
        <v>218</v>
      </c>
      <c r="B99" s="121">
        <v>3</v>
      </c>
      <c r="C99" s="121"/>
      <c r="D99" s="121"/>
      <c r="E99" s="151">
        <v>-999999.9</v>
      </c>
      <c r="F99" s="166">
        <v>-9.9999999999999995E-7</v>
      </c>
      <c r="G99" s="215">
        <v>9</v>
      </c>
      <c r="H99" s="122" t="s">
        <v>3854</v>
      </c>
      <c r="I99" s="122" t="s">
        <v>3854</v>
      </c>
      <c r="J99" s="173">
        <v>9</v>
      </c>
      <c r="K99" s="173">
        <v>20</v>
      </c>
      <c r="L99" s="123" t="s">
        <v>3855</v>
      </c>
      <c r="M99" s="123" t="s">
        <v>3855</v>
      </c>
      <c r="N99" s="186">
        <v>20</v>
      </c>
      <c r="O99" s="186">
        <v>35</v>
      </c>
      <c r="P99" s="124" t="s">
        <v>3856</v>
      </c>
      <c r="Q99" s="124" t="s">
        <v>3856</v>
      </c>
      <c r="R99" s="193">
        <v>35</v>
      </c>
      <c r="S99" s="193">
        <v>53</v>
      </c>
      <c r="T99" s="126" t="s">
        <v>3857</v>
      </c>
      <c r="U99" s="126" t="s">
        <v>3857</v>
      </c>
      <c r="V99" s="165">
        <v>53</v>
      </c>
      <c r="W99" s="165">
        <v>93</v>
      </c>
      <c r="X99" s="122" t="s">
        <v>3858</v>
      </c>
      <c r="Y99" s="122" t="s">
        <v>3858</v>
      </c>
      <c r="Z99" s="173"/>
      <c r="AA99" s="173"/>
      <c r="AB99" s="123"/>
      <c r="AC99" s="123"/>
      <c r="AD99" s="186"/>
      <c r="AE99" s="186"/>
      <c r="AF99" s="124"/>
      <c r="AG99" s="124"/>
      <c r="AH99" s="209"/>
      <c r="AI99" s="209"/>
      <c r="AJ99" s="126"/>
      <c r="AK99" s="126"/>
      <c r="AL99" s="180"/>
      <c r="AM99" s="180"/>
      <c r="AN99" s="127"/>
      <c r="AO99" s="127"/>
      <c r="AP99" s="171"/>
      <c r="AQ99" s="171"/>
      <c r="AR99" s="128"/>
      <c r="AS99" s="128"/>
      <c r="AT99" s="121"/>
      <c r="AU99" s="121"/>
    </row>
    <row r="100" spans="1:47">
      <c r="A100" s="121">
        <v>219</v>
      </c>
      <c r="B100" s="121">
        <v>3</v>
      </c>
      <c r="C100" s="121"/>
      <c r="D100" s="121"/>
      <c r="E100" s="151">
        <v>-999999.9</v>
      </c>
      <c r="F100" s="166">
        <v>-9.9999999999999995E-7</v>
      </c>
      <c r="G100" s="215">
        <v>2</v>
      </c>
      <c r="H100" s="122" t="s">
        <v>3706</v>
      </c>
      <c r="I100" s="122" t="s">
        <v>3706</v>
      </c>
      <c r="J100" s="173">
        <v>2</v>
      </c>
      <c r="K100" s="173">
        <v>6</v>
      </c>
      <c r="L100" s="123" t="s">
        <v>3859</v>
      </c>
      <c r="M100" s="123" t="s">
        <v>3859</v>
      </c>
      <c r="N100" s="186">
        <v>6</v>
      </c>
      <c r="O100" s="186">
        <v>11</v>
      </c>
      <c r="P100" s="124" t="s">
        <v>3860</v>
      </c>
      <c r="Q100" s="124" t="s">
        <v>3860</v>
      </c>
      <c r="R100" s="193">
        <v>11</v>
      </c>
      <c r="S100" s="193">
        <v>20</v>
      </c>
      <c r="T100" s="126" t="s">
        <v>3861</v>
      </c>
      <c r="U100" s="126" t="s">
        <v>3861</v>
      </c>
      <c r="V100" s="165">
        <v>20</v>
      </c>
      <c r="W100" s="165">
        <v>51</v>
      </c>
      <c r="X100" s="122" t="s">
        <v>3862</v>
      </c>
      <c r="Y100" s="122" t="s">
        <v>3862</v>
      </c>
      <c r="Z100" s="173"/>
      <c r="AA100" s="173"/>
      <c r="AB100" s="123"/>
      <c r="AC100" s="123"/>
      <c r="AD100" s="186"/>
      <c r="AE100" s="186"/>
      <c r="AF100" s="124"/>
      <c r="AG100" s="124"/>
      <c r="AH100" s="191"/>
      <c r="AI100" s="191"/>
      <c r="AJ100" s="126"/>
      <c r="AK100" s="126"/>
      <c r="AL100" s="180"/>
      <c r="AM100" s="180"/>
      <c r="AN100" s="127"/>
      <c r="AO100" s="127"/>
      <c r="AP100" s="171"/>
      <c r="AQ100" s="171"/>
      <c r="AR100" s="128"/>
      <c r="AS100" s="128"/>
      <c r="AT100" s="121"/>
      <c r="AU100" s="121"/>
    </row>
    <row r="101" spans="1:47">
      <c r="A101" s="121">
        <v>220</v>
      </c>
      <c r="B101" s="121">
        <v>3</v>
      </c>
      <c r="C101" s="121"/>
      <c r="D101" s="121"/>
      <c r="E101" s="151">
        <v>-999999.9</v>
      </c>
      <c r="F101" s="166">
        <v>-9.9999999999999995E-7</v>
      </c>
      <c r="G101" s="215">
        <v>4</v>
      </c>
      <c r="H101" s="122" t="s">
        <v>3863</v>
      </c>
      <c r="I101" s="122" t="s">
        <v>3863</v>
      </c>
      <c r="J101" s="173">
        <v>4</v>
      </c>
      <c r="K101" s="173">
        <v>14</v>
      </c>
      <c r="L101" s="123" t="s">
        <v>3864</v>
      </c>
      <c r="M101" s="123" t="s">
        <v>3864</v>
      </c>
      <c r="N101" s="186">
        <v>14</v>
      </c>
      <c r="O101" s="186">
        <v>28</v>
      </c>
      <c r="P101" s="124" t="s">
        <v>3865</v>
      </c>
      <c r="Q101" s="124" t="s">
        <v>3865</v>
      </c>
      <c r="R101" s="193">
        <v>28</v>
      </c>
      <c r="S101" s="193">
        <v>52</v>
      </c>
      <c r="T101" s="126" t="s">
        <v>3866</v>
      </c>
      <c r="U101" s="126" t="s">
        <v>3866</v>
      </c>
      <c r="V101" s="165">
        <v>52</v>
      </c>
      <c r="W101" s="165">
        <v>100</v>
      </c>
      <c r="X101" s="122" t="s">
        <v>3867</v>
      </c>
      <c r="Y101" s="122" t="s">
        <v>3867</v>
      </c>
      <c r="Z101" s="173"/>
      <c r="AA101" s="173"/>
      <c r="AB101" s="123"/>
      <c r="AC101" s="123"/>
      <c r="AD101" s="186"/>
      <c r="AE101" s="186"/>
      <c r="AF101" s="124"/>
      <c r="AG101" s="124"/>
      <c r="AH101" s="209"/>
      <c r="AI101" s="209"/>
      <c r="AJ101" s="126"/>
      <c r="AK101" s="126"/>
      <c r="AL101" s="180"/>
      <c r="AM101" s="180"/>
      <c r="AN101" s="127"/>
      <c r="AO101" s="127"/>
      <c r="AP101" s="171"/>
      <c r="AQ101" s="171"/>
      <c r="AR101" s="128"/>
      <c r="AS101" s="128"/>
      <c r="AT101" s="121"/>
      <c r="AU101" s="121"/>
    </row>
    <row r="102" spans="1:47">
      <c r="A102" s="121">
        <v>221</v>
      </c>
      <c r="B102" s="121">
        <v>3</v>
      </c>
      <c r="C102" s="121"/>
      <c r="D102" s="121"/>
      <c r="E102" s="151">
        <v>-999999.9</v>
      </c>
      <c r="F102" s="166">
        <v>-9.9999999999999995E-7</v>
      </c>
      <c r="G102" s="215">
        <v>14</v>
      </c>
      <c r="H102" s="122" t="s">
        <v>3868</v>
      </c>
      <c r="I102" s="122" t="s">
        <v>3868</v>
      </c>
      <c r="J102" s="173">
        <v>14</v>
      </c>
      <c r="K102" s="173">
        <v>37</v>
      </c>
      <c r="L102" s="123" t="s">
        <v>3869</v>
      </c>
      <c r="M102" s="123" t="s">
        <v>3869</v>
      </c>
      <c r="N102" s="186">
        <v>37</v>
      </c>
      <c r="O102" s="186">
        <v>63</v>
      </c>
      <c r="P102" s="124" t="s">
        <v>3870</v>
      </c>
      <c r="Q102" s="124" t="s">
        <v>3870</v>
      </c>
      <c r="R102" s="193">
        <v>63</v>
      </c>
      <c r="S102" s="193">
        <v>86</v>
      </c>
      <c r="T102" s="126" t="s">
        <v>3871</v>
      </c>
      <c r="U102" s="126" t="s">
        <v>3871</v>
      </c>
      <c r="V102" s="165">
        <v>86</v>
      </c>
      <c r="W102" s="165">
        <v>100</v>
      </c>
      <c r="X102" s="122" t="s">
        <v>3872</v>
      </c>
      <c r="Y102" s="122" t="s">
        <v>3872</v>
      </c>
      <c r="Z102" s="173"/>
      <c r="AA102" s="173"/>
      <c r="AB102" s="123"/>
      <c r="AC102" s="123"/>
      <c r="AD102" s="186"/>
      <c r="AE102" s="186"/>
      <c r="AF102" s="124"/>
      <c r="AG102" s="124"/>
      <c r="AH102" s="191"/>
      <c r="AI102" s="191"/>
      <c r="AJ102" s="126"/>
      <c r="AK102" s="126"/>
      <c r="AL102" s="180"/>
      <c r="AM102" s="180"/>
      <c r="AN102" s="127"/>
      <c r="AO102" s="127"/>
      <c r="AP102" s="171"/>
      <c r="AQ102" s="171"/>
      <c r="AR102" s="128"/>
      <c r="AS102" s="128"/>
      <c r="AT102" s="121"/>
      <c r="AU102" s="121"/>
    </row>
    <row r="103" spans="1:47">
      <c r="A103" s="121">
        <v>222</v>
      </c>
      <c r="B103" s="121">
        <v>3</v>
      </c>
      <c r="C103" s="121"/>
      <c r="D103" s="121"/>
      <c r="E103" s="151">
        <v>-999999.9</v>
      </c>
      <c r="F103" s="166">
        <v>-9.9999999999999995E-7</v>
      </c>
      <c r="G103" s="215">
        <v>0.08</v>
      </c>
      <c r="H103" s="122" t="s">
        <v>3873</v>
      </c>
      <c r="I103" s="122" t="s">
        <v>3873</v>
      </c>
      <c r="J103" s="173">
        <v>0.08</v>
      </c>
      <c r="K103" s="173">
        <v>0.11</v>
      </c>
      <c r="L103" s="123" t="s">
        <v>3874</v>
      </c>
      <c r="M103" s="123" t="s">
        <v>3874</v>
      </c>
      <c r="N103" s="186">
        <v>0.11</v>
      </c>
      <c r="O103" s="186">
        <v>0.15</v>
      </c>
      <c r="P103" s="124" t="s">
        <v>3875</v>
      </c>
      <c r="Q103" s="124" t="s">
        <v>3875</v>
      </c>
      <c r="R103" s="193">
        <v>0.15</v>
      </c>
      <c r="S103" s="193">
        <v>0.21</v>
      </c>
      <c r="T103" s="126" t="s">
        <v>3876</v>
      </c>
      <c r="U103" s="126" t="s">
        <v>3876</v>
      </c>
      <c r="V103" s="165">
        <v>0.21</v>
      </c>
      <c r="W103" s="165">
        <v>0.55000000000000004</v>
      </c>
      <c r="X103" s="122" t="s">
        <v>3877</v>
      </c>
      <c r="Y103" s="122" t="s">
        <v>3877</v>
      </c>
      <c r="Z103" s="173"/>
      <c r="AA103" s="173"/>
      <c r="AB103" s="123"/>
      <c r="AC103" s="123"/>
      <c r="AD103" s="186"/>
      <c r="AE103" s="186"/>
      <c r="AF103" s="124"/>
      <c r="AG103" s="124"/>
      <c r="AH103" s="209"/>
      <c r="AI103" s="209"/>
      <c r="AJ103" s="126"/>
      <c r="AK103" s="126"/>
      <c r="AL103" s="180"/>
      <c r="AM103" s="180"/>
      <c r="AN103" s="127"/>
      <c r="AO103" s="127"/>
      <c r="AP103" s="171"/>
      <c r="AQ103" s="171"/>
      <c r="AR103" s="128"/>
      <c r="AS103" s="128"/>
      <c r="AT103" s="121"/>
      <c r="AU103" s="121"/>
    </row>
    <row r="104" spans="1:47">
      <c r="A104" s="121">
        <v>223</v>
      </c>
      <c r="B104" s="121">
        <v>3</v>
      </c>
      <c r="C104" s="121"/>
      <c r="D104" s="121"/>
      <c r="E104" s="151">
        <v>-999999.9</v>
      </c>
      <c r="F104" s="166">
        <v>-9.9999999999999995E-7</v>
      </c>
      <c r="G104" s="215">
        <v>20</v>
      </c>
      <c r="H104" s="122" t="s">
        <v>3878</v>
      </c>
      <c r="I104" s="122" t="s">
        <v>3878</v>
      </c>
      <c r="J104" s="173">
        <v>20</v>
      </c>
      <c r="K104" s="173">
        <v>50</v>
      </c>
      <c r="L104" s="123" t="s">
        <v>3879</v>
      </c>
      <c r="M104" s="123" t="s">
        <v>3879</v>
      </c>
      <c r="N104" s="186">
        <v>50</v>
      </c>
      <c r="O104" s="186">
        <v>75</v>
      </c>
      <c r="P104" s="124" t="s">
        <v>3880</v>
      </c>
      <c r="Q104" s="124" t="s">
        <v>3880</v>
      </c>
      <c r="R104" s="193">
        <v>75</v>
      </c>
      <c r="S104" s="193">
        <v>90</v>
      </c>
      <c r="T104" s="126" t="s">
        <v>3881</v>
      </c>
      <c r="U104" s="126" t="s">
        <v>3881</v>
      </c>
      <c r="V104" s="165">
        <v>90</v>
      </c>
      <c r="W104" s="165">
        <v>100</v>
      </c>
      <c r="X104" s="122" t="s">
        <v>3882</v>
      </c>
      <c r="Y104" s="122" t="s">
        <v>3882</v>
      </c>
      <c r="Z104" s="173"/>
      <c r="AA104" s="173"/>
      <c r="AB104" s="123"/>
      <c r="AC104" s="123"/>
      <c r="AD104" s="186"/>
      <c r="AE104" s="186"/>
      <c r="AF104" s="124"/>
      <c r="AG104" s="124"/>
      <c r="AH104" s="191"/>
      <c r="AI104" s="191"/>
      <c r="AJ104" s="126"/>
      <c r="AK104" s="126"/>
      <c r="AL104" s="180"/>
      <c r="AM104" s="180"/>
      <c r="AN104" s="127"/>
      <c r="AO104" s="127"/>
      <c r="AP104" s="171"/>
      <c r="AQ104" s="171"/>
      <c r="AR104" s="128"/>
      <c r="AS104" s="128"/>
      <c r="AT104" s="121"/>
      <c r="AU104" s="121"/>
    </row>
    <row r="105" spans="1:47" s="73" customFormat="1">
      <c r="A105" s="15">
        <v>224</v>
      </c>
      <c r="B105" s="15">
        <v>3</v>
      </c>
      <c r="C105" s="15"/>
      <c r="D105" s="15"/>
      <c r="E105" s="151">
        <v>-999999.9</v>
      </c>
      <c r="F105" s="166">
        <v>-9.9999999999999995E-7</v>
      </c>
      <c r="G105" s="213">
        <v>7</v>
      </c>
      <c r="H105" s="48" t="s">
        <v>3883</v>
      </c>
      <c r="I105" s="48" t="s">
        <v>3883</v>
      </c>
      <c r="J105" s="171">
        <v>7</v>
      </c>
      <c r="K105" s="171">
        <v>11</v>
      </c>
      <c r="L105" s="50" t="s">
        <v>3884</v>
      </c>
      <c r="M105" s="50" t="s">
        <v>3884</v>
      </c>
      <c r="N105" s="184">
        <v>11</v>
      </c>
      <c r="O105" s="184">
        <v>15</v>
      </c>
      <c r="P105" s="52" t="s">
        <v>3885</v>
      </c>
      <c r="Q105" s="52" t="s">
        <v>3885</v>
      </c>
      <c r="R105" s="191">
        <v>15</v>
      </c>
      <c r="S105" s="191">
        <v>21</v>
      </c>
      <c r="T105" s="54" t="s">
        <v>3886</v>
      </c>
      <c r="U105" s="54" t="s">
        <v>3886</v>
      </c>
      <c r="V105" s="180">
        <v>21</v>
      </c>
      <c r="W105" s="180">
        <v>48</v>
      </c>
      <c r="X105" s="48" t="s">
        <v>3887</v>
      </c>
      <c r="Y105" s="48" t="s">
        <v>3887</v>
      </c>
      <c r="Z105" s="171"/>
      <c r="AA105" s="171"/>
      <c r="AB105" s="50"/>
      <c r="AC105" s="50"/>
      <c r="AD105" s="184"/>
      <c r="AE105" s="184"/>
      <c r="AF105" s="52"/>
      <c r="AG105" s="52"/>
      <c r="AH105" s="209"/>
      <c r="AI105" s="209"/>
      <c r="AJ105" s="54"/>
      <c r="AK105" s="54"/>
      <c r="AL105" s="180"/>
      <c r="AM105" s="180"/>
      <c r="AN105" s="48"/>
      <c r="AO105" s="48"/>
      <c r="AP105" s="171"/>
      <c r="AQ105" s="171"/>
      <c r="AR105" s="50"/>
      <c r="AS105" s="50"/>
    </row>
    <row r="106" spans="1:47">
      <c r="A106" s="121">
        <v>225</v>
      </c>
      <c r="B106" s="121">
        <v>3</v>
      </c>
      <c r="C106" s="121"/>
      <c r="D106" s="121"/>
      <c r="E106" s="151">
        <v>-999999.9</v>
      </c>
      <c r="F106" s="166">
        <v>-9.9999999999999995E-7</v>
      </c>
      <c r="G106" s="215">
        <v>87</v>
      </c>
      <c r="H106" s="122" t="s">
        <v>3888</v>
      </c>
      <c r="I106" s="122" t="s">
        <v>3888</v>
      </c>
      <c r="J106" s="173">
        <v>87</v>
      </c>
      <c r="K106" s="173">
        <v>90</v>
      </c>
      <c r="L106" s="123" t="s">
        <v>3889</v>
      </c>
      <c r="M106" s="123" t="s">
        <v>3889</v>
      </c>
      <c r="N106" s="186">
        <v>90</v>
      </c>
      <c r="O106" s="186">
        <v>92</v>
      </c>
      <c r="P106" s="124" t="s">
        <v>3890</v>
      </c>
      <c r="Q106" s="124" t="s">
        <v>3890</v>
      </c>
      <c r="R106" s="193">
        <v>92</v>
      </c>
      <c r="S106" s="193">
        <v>94</v>
      </c>
      <c r="T106" s="126" t="s">
        <v>3891</v>
      </c>
      <c r="U106" s="126" t="s">
        <v>3891</v>
      </c>
      <c r="V106" s="165">
        <v>94</v>
      </c>
      <c r="W106" s="165">
        <v>100</v>
      </c>
      <c r="X106" s="122" t="s">
        <v>3892</v>
      </c>
      <c r="Y106" s="122" t="s">
        <v>3892</v>
      </c>
      <c r="Z106" s="173"/>
      <c r="AA106" s="173"/>
      <c r="AB106" s="123"/>
      <c r="AC106" s="123"/>
      <c r="AD106" s="186"/>
      <c r="AE106" s="186"/>
      <c r="AF106" s="124"/>
      <c r="AG106" s="124"/>
      <c r="AH106" s="191"/>
      <c r="AI106" s="191"/>
      <c r="AJ106" s="126"/>
      <c r="AK106" s="126"/>
      <c r="AL106" s="180"/>
      <c r="AM106" s="180"/>
      <c r="AN106" s="127"/>
      <c r="AO106" s="127"/>
      <c r="AP106" s="171"/>
      <c r="AQ106" s="171"/>
      <c r="AR106" s="128"/>
      <c r="AS106" s="128"/>
      <c r="AT106" s="121"/>
      <c r="AU106" s="121"/>
    </row>
    <row r="107" spans="1:47">
      <c r="A107" s="121">
        <v>226</v>
      </c>
      <c r="B107" s="121">
        <v>3</v>
      </c>
      <c r="C107" s="121"/>
      <c r="D107" s="121"/>
      <c r="E107" s="151">
        <v>-999999.9</v>
      </c>
      <c r="F107" s="166">
        <v>-9.9999999999999995E-7</v>
      </c>
      <c r="G107" s="215">
        <v>15</v>
      </c>
      <c r="H107" s="122" t="s">
        <v>3893</v>
      </c>
      <c r="I107" s="122" t="s">
        <v>3893</v>
      </c>
      <c r="J107" s="173">
        <v>15</v>
      </c>
      <c r="K107" s="173">
        <v>25</v>
      </c>
      <c r="L107" s="123" t="s">
        <v>3894</v>
      </c>
      <c r="M107" s="123" t="s">
        <v>3894</v>
      </c>
      <c r="N107" s="186">
        <v>25</v>
      </c>
      <c r="O107" s="186">
        <v>40</v>
      </c>
      <c r="P107" s="124" t="s">
        <v>3895</v>
      </c>
      <c r="Q107" s="124" t="s">
        <v>3895</v>
      </c>
      <c r="R107" s="193">
        <v>40</v>
      </c>
      <c r="S107" s="193">
        <v>55</v>
      </c>
      <c r="T107" s="126" t="s">
        <v>3896</v>
      </c>
      <c r="U107" s="126" t="s">
        <v>3896</v>
      </c>
      <c r="V107" s="165">
        <v>55</v>
      </c>
      <c r="W107" s="165">
        <v>87</v>
      </c>
      <c r="X107" s="122" t="s">
        <v>3897</v>
      </c>
      <c r="Y107" s="122" t="s">
        <v>3897</v>
      </c>
      <c r="Z107" s="173"/>
      <c r="AA107" s="173"/>
      <c r="AB107" s="123"/>
      <c r="AC107" s="123"/>
      <c r="AD107" s="186"/>
      <c r="AE107" s="186"/>
      <c r="AF107" s="124"/>
      <c r="AG107" s="124"/>
      <c r="AH107" s="209"/>
      <c r="AI107" s="209"/>
      <c r="AJ107" s="126"/>
      <c r="AK107" s="126"/>
      <c r="AL107" s="180"/>
      <c r="AM107" s="180"/>
      <c r="AN107" s="127"/>
      <c r="AO107" s="127"/>
      <c r="AP107" s="171"/>
      <c r="AQ107" s="171"/>
      <c r="AR107" s="128"/>
      <c r="AS107" s="128"/>
      <c r="AT107" s="121"/>
      <c r="AU107" s="121"/>
    </row>
    <row r="108" spans="1:47">
      <c r="A108" s="121">
        <v>227</v>
      </c>
      <c r="B108" s="121">
        <v>3</v>
      </c>
      <c r="C108" s="121"/>
      <c r="D108" s="121"/>
      <c r="E108" s="151">
        <v>-999999.9</v>
      </c>
      <c r="F108" s="166">
        <v>-9.9999999999999995E-7</v>
      </c>
      <c r="G108" s="215">
        <v>15</v>
      </c>
      <c r="H108" s="122" t="s">
        <v>3898</v>
      </c>
      <c r="I108" s="122" t="s">
        <v>3898</v>
      </c>
      <c r="J108" s="173">
        <v>15</v>
      </c>
      <c r="K108" s="173">
        <v>20</v>
      </c>
      <c r="L108" s="123" t="s">
        <v>3899</v>
      </c>
      <c r="M108" s="123" t="s">
        <v>3899</v>
      </c>
      <c r="N108" s="186">
        <v>20</v>
      </c>
      <c r="O108" s="186">
        <v>30</v>
      </c>
      <c r="P108" s="124" t="s">
        <v>3900</v>
      </c>
      <c r="Q108" s="124" t="s">
        <v>3900</v>
      </c>
      <c r="R108" s="193">
        <v>30</v>
      </c>
      <c r="S108" s="193">
        <v>50</v>
      </c>
      <c r="T108" s="126" t="s">
        <v>3901</v>
      </c>
      <c r="U108" s="126" t="s">
        <v>3901</v>
      </c>
      <c r="V108" s="165">
        <v>50</v>
      </c>
      <c r="W108" s="165">
        <v>110</v>
      </c>
      <c r="X108" s="122" t="s">
        <v>3902</v>
      </c>
      <c r="Y108" s="122" t="s">
        <v>3902</v>
      </c>
      <c r="Z108" s="173"/>
      <c r="AA108" s="173"/>
      <c r="AB108" s="123"/>
      <c r="AC108" s="123"/>
      <c r="AD108" s="186"/>
      <c r="AE108" s="186"/>
      <c r="AF108" s="124"/>
      <c r="AG108" s="124"/>
      <c r="AH108" s="191"/>
      <c r="AI108" s="191"/>
      <c r="AJ108" s="126"/>
      <c r="AK108" s="126"/>
      <c r="AL108" s="180"/>
      <c r="AM108" s="180"/>
      <c r="AN108" s="127"/>
      <c r="AO108" s="127"/>
      <c r="AP108" s="171"/>
      <c r="AQ108" s="171"/>
      <c r="AR108" s="128"/>
      <c r="AS108" s="128"/>
      <c r="AT108" s="121"/>
      <c r="AU108" s="121"/>
    </row>
    <row r="109" spans="1:47">
      <c r="A109" s="121">
        <v>228</v>
      </c>
      <c r="B109" s="121">
        <v>3</v>
      </c>
      <c r="C109" s="121"/>
      <c r="D109" s="121"/>
      <c r="E109" s="151">
        <v>-999999.9</v>
      </c>
      <c r="F109" s="166">
        <v>-9.9999999999999995E-7</v>
      </c>
      <c r="G109" s="215">
        <v>10</v>
      </c>
      <c r="H109" s="122" t="s">
        <v>3903</v>
      </c>
      <c r="I109" s="122" t="s">
        <v>3903</v>
      </c>
      <c r="J109" s="173">
        <v>10</v>
      </c>
      <c r="K109" s="173">
        <v>12</v>
      </c>
      <c r="L109" s="123" t="s">
        <v>3904</v>
      </c>
      <c r="M109" s="123" t="s">
        <v>3904</v>
      </c>
      <c r="N109" s="186">
        <v>12</v>
      </c>
      <c r="O109" s="186">
        <v>16</v>
      </c>
      <c r="P109" s="124" t="s">
        <v>3905</v>
      </c>
      <c r="Q109" s="124" t="s">
        <v>3905</v>
      </c>
      <c r="R109" s="193">
        <v>16</v>
      </c>
      <c r="S109" s="193">
        <v>21</v>
      </c>
      <c r="T109" s="126" t="s">
        <v>3906</v>
      </c>
      <c r="U109" s="126" t="s">
        <v>3906</v>
      </c>
      <c r="V109" s="165">
        <v>21</v>
      </c>
      <c r="W109" s="165">
        <v>88</v>
      </c>
      <c r="X109" s="122" t="s">
        <v>3907</v>
      </c>
      <c r="Y109" s="122" t="s">
        <v>3907</v>
      </c>
      <c r="Z109" s="173"/>
      <c r="AA109" s="173"/>
      <c r="AB109" s="123"/>
      <c r="AC109" s="123"/>
      <c r="AD109" s="186"/>
      <c r="AE109" s="186"/>
      <c r="AF109" s="124"/>
      <c r="AG109" s="124"/>
      <c r="AH109" s="209"/>
      <c r="AI109" s="209"/>
      <c r="AJ109" s="126"/>
      <c r="AK109" s="126"/>
      <c r="AL109" s="180"/>
      <c r="AM109" s="180"/>
      <c r="AN109" s="127"/>
      <c r="AO109" s="127"/>
      <c r="AP109" s="171"/>
      <c r="AQ109" s="171"/>
      <c r="AR109" s="128"/>
      <c r="AS109" s="128"/>
      <c r="AT109" s="121"/>
      <c r="AU109" s="121"/>
    </row>
    <row r="110" spans="1:47">
      <c r="A110" s="121">
        <v>229</v>
      </c>
      <c r="B110" s="121">
        <v>3</v>
      </c>
      <c r="C110" s="121"/>
      <c r="D110" s="121"/>
      <c r="E110" s="151">
        <v>-999999.9</v>
      </c>
      <c r="F110" s="166">
        <v>-9.9999999999999995E-7</v>
      </c>
      <c r="G110" s="215">
        <v>200000</v>
      </c>
      <c r="H110" s="122" t="s">
        <v>3908</v>
      </c>
      <c r="I110" s="122" t="s">
        <v>3908</v>
      </c>
      <c r="J110" s="173">
        <v>200000</v>
      </c>
      <c r="K110" s="173">
        <v>400000</v>
      </c>
      <c r="L110" s="123" t="s">
        <v>3909</v>
      </c>
      <c r="M110" s="123" t="s">
        <v>3909</v>
      </c>
      <c r="N110" s="186">
        <v>400000</v>
      </c>
      <c r="O110" s="186">
        <v>800000</v>
      </c>
      <c r="P110" s="124" t="s">
        <v>3910</v>
      </c>
      <c r="Q110" s="124" t="s">
        <v>3910</v>
      </c>
      <c r="R110" s="193">
        <v>800000</v>
      </c>
      <c r="S110" s="193">
        <v>1800000</v>
      </c>
      <c r="T110" s="126" t="s">
        <v>3911</v>
      </c>
      <c r="U110" s="126" t="s">
        <v>3911</v>
      </c>
      <c r="V110" s="165">
        <v>1800000</v>
      </c>
      <c r="W110" s="165">
        <v>5600000</v>
      </c>
      <c r="X110" s="122" t="s">
        <v>3912</v>
      </c>
      <c r="Y110" s="122" t="s">
        <v>3912</v>
      </c>
      <c r="Z110" s="173"/>
      <c r="AA110" s="173"/>
      <c r="AB110" s="123"/>
      <c r="AC110" s="123"/>
      <c r="AD110" s="186"/>
      <c r="AE110" s="186"/>
      <c r="AF110" s="124"/>
      <c r="AG110" s="124"/>
      <c r="AH110" s="191"/>
      <c r="AI110" s="191"/>
      <c r="AJ110" s="126"/>
      <c r="AK110" s="126"/>
      <c r="AL110" s="180"/>
      <c r="AM110" s="180"/>
      <c r="AN110" s="127"/>
      <c r="AO110" s="127"/>
      <c r="AP110" s="171"/>
      <c r="AQ110" s="171"/>
      <c r="AR110" s="128"/>
      <c r="AS110" s="128"/>
      <c r="AT110" s="121"/>
      <c r="AU110" s="121"/>
    </row>
    <row r="111" spans="1:47">
      <c r="A111" s="121">
        <v>230</v>
      </c>
      <c r="B111" s="121">
        <v>3</v>
      </c>
      <c r="C111" s="121"/>
      <c r="D111" s="121"/>
      <c r="E111" s="151">
        <v>-999999.9</v>
      </c>
      <c r="F111" s="166">
        <v>-11.1</v>
      </c>
      <c r="G111" s="215">
        <v>-0.5</v>
      </c>
      <c r="H111" s="122" t="s">
        <v>3913</v>
      </c>
      <c r="I111" s="122" t="s">
        <v>3913</v>
      </c>
      <c r="J111" s="173">
        <v>-0.5</v>
      </c>
      <c r="K111" s="173">
        <v>0.2</v>
      </c>
      <c r="L111" s="123" t="s">
        <v>3914</v>
      </c>
      <c r="M111" s="123" t="s">
        <v>3914</v>
      </c>
      <c r="N111" s="186">
        <v>0.2</v>
      </c>
      <c r="O111" s="186">
        <v>1.2</v>
      </c>
      <c r="P111" s="124" t="s">
        <v>3915</v>
      </c>
      <c r="Q111" s="124" t="s">
        <v>3915</v>
      </c>
      <c r="R111" s="193">
        <v>1.2</v>
      </c>
      <c r="S111" s="193">
        <v>2.9</v>
      </c>
      <c r="T111" s="126" t="s">
        <v>3916</v>
      </c>
      <c r="U111" s="126" t="s">
        <v>3916</v>
      </c>
      <c r="V111" s="165">
        <v>2.9</v>
      </c>
      <c r="W111" s="165">
        <v>9.8000000000000007</v>
      </c>
      <c r="X111" s="122" t="s">
        <v>3917</v>
      </c>
      <c r="Y111" s="122" t="s">
        <v>3918</v>
      </c>
      <c r="Z111" s="173"/>
      <c r="AA111" s="173"/>
      <c r="AB111" s="123"/>
      <c r="AC111" s="123"/>
      <c r="AD111" s="186"/>
      <c r="AE111" s="186"/>
      <c r="AF111" s="124"/>
      <c r="AG111" s="124"/>
      <c r="AH111" s="209"/>
      <c r="AI111" s="209"/>
      <c r="AJ111" s="126"/>
      <c r="AK111" s="126"/>
      <c r="AL111" s="180"/>
      <c r="AM111" s="180"/>
      <c r="AN111" s="127"/>
      <c r="AO111" s="127"/>
      <c r="AP111" s="171"/>
      <c r="AQ111" s="171"/>
      <c r="AR111" s="128"/>
      <c r="AS111" s="128"/>
      <c r="AT111" s="121"/>
      <c r="AU111" s="121"/>
    </row>
    <row r="112" spans="1:47">
      <c r="A112" s="121">
        <v>231</v>
      </c>
      <c r="B112" s="121">
        <v>3</v>
      </c>
      <c r="C112" s="121"/>
      <c r="D112" s="121"/>
      <c r="E112" s="151">
        <v>-999999.9</v>
      </c>
      <c r="F112" s="166">
        <v>-9.9999999999999995E-7</v>
      </c>
      <c r="G112" s="215">
        <v>20</v>
      </c>
      <c r="H112" s="122" t="s">
        <v>3919</v>
      </c>
      <c r="I112" s="122" t="s">
        <v>3919</v>
      </c>
      <c r="J112" s="173">
        <v>20</v>
      </c>
      <c r="K112" s="173">
        <v>45</v>
      </c>
      <c r="L112" s="123" t="s">
        <v>3920</v>
      </c>
      <c r="M112" s="123" t="s">
        <v>3920</v>
      </c>
      <c r="N112" s="186">
        <v>45</v>
      </c>
      <c r="O112" s="186">
        <v>70</v>
      </c>
      <c r="P112" s="124" t="s">
        <v>3921</v>
      </c>
      <c r="Q112" s="124" t="s">
        <v>3921</v>
      </c>
      <c r="R112" s="193">
        <v>70</v>
      </c>
      <c r="S112" s="193">
        <v>90</v>
      </c>
      <c r="T112" s="126" t="s">
        <v>3922</v>
      </c>
      <c r="U112" s="126" t="s">
        <v>3922</v>
      </c>
      <c r="V112" s="165">
        <v>90</v>
      </c>
      <c r="W112" s="165">
        <v>100</v>
      </c>
      <c r="X112" s="122" t="s">
        <v>3882</v>
      </c>
      <c r="Y112" s="122" t="s">
        <v>3882</v>
      </c>
      <c r="Z112" s="173"/>
      <c r="AA112" s="173"/>
      <c r="AB112" s="123"/>
      <c r="AC112" s="123"/>
      <c r="AD112" s="186"/>
      <c r="AE112" s="186"/>
      <c r="AF112" s="124"/>
      <c r="AG112" s="124"/>
      <c r="AH112" s="191"/>
      <c r="AI112" s="191"/>
      <c r="AJ112" s="126"/>
      <c r="AK112" s="126"/>
      <c r="AL112" s="180"/>
      <c r="AM112" s="180"/>
      <c r="AN112" s="127"/>
      <c r="AO112" s="127"/>
      <c r="AP112" s="171"/>
      <c r="AQ112" s="171"/>
      <c r="AR112" s="128"/>
      <c r="AS112" s="128"/>
      <c r="AT112" s="121"/>
      <c r="AU112" s="121"/>
    </row>
    <row r="113" spans="1:47">
      <c r="A113" s="121">
        <v>232</v>
      </c>
      <c r="B113" s="121">
        <v>3</v>
      </c>
      <c r="C113" s="121"/>
      <c r="D113" s="121"/>
      <c r="E113" s="151">
        <v>-999999.9</v>
      </c>
      <c r="F113" s="166">
        <v>-9.9999999999999995E-7</v>
      </c>
      <c r="G113" s="215">
        <v>7</v>
      </c>
      <c r="H113" s="122" t="s">
        <v>3883</v>
      </c>
      <c r="I113" s="122" t="s">
        <v>3883</v>
      </c>
      <c r="J113" s="173">
        <v>7</v>
      </c>
      <c r="K113" s="173">
        <v>15</v>
      </c>
      <c r="L113" s="123" t="s">
        <v>3923</v>
      </c>
      <c r="M113" s="123" t="s">
        <v>3923</v>
      </c>
      <c r="N113" s="186">
        <v>15</v>
      </c>
      <c r="O113" s="186">
        <v>28</v>
      </c>
      <c r="P113" s="124" t="s">
        <v>3924</v>
      </c>
      <c r="Q113" s="124" t="s">
        <v>3924</v>
      </c>
      <c r="R113" s="193">
        <v>28</v>
      </c>
      <c r="S113" s="193">
        <v>50</v>
      </c>
      <c r="T113" s="126" t="s">
        <v>3879</v>
      </c>
      <c r="U113" s="126" t="s">
        <v>3879</v>
      </c>
      <c r="V113" s="165">
        <v>50</v>
      </c>
      <c r="W113" s="165">
        <v>98</v>
      </c>
      <c r="X113" s="122" t="s">
        <v>3925</v>
      </c>
      <c r="Y113" s="122" t="s">
        <v>3925</v>
      </c>
      <c r="Z113" s="173"/>
      <c r="AA113" s="173"/>
      <c r="AB113" s="123"/>
      <c r="AC113" s="123"/>
      <c r="AD113" s="186"/>
      <c r="AE113" s="186"/>
      <c r="AF113" s="124"/>
      <c r="AG113" s="124"/>
      <c r="AH113" s="209"/>
      <c r="AI113" s="209"/>
      <c r="AJ113" s="126"/>
      <c r="AK113" s="126"/>
      <c r="AL113" s="180"/>
      <c r="AM113" s="180"/>
      <c r="AN113" s="127"/>
      <c r="AO113" s="127"/>
      <c r="AP113" s="171"/>
      <c r="AQ113" s="171"/>
      <c r="AR113" s="128"/>
      <c r="AS113" s="128"/>
      <c r="AT113" s="121"/>
      <c r="AU113" s="121"/>
    </row>
    <row r="114" spans="1:47">
      <c r="A114" s="121">
        <v>233</v>
      </c>
      <c r="B114" s="121">
        <v>3</v>
      </c>
      <c r="C114" s="121"/>
      <c r="D114" s="121"/>
      <c r="E114" s="151">
        <v>-999999.9</v>
      </c>
      <c r="F114" s="166">
        <v>-9.9999999999999995E-7</v>
      </c>
      <c r="G114" s="215">
        <v>500000</v>
      </c>
      <c r="H114" s="122" t="s">
        <v>3926</v>
      </c>
      <c r="I114" s="122" t="s">
        <v>3926</v>
      </c>
      <c r="J114" s="173">
        <v>500000</v>
      </c>
      <c r="K114" s="173">
        <v>1750000</v>
      </c>
      <c r="L114" s="123" t="s">
        <v>3927</v>
      </c>
      <c r="M114" s="123" t="s">
        <v>3927</v>
      </c>
      <c r="N114" s="186">
        <v>1750000</v>
      </c>
      <c r="O114" s="186">
        <v>5650000</v>
      </c>
      <c r="P114" s="124" t="s">
        <v>3928</v>
      </c>
      <c r="Q114" s="124" t="s">
        <v>3928</v>
      </c>
      <c r="R114" s="193">
        <v>5650000</v>
      </c>
      <c r="S114" s="193">
        <v>17000000</v>
      </c>
      <c r="T114" s="126" t="s">
        <v>3929</v>
      </c>
      <c r="U114" s="126" t="s">
        <v>3929</v>
      </c>
      <c r="V114" s="165">
        <v>17000000</v>
      </c>
      <c r="W114" s="165">
        <v>29250000</v>
      </c>
      <c r="X114" s="210" t="s">
        <v>3930</v>
      </c>
      <c r="Y114" s="210" t="s">
        <v>3930</v>
      </c>
      <c r="Z114" s="173"/>
      <c r="AA114" s="173"/>
      <c r="AB114" s="123"/>
      <c r="AC114" s="123"/>
      <c r="AD114" s="186"/>
      <c r="AE114" s="186"/>
      <c r="AF114" s="124"/>
      <c r="AG114" s="124"/>
      <c r="AH114" s="191"/>
      <c r="AI114" s="191"/>
      <c r="AJ114" s="126"/>
      <c r="AK114" s="126"/>
      <c r="AL114" s="180"/>
      <c r="AM114" s="180"/>
      <c r="AN114" s="127"/>
      <c r="AO114" s="127"/>
      <c r="AP114" s="171"/>
      <c r="AQ114" s="171"/>
      <c r="AR114" s="128"/>
      <c r="AS114" s="128"/>
      <c r="AT114" s="121"/>
      <c r="AU114" s="121"/>
    </row>
    <row r="115" spans="1:47">
      <c r="A115" s="121">
        <v>234</v>
      </c>
      <c r="B115" s="121">
        <v>3</v>
      </c>
      <c r="C115" s="121"/>
      <c r="D115" s="121"/>
      <c r="E115" s="151">
        <v>-999999.9</v>
      </c>
      <c r="F115" s="166">
        <v>-9.9999999999999995E-7</v>
      </c>
      <c r="G115" s="215">
        <v>2</v>
      </c>
      <c r="H115" s="122" t="s">
        <v>3706</v>
      </c>
      <c r="I115" s="122" t="s">
        <v>3706</v>
      </c>
      <c r="J115" s="173">
        <v>2</v>
      </c>
      <c r="K115" s="173">
        <v>8</v>
      </c>
      <c r="L115" s="123" t="s">
        <v>3931</v>
      </c>
      <c r="M115" s="123" t="s">
        <v>3931</v>
      </c>
      <c r="N115" s="186">
        <v>8</v>
      </c>
      <c r="O115" s="186">
        <v>18</v>
      </c>
      <c r="P115" s="124" t="s">
        <v>3932</v>
      </c>
      <c r="Q115" s="124" t="s">
        <v>3932</v>
      </c>
      <c r="R115" s="193">
        <v>18</v>
      </c>
      <c r="S115" s="193">
        <v>34</v>
      </c>
      <c r="T115" s="126" t="s">
        <v>3933</v>
      </c>
      <c r="U115" s="126" t="s">
        <v>3933</v>
      </c>
      <c r="V115" s="165">
        <v>34</v>
      </c>
      <c r="W115" s="165">
        <v>63</v>
      </c>
      <c r="X115" s="122" t="s">
        <v>3934</v>
      </c>
      <c r="Y115" s="122" t="s">
        <v>3934</v>
      </c>
      <c r="Z115" s="173"/>
      <c r="AA115" s="173"/>
      <c r="AB115" s="123"/>
      <c r="AC115" s="123"/>
      <c r="AD115" s="186"/>
      <c r="AE115" s="186"/>
      <c r="AF115" s="124"/>
      <c r="AG115" s="124"/>
      <c r="AH115" s="209"/>
      <c r="AI115" s="209"/>
      <c r="AJ115" s="126"/>
      <c r="AK115" s="126"/>
      <c r="AL115" s="180"/>
      <c r="AM115" s="180"/>
      <c r="AN115" s="127"/>
      <c r="AO115" s="127"/>
      <c r="AP115" s="171"/>
      <c r="AQ115" s="171"/>
      <c r="AR115" s="128"/>
      <c r="AS115" s="128"/>
      <c r="AT115" s="121"/>
      <c r="AU115" s="121"/>
    </row>
    <row r="116" spans="1:47">
      <c r="A116" s="121">
        <v>235</v>
      </c>
      <c r="B116" s="121">
        <v>3</v>
      </c>
      <c r="C116" s="121"/>
      <c r="D116" s="121"/>
      <c r="E116" s="151">
        <v>-999999.9</v>
      </c>
      <c r="F116" s="164">
        <v>122</v>
      </c>
      <c r="G116" s="215">
        <v>300</v>
      </c>
      <c r="H116" s="122" t="s">
        <v>3935</v>
      </c>
      <c r="I116" s="122" t="s">
        <v>3935</v>
      </c>
      <c r="J116" s="173">
        <v>300</v>
      </c>
      <c r="K116" s="173">
        <v>400</v>
      </c>
      <c r="L116" s="123" t="s">
        <v>3936</v>
      </c>
      <c r="M116" s="123" t="s">
        <v>3936</v>
      </c>
      <c r="N116" s="186">
        <v>400</v>
      </c>
      <c r="O116" s="186">
        <v>540</v>
      </c>
      <c r="P116" s="124" t="s">
        <v>3937</v>
      </c>
      <c r="Q116" s="124" t="s">
        <v>3937</v>
      </c>
      <c r="R116" s="193">
        <v>540</v>
      </c>
      <c r="S116" s="193">
        <v>740</v>
      </c>
      <c r="T116" s="126" t="s">
        <v>3938</v>
      </c>
      <c r="U116" s="126" t="s">
        <v>3938</v>
      </c>
      <c r="V116" s="165">
        <v>740</v>
      </c>
      <c r="W116" s="165">
        <v>1160</v>
      </c>
      <c r="X116" s="122" t="s">
        <v>3939</v>
      </c>
      <c r="Y116" s="122" t="s">
        <v>3939</v>
      </c>
      <c r="Z116" s="173"/>
      <c r="AA116" s="173"/>
      <c r="AB116" s="123"/>
      <c r="AC116" s="123"/>
      <c r="AD116" s="186"/>
      <c r="AE116" s="186"/>
      <c r="AF116" s="124"/>
      <c r="AG116" s="124"/>
      <c r="AH116" s="191"/>
      <c r="AI116" s="191"/>
      <c r="AJ116" s="126"/>
      <c r="AK116" s="126"/>
      <c r="AL116" s="180"/>
      <c r="AM116" s="180"/>
      <c r="AN116" s="127"/>
      <c r="AO116" s="127"/>
      <c r="AP116" s="171"/>
      <c r="AQ116" s="171"/>
      <c r="AR116" s="128"/>
      <c r="AS116" s="128"/>
      <c r="AT116" s="121"/>
      <c r="AU116" s="121"/>
    </row>
    <row r="117" spans="1:47">
      <c r="A117">
        <v>236</v>
      </c>
      <c r="B117" s="121">
        <v>3</v>
      </c>
      <c r="C117" s="121"/>
      <c r="D117" s="121"/>
      <c r="E117" s="151">
        <v>-999999.9</v>
      </c>
      <c r="F117" s="164">
        <v>-3.05</v>
      </c>
      <c r="G117" s="215">
        <v>-1</v>
      </c>
      <c r="H117" s="122" t="s">
        <v>3940</v>
      </c>
      <c r="I117" s="122" t="s">
        <v>3940</v>
      </c>
      <c r="J117" s="173">
        <v>-1</v>
      </c>
      <c r="K117" s="173">
        <v>-0.3</v>
      </c>
      <c r="L117" s="123" t="s">
        <v>3941</v>
      </c>
      <c r="M117" s="123" t="s">
        <v>3941</v>
      </c>
      <c r="N117" s="186">
        <v>-0.3</v>
      </c>
      <c r="O117" s="186">
        <v>0.3</v>
      </c>
      <c r="P117" s="124" t="s">
        <v>3942</v>
      </c>
      <c r="Q117" s="124" t="s">
        <v>3942</v>
      </c>
      <c r="R117" s="193">
        <v>0.3</v>
      </c>
      <c r="S117" s="193">
        <v>1</v>
      </c>
      <c r="T117" s="126" t="s">
        <v>3943</v>
      </c>
      <c r="U117" s="126" t="s">
        <v>3943</v>
      </c>
      <c r="V117" s="165">
        <v>1</v>
      </c>
      <c r="W117" s="165">
        <v>3.1</v>
      </c>
      <c r="X117" s="122" t="s">
        <v>3944</v>
      </c>
      <c r="Y117" s="122" t="s">
        <v>3944</v>
      </c>
      <c r="Z117" s="173"/>
      <c r="AA117" s="173"/>
      <c r="AB117" s="123"/>
      <c r="AC117" s="123"/>
      <c r="AD117" s="186"/>
      <c r="AE117" s="186"/>
      <c r="AF117" s="124"/>
      <c r="AG117" s="124"/>
      <c r="AH117" s="209"/>
      <c r="AI117" s="209"/>
      <c r="AJ117" s="126"/>
      <c r="AK117" s="126"/>
      <c r="AL117" s="180"/>
      <c r="AM117" s="180"/>
      <c r="AN117" s="127"/>
      <c r="AO117" s="127"/>
      <c r="AP117" s="171"/>
      <c r="AQ117" s="171"/>
      <c r="AR117" s="128"/>
      <c r="AS117" s="128"/>
      <c r="AT117" s="121"/>
      <c r="AU117" s="121"/>
    </row>
    <row r="118" spans="1:47">
      <c r="A118">
        <v>237</v>
      </c>
      <c r="B118" s="121">
        <v>3</v>
      </c>
      <c r="C118" s="121"/>
      <c r="D118" s="121"/>
      <c r="E118" s="151">
        <v>-999999.9</v>
      </c>
      <c r="F118" s="166">
        <v>-9.9999999999999995E-7</v>
      </c>
      <c r="G118" s="215">
        <v>1</v>
      </c>
      <c r="H118" s="122" t="s">
        <v>3945</v>
      </c>
      <c r="I118" s="122" t="s">
        <v>3945</v>
      </c>
      <c r="J118" s="173">
        <v>1</v>
      </c>
      <c r="K118" s="173">
        <v>2.5</v>
      </c>
      <c r="L118" s="123" t="s">
        <v>3946</v>
      </c>
      <c r="M118" s="123" t="s">
        <v>3946</v>
      </c>
      <c r="N118" s="186">
        <v>2.5</v>
      </c>
      <c r="O118" s="186">
        <v>5</v>
      </c>
      <c r="P118" s="124" t="s">
        <v>3947</v>
      </c>
      <c r="Q118" s="124" t="s">
        <v>3947</v>
      </c>
      <c r="R118" s="193">
        <v>5</v>
      </c>
      <c r="S118" s="193">
        <v>9</v>
      </c>
      <c r="T118" s="126" t="s">
        <v>3948</v>
      </c>
      <c r="U118" s="126" t="s">
        <v>3948</v>
      </c>
      <c r="V118" s="165">
        <v>9</v>
      </c>
      <c r="W118" s="165">
        <v>27.6</v>
      </c>
      <c r="X118" s="122" t="s">
        <v>3949</v>
      </c>
      <c r="Y118" s="122" t="s">
        <v>3949</v>
      </c>
      <c r="Z118" s="173"/>
      <c r="AA118" s="173"/>
      <c r="AB118" s="123"/>
      <c r="AC118" s="123"/>
      <c r="AD118" s="186"/>
      <c r="AE118" s="186"/>
      <c r="AF118" s="124"/>
      <c r="AG118" s="124"/>
      <c r="AH118" s="191"/>
      <c r="AI118" s="191"/>
      <c r="AJ118" s="126"/>
      <c r="AK118" s="126"/>
      <c r="AL118" s="180"/>
      <c r="AM118" s="180"/>
      <c r="AN118" s="127"/>
      <c r="AO118" s="127"/>
      <c r="AP118" s="171"/>
      <c r="AQ118" s="171"/>
      <c r="AR118" s="128"/>
      <c r="AS118" s="128"/>
      <c r="AT118" s="121"/>
      <c r="AU118" s="121"/>
    </row>
    <row r="119" spans="1:47">
      <c r="A119" s="121">
        <v>238</v>
      </c>
      <c r="B119" s="121">
        <v>3</v>
      </c>
      <c r="C119" s="121"/>
      <c r="D119" s="121"/>
      <c r="E119" s="151">
        <v>-999999.9</v>
      </c>
      <c r="F119" s="166">
        <v>-9.9999999999999995E-7</v>
      </c>
      <c r="G119" s="215">
        <v>50</v>
      </c>
      <c r="H119" s="122" t="s">
        <v>3950</v>
      </c>
      <c r="I119" s="122" t="s">
        <v>3950</v>
      </c>
      <c r="J119" s="173">
        <v>50</v>
      </c>
      <c r="K119" s="173">
        <v>60</v>
      </c>
      <c r="L119" s="123" t="s">
        <v>3951</v>
      </c>
      <c r="M119" s="123" t="s">
        <v>3951</v>
      </c>
      <c r="N119" s="186">
        <v>60</v>
      </c>
      <c r="O119" s="186">
        <v>70</v>
      </c>
      <c r="P119" s="124" t="s">
        <v>3952</v>
      </c>
      <c r="Q119" s="124" t="s">
        <v>3952</v>
      </c>
      <c r="R119" s="193">
        <v>70</v>
      </c>
      <c r="S119" s="193">
        <v>90</v>
      </c>
      <c r="T119" s="126" t="s">
        <v>3953</v>
      </c>
      <c r="U119" s="126" t="s">
        <v>3953</v>
      </c>
      <c r="V119" s="165">
        <v>90</v>
      </c>
      <c r="W119" s="165">
        <v>185</v>
      </c>
      <c r="X119" s="122" t="s">
        <v>3954</v>
      </c>
      <c r="Y119" s="122" t="s">
        <v>3954</v>
      </c>
      <c r="Z119" s="173"/>
      <c r="AA119" s="173"/>
      <c r="AB119" s="123"/>
      <c r="AC119" s="123"/>
      <c r="AD119" s="186"/>
      <c r="AE119" s="186"/>
      <c r="AF119" s="124"/>
      <c r="AG119" s="124"/>
      <c r="AH119" s="209"/>
      <c r="AI119" s="209"/>
      <c r="AJ119" s="126"/>
      <c r="AK119" s="126"/>
      <c r="AL119" s="180"/>
      <c r="AM119" s="180"/>
      <c r="AN119" s="127"/>
      <c r="AO119" s="127"/>
      <c r="AP119" s="171"/>
      <c r="AQ119" s="171"/>
      <c r="AR119" s="128"/>
      <c r="AS119" s="128"/>
      <c r="AT119" s="121"/>
      <c r="AU119" s="121"/>
    </row>
    <row r="120" spans="1:47">
      <c r="A120">
        <v>239</v>
      </c>
      <c r="B120" s="121">
        <v>3</v>
      </c>
      <c r="C120" s="121"/>
      <c r="D120" s="121"/>
      <c r="E120" s="151">
        <v>-999999.9</v>
      </c>
      <c r="F120" s="166">
        <v>-9.9999999999999995E-7</v>
      </c>
      <c r="G120" s="215">
        <v>30</v>
      </c>
      <c r="H120" s="122" t="s">
        <v>3955</v>
      </c>
      <c r="I120" s="122" t="s">
        <v>3955</v>
      </c>
      <c r="J120" s="173">
        <v>30</v>
      </c>
      <c r="K120" s="173">
        <v>50</v>
      </c>
      <c r="L120" s="123" t="s">
        <v>3956</v>
      </c>
      <c r="M120" s="123" t="s">
        <v>3956</v>
      </c>
      <c r="N120" s="186">
        <v>51</v>
      </c>
      <c r="O120" s="186">
        <v>90</v>
      </c>
      <c r="P120" s="124" t="s">
        <v>3957</v>
      </c>
      <c r="Q120" s="124" t="s">
        <v>3957</v>
      </c>
      <c r="R120" s="193">
        <v>91</v>
      </c>
      <c r="S120" s="193">
        <v>130</v>
      </c>
      <c r="T120" s="126" t="s">
        <v>3958</v>
      </c>
      <c r="U120" s="126" t="s">
        <v>3958</v>
      </c>
      <c r="V120" s="165">
        <v>130</v>
      </c>
      <c r="W120" s="165">
        <v>180</v>
      </c>
      <c r="X120" s="122" t="s">
        <v>3959</v>
      </c>
      <c r="Y120" s="122" t="s">
        <v>3959</v>
      </c>
      <c r="Z120" s="173"/>
      <c r="AA120" s="173"/>
      <c r="AB120" s="123"/>
      <c r="AC120" s="123"/>
      <c r="AD120" s="186"/>
      <c r="AE120" s="186"/>
      <c r="AF120" s="124"/>
      <c r="AG120" s="124"/>
      <c r="AH120" s="191"/>
      <c r="AI120" s="191"/>
      <c r="AJ120" s="126"/>
      <c r="AK120" s="126"/>
      <c r="AL120" s="180"/>
      <c r="AM120" s="180"/>
      <c r="AN120" s="127"/>
      <c r="AO120" s="127"/>
      <c r="AP120" s="171"/>
      <c r="AQ120" s="171"/>
      <c r="AR120" s="128"/>
      <c r="AS120" s="128"/>
      <c r="AT120" s="121"/>
      <c r="AU120" s="121"/>
    </row>
    <row r="121" spans="1:47">
      <c r="A121">
        <v>240</v>
      </c>
      <c r="B121" s="121">
        <v>3</v>
      </c>
      <c r="C121" s="121"/>
      <c r="D121" s="121"/>
      <c r="E121" s="151">
        <v>-999999.9</v>
      </c>
      <c r="F121" s="166">
        <v>-9.9999999999999995E-7</v>
      </c>
      <c r="G121" s="215">
        <v>5</v>
      </c>
      <c r="H121" s="122" t="s">
        <v>3960</v>
      </c>
      <c r="I121" s="122" t="s">
        <v>3960</v>
      </c>
      <c r="J121" s="173">
        <v>5</v>
      </c>
      <c r="K121" s="173">
        <v>10</v>
      </c>
      <c r="L121" s="123" t="s">
        <v>3961</v>
      </c>
      <c r="M121" s="123" t="s">
        <v>3961</v>
      </c>
      <c r="N121" s="186">
        <v>10</v>
      </c>
      <c r="O121" s="186">
        <v>15</v>
      </c>
      <c r="P121" s="124" t="s">
        <v>3962</v>
      </c>
      <c r="Q121" s="124" t="s">
        <v>3962</v>
      </c>
      <c r="R121" s="193">
        <v>15</v>
      </c>
      <c r="S121" s="193">
        <v>25</v>
      </c>
      <c r="T121" s="126" t="s">
        <v>3963</v>
      </c>
      <c r="U121" s="126" t="s">
        <v>3963</v>
      </c>
      <c r="V121" s="165">
        <v>25</v>
      </c>
      <c r="W121" s="165">
        <v>44</v>
      </c>
      <c r="X121" s="122" t="s">
        <v>3964</v>
      </c>
      <c r="Y121" s="122" t="s">
        <v>3964</v>
      </c>
      <c r="Z121" s="173"/>
      <c r="AA121" s="173"/>
      <c r="AB121" s="123"/>
      <c r="AC121" s="123"/>
      <c r="AD121" s="186"/>
      <c r="AE121" s="186"/>
      <c r="AF121" s="124"/>
      <c r="AG121" s="124"/>
      <c r="AH121" s="209"/>
      <c r="AI121" s="209"/>
      <c r="AJ121" s="126"/>
      <c r="AK121" s="126"/>
      <c r="AL121" s="180"/>
      <c r="AM121" s="180"/>
      <c r="AN121" s="127"/>
      <c r="AO121" s="127"/>
      <c r="AP121" s="171"/>
      <c r="AQ121" s="171"/>
      <c r="AR121" s="128"/>
      <c r="AS121" s="128"/>
      <c r="AT121" s="121"/>
      <c r="AU121" s="121"/>
    </row>
    <row r="122" spans="1:47" s="121" customFormat="1">
      <c r="A122" s="121">
        <v>241</v>
      </c>
      <c r="B122" s="121">
        <v>3</v>
      </c>
      <c r="E122" s="151">
        <v>-999999.9</v>
      </c>
      <c r="F122" s="166">
        <v>-9.9999999999999995E-7</v>
      </c>
      <c r="G122" s="215">
        <v>11</v>
      </c>
      <c r="H122" s="122" t="s">
        <v>3965</v>
      </c>
      <c r="I122" s="122" t="s">
        <v>3965</v>
      </c>
      <c r="J122" s="173">
        <v>11</v>
      </c>
      <c r="K122" s="173">
        <v>37</v>
      </c>
      <c r="L122" s="123" t="s">
        <v>3966</v>
      </c>
      <c r="M122" s="123" t="s">
        <v>3966</v>
      </c>
      <c r="N122" s="186">
        <v>37</v>
      </c>
      <c r="O122" s="186">
        <v>64</v>
      </c>
      <c r="P122" s="124" t="s">
        <v>3967</v>
      </c>
      <c r="Q122" s="124" t="s">
        <v>3967</v>
      </c>
      <c r="R122" s="193">
        <v>64</v>
      </c>
      <c r="S122" s="193">
        <v>89</v>
      </c>
      <c r="T122" s="126" t="s">
        <v>3968</v>
      </c>
      <c r="U122" s="126" t="s">
        <v>3968</v>
      </c>
      <c r="V122" s="165">
        <v>89</v>
      </c>
      <c r="W122" s="165">
        <v>100</v>
      </c>
      <c r="X122" s="122" t="s">
        <v>3969</v>
      </c>
      <c r="Y122" s="122" t="s">
        <v>3969</v>
      </c>
      <c r="Z122" s="173"/>
      <c r="AA122" s="173"/>
      <c r="AB122" s="123"/>
      <c r="AC122" s="123"/>
      <c r="AD122" s="186"/>
      <c r="AE122" s="186"/>
      <c r="AF122" s="124"/>
      <c r="AG122" s="124"/>
      <c r="AH122" s="191"/>
      <c r="AI122" s="191"/>
      <c r="AJ122" s="126"/>
      <c r="AK122" s="126"/>
      <c r="AL122" s="180"/>
      <c r="AM122" s="180"/>
      <c r="AN122" s="127"/>
      <c r="AO122" s="127"/>
      <c r="AP122" s="171"/>
      <c r="AQ122" s="171"/>
      <c r="AR122" s="128"/>
      <c r="AS122" s="128"/>
    </row>
    <row r="123" spans="1:47" s="121" customFormat="1">
      <c r="A123" s="121">
        <v>242</v>
      </c>
      <c r="B123" s="121">
        <v>3</v>
      </c>
      <c r="E123" s="151">
        <v>-999999.9</v>
      </c>
      <c r="F123" s="166">
        <v>-9.9999999999999995E-7</v>
      </c>
      <c r="G123" s="215">
        <v>1</v>
      </c>
      <c r="H123" s="122" t="s">
        <v>3548</v>
      </c>
      <c r="I123" s="122" t="s">
        <v>3548</v>
      </c>
      <c r="J123" s="173">
        <v>2</v>
      </c>
      <c r="K123" s="173">
        <v>3</v>
      </c>
      <c r="L123" s="123" t="s">
        <v>3970</v>
      </c>
      <c r="M123" s="123" t="s">
        <v>3970</v>
      </c>
      <c r="N123" s="186">
        <v>4</v>
      </c>
      <c r="O123" s="186">
        <v>5</v>
      </c>
      <c r="P123" s="124" t="s">
        <v>3971</v>
      </c>
      <c r="Q123" s="124" t="s">
        <v>3971</v>
      </c>
      <c r="R123" s="193">
        <v>6</v>
      </c>
      <c r="S123" s="193">
        <v>7</v>
      </c>
      <c r="T123" s="126" t="s">
        <v>3972</v>
      </c>
      <c r="U123" s="126" t="s">
        <v>3972</v>
      </c>
      <c r="V123" s="165">
        <v>8</v>
      </c>
      <c r="W123" s="165">
        <v>10</v>
      </c>
      <c r="X123" s="122" t="s">
        <v>3973</v>
      </c>
      <c r="Y123" s="122" t="s">
        <v>3974</v>
      </c>
      <c r="Z123" s="173"/>
      <c r="AA123" s="173"/>
      <c r="AB123" s="123"/>
      <c r="AC123" s="123"/>
      <c r="AD123" s="186"/>
      <c r="AE123" s="186"/>
      <c r="AF123" s="124"/>
      <c r="AG123" s="124"/>
      <c r="AH123" s="209"/>
      <c r="AI123" s="209"/>
      <c r="AJ123" s="126"/>
      <c r="AK123" s="126"/>
      <c r="AL123" s="180"/>
      <c r="AM123" s="180"/>
      <c r="AN123" s="127"/>
      <c r="AO123" s="127"/>
      <c r="AP123" s="171"/>
      <c r="AQ123" s="171"/>
      <c r="AR123" s="128"/>
      <c r="AS123" s="128"/>
    </row>
    <row r="124" spans="1:47" s="121" customFormat="1">
      <c r="A124" s="121">
        <v>243</v>
      </c>
      <c r="B124" s="121">
        <v>3</v>
      </c>
      <c r="E124" s="151">
        <v>-999999.9</v>
      </c>
      <c r="F124" s="166">
        <v>-9.9999999999999995E-7</v>
      </c>
      <c r="G124" s="215">
        <v>1</v>
      </c>
      <c r="H124" s="122" t="s">
        <v>3548</v>
      </c>
      <c r="I124" s="122" t="s">
        <v>3548</v>
      </c>
      <c r="J124" s="173">
        <v>2</v>
      </c>
      <c r="K124" s="173">
        <v>3</v>
      </c>
      <c r="L124" s="123" t="s">
        <v>3970</v>
      </c>
      <c r="M124" s="123" t="s">
        <v>3970</v>
      </c>
      <c r="N124" s="186">
        <v>4</v>
      </c>
      <c r="O124" s="186">
        <v>5</v>
      </c>
      <c r="P124" s="124" t="s">
        <v>3971</v>
      </c>
      <c r="Q124" s="124" t="s">
        <v>3971</v>
      </c>
      <c r="R124" s="193">
        <v>6</v>
      </c>
      <c r="S124" s="193">
        <v>8</v>
      </c>
      <c r="T124" s="126" t="s">
        <v>3975</v>
      </c>
      <c r="U124" s="126" t="s">
        <v>3975</v>
      </c>
      <c r="V124" s="165">
        <v>9</v>
      </c>
      <c r="W124" s="165">
        <v>10</v>
      </c>
      <c r="X124" s="122" t="s">
        <v>3976</v>
      </c>
      <c r="Y124" s="122" t="s">
        <v>3976</v>
      </c>
      <c r="Z124" s="173"/>
      <c r="AA124" s="173"/>
      <c r="AB124" s="123"/>
      <c r="AC124" s="123"/>
      <c r="AD124" s="186"/>
      <c r="AE124" s="186"/>
      <c r="AF124" s="124"/>
      <c r="AG124" s="124"/>
      <c r="AH124" s="191"/>
      <c r="AI124" s="191"/>
      <c r="AJ124" s="126"/>
      <c r="AK124" s="126"/>
      <c r="AL124" s="180"/>
      <c r="AM124" s="180"/>
      <c r="AN124" s="127"/>
      <c r="AO124" s="127"/>
      <c r="AP124" s="171"/>
      <c r="AQ124" s="171"/>
      <c r="AR124" s="128"/>
      <c r="AS124" s="128"/>
    </row>
    <row r="125" spans="1:47">
      <c r="A125" s="121">
        <v>244</v>
      </c>
      <c r="B125" s="121">
        <v>3</v>
      </c>
      <c r="C125" s="121"/>
      <c r="D125" s="121"/>
      <c r="E125" s="151">
        <v>-999999.9</v>
      </c>
      <c r="F125" s="165">
        <v>-9.9999999999999995E-7</v>
      </c>
      <c r="G125" s="215">
        <v>250</v>
      </c>
      <c r="H125" s="122" t="s">
        <v>3977</v>
      </c>
      <c r="I125" s="122" t="s">
        <v>3977</v>
      </c>
      <c r="J125" s="175">
        <v>250</v>
      </c>
      <c r="K125" s="177">
        <v>800</v>
      </c>
      <c r="L125" s="146" t="s">
        <v>3978</v>
      </c>
      <c r="M125" s="146" t="s">
        <v>3978</v>
      </c>
      <c r="N125" s="186">
        <v>800</v>
      </c>
      <c r="O125" s="186">
        <v>27850</v>
      </c>
      <c r="P125" s="124" t="s">
        <v>3979</v>
      </c>
      <c r="Q125" s="124" t="s">
        <v>3979</v>
      </c>
      <c r="R125" s="193">
        <v>2750</v>
      </c>
      <c r="S125" s="193">
        <v>6150</v>
      </c>
      <c r="T125" s="126" t="s">
        <v>3980</v>
      </c>
      <c r="U125" s="126" t="s">
        <v>3980</v>
      </c>
      <c r="V125" s="165">
        <v>6150</v>
      </c>
      <c r="W125" s="165">
        <v>14050</v>
      </c>
      <c r="X125" s="122" t="s">
        <v>3981</v>
      </c>
      <c r="Y125" s="122" t="s">
        <v>3981</v>
      </c>
      <c r="Z125" s="173"/>
      <c r="AA125" s="173"/>
      <c r="AB125" s="123"/>
      <c r="AC125" s="123"/>
      <c r="AD125" s="186"/>
      <c r="AE125" s="186"/>
      <c r="AF125" s="124"/>
      <c r="AG125" s="124"/>
      <c r="AH125" s="209"/>
      <c r="AI125" s="209"/>
      <c r="AJ125" s="126"/>
      <c r="AK125" s="126"/>
      <c r="AL125" s="180"/>
      <c r="AM125" s="180"/>
      <c r="AN125" s="127"/>
      <c r="AO125" s="127"/>
      <c r="AP125" s="171"/>
      <c r="AQ125" s="171"/>
      <c r="AR125" s="128"/>
      <c r="AS125" s="128"/>
      <c r="AT125" s="121"/>
      <c r="AU125" s="121"/>
    </row>
    <row r="126" spans="1:47">
      <c r="A126" s="121">
        <v>245</v>
      </c>
      <c r="B126" s="121">
        <v>3</v>
      </c>
      <c r="C126" s="121"/>
      <c r="D126" s="121"/>
      <c r="E126" s="151">
        <v>-999999.9</v>
      </c>
      <c r="F126" s="164">
        <v>2</v>
      </c>
      <c r="G126" s="215">
        <v>10</v>
      </c>
      <c r="H126" s="122" t="s">
        <v>3982</v>
      </c>
      <c r="I126" s="122" t="s">
        <v>3982</v>
      </c>
      <c r="J126" s="173">
        <v>10</v>
      </c>
      <c r="K126" s="173">
        <v>17</v>
      </c>
      <c r="L126" s="123" t="s">
        <v>3983</v>
      </c>
      <c r="M126" s="123" t="s">
        <v>3983</v>
      </c>
      <c r="N126" s="186">
        <v>17</v>
      </c>
      <c r="O126" s="186">
        <v>29</v>
      </c>
      <c r="P126" s="124" t="s">
        <v>3984</v>
      </c>
      <c r="Q126" s="124" t="s">
        <v>3984</v>
      </c>
      <c r="R126" s="193">
        <v>29</v>
      </c>
      <c r="S126" s="193">
        <v>55</v>
      </c>
      <c r="T126" s="126" t="s">
        <v>3985</v>
      </c>
      <c r="U126" s="126" t="s">
        <v>3985</v>
      </c>
      <c r="V126" s="165">
        <v>55</v>
      </c>
      <c r="W126" s="165">
        <v>116</v>
      </c>
      <c r="X126" s="122" t="s">
        <v>3986</v>
      </c>
      <c r="Y126" s="122" t="s">
        <v>3986</v>
      </c>
      <c r="Z126" s="173"/>
      <c r="AA126" s="173"/>
      <c r="AB126" s="123"/>
      <c r="AC126" s="123"/>
      <c r="AD126" s="186"/>
      <c r="AE126" s="186"/>
      <c r="AF126" s="124"/>
      <c r="AG126" s="124"/>
      <c r="AH126" s="191"/>
      <c r="AI126" s="191"/>
      <c r="AJ126" s="126"/>
      <c r="AK126" s="126"/>
      <c r="AL126" s="180"/>
      <c r="AM126" s="180"/>
      <c r="AN126" s="127"/>
      <c r="AO126" s="127"/>
      <c r="AP126" s="171"/>
      <c r="AQ126" s="171"/>
      <c r="AR126" s="128"/>
      <c r="AS126" s="128"/>
      <c r="AT126" s="121"/>
      <c r="AU126" s="121"/>
    </row>
    <row r="127" spans="1:47">
      <c r="A127" s="121">
        <v>246</v>
      </c>
      <c r="B127" s="121">
        <v>3</v>
      </c>
      <c r="C127" s="121"/>
      <c r="D127" s="121"/>
      <c r="E127" s="151">
        <v>-999999.9</v>
      </c>
      <c r="F127" s="164">
        <v>3</v>
      </c>
      <c r="G127" s="215">
        <v>27</v>
      </c>
      <c r="H127" s="122" t="s">
        <v>3987</v>
      </c>
      <c r="I127" s="122" t="s">
        <v>3987</v>
      </c>
      <c r="J127" s="173">
        <v>28</v>
      </c>
      <c r="K127" s="173">
        <v>41</v>
      </c>
      <c r="L127" s="123" t="s">
        <v>3988</v>
      </c>
      <c r="M127" s="123" t="s">
        <v>3988</v>
      </c>
      <c r="N127" s="186">
        <v>42</v>
      </c>
      <c r="O127" s="186">
        <v>58</v>
      </c>
      <c r="P127" s="124" t="s">
        <v>3989</v>
      </c>
      <c r="Q127" s="124" t="s">
        <v>3989</v>
      </c>
      <c r="R127" s="193">
        <v>59</v>
      </c>
      <c r="S127" s="193">
        <v>84</v>
      </c>
      <c r="T127" s="125" t="s">
        <v>3990</v>
      </c>
      <c r="U127" s="125" t="s">
        <v>3990</v>
      </c>
      <c r="V127" s="165">
        <v>85</v>
      </c>
      <c r="W127" s="165">
        <v>120</v>
      </c>
      <c r="X127" s="122" t="s">
        <v>3991</v>
      </c>
      <c r="Y127" s="122" t="s">
        <v>3991</v>
      </c>
      <c r="Z127" s="173"/>
      <c r="AA127" s="173"/>
      <c r="AB127" s="123"/>
      <c r="AC127" s="123"/>
      <c r="AD127" s="186"/>
      <c r="AE127" s="186"/>
      <c r="AF127" s="124"/>
      <c r="AG127" s="124"/>
      <c r="AH127" s="209"/>
      <c r="AI127" s="209"/>
      <c r="AJ127" s="126"/>
      <c r="AK127" s="126"/>
      <c r="AL127" s="180"/>
      <c r="AM127" s="180"/>
      <c r="AN127" s="127"/>
      <c r="AO127" s="127"/>
      <c r="AP127" s="171"/>
      <c r="AQ127" s="171"/>
      <c r="AR127" s="128"/>
      <c r="AS127" s="128"/>
      <c r="AT127" s="121"/>
      <c r="AU127" s="121"/>
    </row>
    <row r="128" spans="1:47">
      <c r="A128" s="121">
        <v>247</v>
      </c>
      <c r="B128" s="121">
        <v>3</v>
      </c>
      <c r="C128" s="121"/>
      <c r="D128" s="121"/>
      <c r="E128" s="151">
        <v>-999999.9</v>
      </c>
      <c r="F128" s="164">
        <v>6</v>
      </c>
      <c r="G128" s="215">
        <v>14</v>
      </c>
      <c r="H128" s="122" t="s">
        <v>3992</v>
      </c>
      <c r="I128" s="122" t="s">
        <v>3992</v>
      </c>
      <c r="J128" s="173">
        <v>15</v>
      </c>
      <c r="K128" s="173">
        <v>20</v>
      </c>
      <c r="L128" s="123" t="s">
        <v>3993</v>
      </c>
      <c r="M128" s="123" t="s">
        <v>3993</v>
      </c>
      <c r="N128" s="186">
        <v>21</v>
      </c>
      <c r="O128" s="186">
        <v>28</v>
      </c>
      <c r="P128" s="124" t="s">
        <v>3994</v>
      </c>
      <c r="Q128" s="124" t="s">
        <v>3994</v>
      </c>
      <c r="R128" s="193">
        <v>29</v>
      </c>
      <c r="S128" s="193">
        <v>41</v>
      </c>
      <c r="T128" s="126" t="s">
        <v>3995</v>
      </c>
      <c r="U128" s="126" t="s">
        <v>3995</v>
      </c>
      <c r="V128" s="165">
        <v>42</v>
      </c>
      <c r="W128" s="165">
        <v>120</v>
      </c>
      <c r="X128" s="122" t="s">
        <v>3996</v>
      </c>
      <c r="Y128" s="122" t="s">
        <v>3996</v>
      </c>
      <c r="Z128" s="173"/>
      <c r="AA128" s="173"/>
      <c r="AB128" s="123"/>
      <c r="AC128" s="123"/>
      <c r="AD128" s="186"/>
      <c r="AE128" s="186"/>
      <c r="AF128" s="124"/>
      <c r="AG128" s="124"/>
      <c r="AH128" s="191"/>
      <c r="AI128" s="191"/>
      <c r="AJ128" s="126"/>
      <c r="AK128" s="126"/>
      <c r="AL128" s="180"/>
      <c r="AM128" s="180"/>
      <c r="AN128" s="127"/>
      <c r="AO128" s="127"/>
      <c r="AP128" s="171"/>
      <c r="AQ128" s="171"/>
      <c r="AR128" s="128"/>
      <c r="AS128" s="128"/>
      <c r="AT128" s="121"/>
      <c r="AU128" s="121"/>
    </row>
    <row r="129" spans="1:47">
      <c r="A129" s="121">
        <v>248</v>
      </c>
      <c r="B129" s="121">
        <v>3</v>
      </c>
      <c r="C129" s="121"/>
      <c r="D129" s="121"/>
      <c r="E129" s="151">
        <v>-999999.9</v>
      </c>
      <c r="F129" s="166">
        <v>-9.9999999999999995E-7</v>
      </c>
      <c r="G129" s="215">
        <v>11</v>
      </c>
      <c r="H129" s="122" t="s">
        <v>3997</v>
      </c>
      <c r="I129" s="122" t="s">
        <v>3997</v>
      </c>
      <c r="J129" s="173">
        <v>12</v>
      </c>
      <c r="K129" s="173">
        <v>36</v>
      </c>
      <c r="L129" s="123" t="s">
        <v>3998</v>
      </c>
      <c r="M129" s="123" t="s">
        <v>3998</v>
      </c>
      <c r="N129" s="186">
        <v>37</v>
      </c>
      <c r="O129" s="186">
        <v>64</v>
      </c>
      <c r="P129" s="124" t="s">
        <v>3999</v>
      </c>
      <c r="Q129" s="124" t="s">
        <v>3999</v>
      </c>
      <c r="R129" s="193">
        <v>65</v>
      </c>
      <c r="S129" s="193">
        <v>89</v>
      </c>
      <c r="T129" s="126" t="s">
        <v>4000</v>
      </c>
      <c r="U129" s="126" t="s">
        <v>4000</v>
      </c>
      <c r="V129" s="165">
        <v>90</v>
      </c>
      <c r="W129" s="165">
        <v>100</v>
      </c>
      <c r="X129" s="122" t="s">
        <v>4001</v>
      </c>
      <c r="Y129" s="122" t="s">
        <v>4001</v>
      </c>
      <c r="Z129" s="173"/>
      <c r="AA129" s="173"/>
      <c r="AB129" s="123"/>
      <c r="AC129" s="123"/>
      <c r="AD129" s="186"/>
      <c r="AE129" s="186"/>
      <c r="AF129" s="124"/>
      <c r="AG129" s="124"/>
      <c r="AH129" s="209"/>
      <c r="AI129" s="209"/>
      <c r="AJ129" s="126"/>
      <c r="AK129" s="126"/>
      <c r="AL129" s="180"/>
      <c r="AM129" s="180"/>
      <c r="AN129" s="127"/>
      <c r="AO129" s="127"/>
      <c r="AP129" s="171"/>
      <c r="AQ129" s="171"/>
      <c r="AR129" s="128"/>
      <c r="AS129" s="128"/>
      <c r="AT129" s="121"/>
      <c r="AU129" s="121"/>
    </row>
    <row r="130" spans="1:47">
      <c r="A130" s="121">
        <v>249</v>
      </c>
      <c r="B130" s="121">
        <v>3</v>
      </c>
      <c r="C130" s="121"/>
      <c r="D130" s="121"/>
      <c r="E130" s="151">
        <v>-999999.9</v>
      </c>
      <c r="F130" s="166">
        <v>-9.9999999999999995E-7</v>
      </c>
      <c r="G130" s="215">
        <v>0</v>
      </c>
      <c r="H130" s="122" t="s">
        <v>4002</v>
      </c>
      <c r="I130" s="122" t="s">
        <v>4002</v>
      </c>
      <c r="J130" s="173">
        <v>1</v>
      </c>
      <c r="K130" s="173">
        <v>1</v>
      </c>
      <c r="L130" s="123" t="s">
        <v>4003</v>
      </c>
      <c r="M130" s="123" t="s">
        <v>4003</v>
      </c>
      <c r="N130" s="186">
        <v>2</v>
      </c>
      <c r="O130" s="186">
        <v>2</v>
      </c>
      <c r="P130" s="124" t="s">
        <v>4004</v>
      </c>
      <c r="Q130" s="124" t="s">
        <v>4004</v>
      </c>
      <c r="R130" s="193">
        <v>3</v>
      </c>
      <c r="S130" s="193">
        <v>4</v>
      </c>
      <c r="T130" s="126" t="s">
        <v>4005</v>
      </c>
      <c r="U130" s="126" t="s">
        <v>4005</v>
      </c>
      <c r="V130" s="165">
        <v>5</v>
      </c>
      <c r="W130" s="165">
        <v>8</v>
      </c>
      <c r="X130" s="122" t="s">
        <v>4006</v>
      </c>
      <c r="Y130" s="122" t="s">
        <v>4006</v>
      </c>
      <c r="Z130" s="173"/>
      <c r="AA130" s="173"/>
      <c r="AB130" s="123"/>
      <c r="AC130" s="123"/>
      <c r="AD130" s="186"/>
      <c r="AE130" s="186"/>
      <c r="AF130" s="124"/>
      <c r="AG130" s="124"/>
      <c r="AH130" s="191"/>
      <c r="AI130" s="191"/>
      <c r="AJ130" s="126"/>
      <c r="AK130" s="126"/>
      <c r="AL130" s="180"/>
      <c r="AM130" s="180"/>
      <c r="AN130" s="127"/>
      <c r="AO130" s="127"/>
      <c r="AP130" s="171"/>
      <c r="AQ130" s="171"/>
      <c r="AR130" s="128"/>
      <c r="AS130" s="128"/>
      <c r="AT130" s="121"/>
      <c r="AU130" s="121"/>
    </row>
    <row r="131" spans="1:47">
      <c r="A131" s="121">
        <v>250</v>
      </c>
      <c r="B131" s="121">
        <v>3</v>
      </c>
      <c r="C131" s="121"/>
      <c r="D131" s="121"/>
      <c r="E131" s="151">
        <v>-999999.9</v>
      </c>
      <c r="F131" s="166">
        <v>-9.9999999999999995E-7</v>
      </c>
      <c r="G131" s="215">
        <v>1</v>
      </c>
      <c r="H131" s="122" t="s">
        <v>3548</v>
      </c>
      <c r="I131" s="122" t="s">
        <v>3548</v>
      </c>
      <c r="J131" s="173">
        <v>2</v>
      </c>
      <c r="K131" s="173">
        <v>3</v>
      </c>
      <c r="L131" s="123" t="s">
        <v>3970</v>
      </c>
      <c r="M131" s="123" t="s">
        <v>3970</v>
      </c>
      <c r="N131" s="186">
        <v>4</v>
      </c>
      <c r="O131" s="186">
        <v>5</v>
      </c>
      <c r="P131" s="124" t="s">
        <v>3971</v>
      </c>
      <c r="Q131" s="124" t="s">
        <v>3971</v>
      </c>
      <c r="R131" s="193">
        <v>6</v>
      </c>
      <c r="S131" s="193">
        <v>7</v>
      </c>
      <c r="T131" s="126" t="s">
        <v>3972</v>
      </c>
      <c r="U131" s="126" t="s">
        <v>3972</v>
      </c>
      <c r="V131" s="165">
        <v>8</v>
      </c>
      <c r="W131" s="165">
        <v>10</v>
      </c>
      <c r="X131" s="122" t="s">
        <v>3973</v>
      </c>
      <c r="Y131" s="122" t="s">
        <v>3973</v>
      </c>
      <c r="Z131" s="173"/>
      <c r="AA131" s="173"/>
      <c r="AB131" s="123"/>
      <c r="AC131" s="123"/>
      <c r="AD131" s="186"/>
      <c r="AE131" s="186"/>
      <c r="AF131" s="124"/>
      <c r="AG131" s="124"/>
      <c r="AH131" s="209"/>
      <c r="AI131" s="209"/>
      <c r="AJ131" s="126"/>
      <c r="AK131" s="126"/>
      <c r="AL131" s="180"/>
      <c r="AM131" s="180"/>
      <c r="AN131" s="127"/>
      <c r="AO131" s="127"/>
      <c r="AP131" s="171"/>
      <c r="AQ131" s="171"/>
      <c r="AR131" s="128"/>
      <c r="AS131" s="128"/>
      <c r="AT131" s="121"/>
      <c r="AU131" s="121"/>
    </row>
    <row r="132" spans="1:47" customFormat="1">
      <c r="A132">
        <v>251</v>
      </c>
      <c r="B132" s="147">
        <v>3</v>
      </c>
      <c r="C132" s="147"/>
      <c r="D132" s="147"/>
      <c r="E132" s="151">
        <v>-999999.9</v>
      </c>
      <c r="F132" s="164">
        <v>7.0000000000000001E-3</v>
      </c>
      <c r="G132" s="217">
        <v>0.06</v>
      </c>
      <c r="H132" s="145" t="s">
        <v>4007</v>
      </c>
      <c r="I132" s="145" t="s">
        <v>4007</v>
      </c>
      <c r="J132" s="176">
        <v>0.06</v>
      </c>
      <c r="K132" s="176">
        <v>0.12</v>
      </c>
      <c r="L132" s="144" t="s">
        <v>4008</v>
      </c>
      <c r="M132" s="144" t="s">
        <v>4008</v>
      </c>
      <c r="N132" s="188">
        <v>0.12</v>
      </c>
      <c r="O132" s="188">
        <v>0.2</v>
      </c>
      <c r="P132" s="143" t="s">
        <v>4009</v>
      </c>
      <c r="Q132" s="143" t="s">
        <v>4009</v>
      </c>
      <c r="R132" s="195">
        <v>0.2</v>
      </c>
      <c r="S132" s="195">
        <v>0.32</v>
      </c>
      <c r="T132" s="142" t="s">
        <v>4010</v>
      </c>
      <c r="U132" s="142" t="s">
        <v>4010</v>
      </c>
      <c r="V132" s="166">
        <v>0.32</v>
      </c>
      <c r="W132" s="166">
        <v>0.71</v>
      </c>
      <c r="X132" s="145" t="s">
        <v>4011</v>
      </c>
      <c r="Y132" s="145" t="s">
        <v>4011</v>
      </c>
      <c r="Z132" s="176"/>
      <c r="AA132" s="176"/>
      <c r="AB132" s="144"/>
      <c r="AC132" s="144"/>
      <c r="AD132" s="188"/>
      <c r="AE132" s="188"/>
      <c r="AF132" s="143"/>
      <c r="AG132" s="143"/>
      <c r="AH132" s="191"/>
      <c r="AI132" s="191"/>
      <c r="AJ132" s="142"/>
      <c r="AK132" s="142"/>
      <c r="AL132" s="180"/>
      <c r="AM132" s="180"/>
      <c r="AN132" s="141"/>
      <c r="AO132" s="141"/>
      <c r="AP132" s="171"/>
      <c r="AQ132" s="171"/>
      <c r="AR132" s="140"/>
      <c r="AS132" s="140"/>
    </row>
    <row r="133" spans="1:47">
      <c r="A133" s="121">
        <v>252</v>
      </c>
      <c r="B133" s="121">
        <v>3</v>
      </c>
      <c r="C133" s="121"/>
      <c r="D133" s="121"/>
      <c r="E133" s="151">
        <v>-999999.9</v>
      </c>
      <c r="F133" s="166">
        <v>-9.9999999999999995E-7</v>
      </c>
      <c r="G133" s="215">
        <v>10</v>
      </c>
      <c r="H133" s="122" t="s">
        <v>4012</v>
      </c>
      <c r="I133" s="122" t="s">
        <v>4012</v>
      </c>
      <c r="J133" s="173">
        <v>10</v>
      </c>
      <c r="K133" s="173">
        <v>26</v>
      </c>
      <c r="L133" s="123" t="s">
        <v>4013</v>
      </c>
      <c r="M133" s="123" t="s">
        <v>4013</v>
      </c>
      <c r="N133" s="186">
        <v>26</v>
      </c>
      <c r="O133" s="186">
        <v>45</v>
      </c>
      <c r="P133" s="124" t="s">
        <v>4014</v>
      </c>
      <c r="Q133" s="124" t="s">
        <v>4014</v>
      </c>
      <c r="R133" s="193">
        <v>45</v>
      </c>
      <c r="S133" s="193">
        <v>68</v>
      </c>
      <c r="T133" s="126" t="s">
        <v>4015</v>
      </c>
      <c r="U133" s="126" t="s">
        <v>4015</v>
      </c>
      <c r="V133" s="165">
        <v>68</v>
      </c>
      <c r="W133" s="165">
        <v>100</v>
      </c>
      <c r="X133" s="122" t="s">
        <v>4016</v>
      </c>
      <c r="Y133" s="122" t="s">
        <v>4016</v>
      </c>
      <c r="Z133" s="173"/>
      <c r="AA133" s="173"/>
      <c r="AB133" s="123"/>
      <c r="AC133" s="123"/>
      <c r="AD133" s="186"/>
      <c r="AE133" s="186"/>
      <c r="AF133" s="124"/>
      <c r="AG133" s="124"/>
      <c r="AH133" s="209"/>
      <c r="AI133" s="209"/>
      <c r="AJ133" s="126"/>
      <c r="AK133" s="126"/>
      <c r="AL133" s="180"/>
      <c r="AM133" s="180"/>
      <c r="AN133" s="127"/>
      <c r="AO133" s="127"/>
      <c r="AP133" s="171"/>
      <c r="AQ133" s="171"/>
      <c r="AR133" s="128"/>
      <c r="AS133" s="128"/>
      <c r="AT133" s="121"/>
      <c r="AU133" s="121"/>
    </row>
    <row r="134" spans="1:47">
      <c r="A134" s="121">
        <v>253</v>
      </c>
      <c r="B134" s="121">
        <v>3</v>
      </c>
      <c r="C134" s="121"/>
      <c r="D134" s="121"/>
      <c r="E134" s="151">
        <v>-999999.9</v>
      </c>
      <c r="F134" s="166">
        <v>-9.9999999999999995E-7</v>
      </c>
      <c r="G134" s="215">
        <v>30</v>
      </c>
      <c r="H134" s="122" t="s">
        <v>4017</v>
      </c>
      <c r="I134" s="122" t="s">
        <v>4017</v>
      </c>
      <c r="J134" s="173">
        <v>30</v>
      </c>
      <c r="K134" s="173">
        <v>60</v>
      </c>
      <c r="L134" s="123" t="s">
        <v>4018</v>
      </c>
      <c r="M134" s="123" t="s">
        <v>4018</v>
      </c>
      <c r="N134" s="186">
        <v>60</v>
      </c>
      <c r="O134" s="186">
        <v>90</v>
      </c>
      <c r="P134" s="124" t="s">
        <v>4019</v>
      </c>
      <c r="Q134" s="124" t="s">
        <v>4019</v>
      </c>
      <c r="R134" s="193">
        <v>90</v>
      </c>
      <c r="S134" s="193">
        <v>130</v>
      </c>
      <c r="T134" s="126" t="s">
        <v>3958</v>
      </c>
      <c r="U134" s="126" t="s">
        <v>3958</v>
      </c>
      <c r="V134" s="165">
        <v>130</v>
      </c>
      <c r="W134" s="165">
        <v>177</v>
      </c>
      <c r="X134" s="122" t="s">
        <v>4020</v>
      </c>
      <c r="Y134" s="122" t="s">
        <v>4020</v>
      </c>
      <c r="Z134" s="173"/>
      <c r="AA134" s="173"/>
      <c r="AB134" s="123"/>
      <c r="AC134" s="123"/>
      <c r="AD134" s="186"/>
      <c r="AE134" s="186"/>
      <c r="AF134" s="124"/>
      <c r="AG134" s="124"/>
      <c r="AH134" s="191"/>
      <c r="AI134" s="191"/>
      <c r="AJ134" s="126"/>
      <c r="AK134" s="126"/>
      <c r="AL134" s="180"/>
      <c r="AM134" s="180"/>
      <c r="AN134" s="127"/>
      <c r="AO134" s="127"/>
      <c r="AP134" s="171"/>
      <c r="AQ134" s="171"/>
      <c r="AR134" s="128"/>
      <c r="AS134" s="128"/>
      <c r="AT134" s="121"/>
      <c r="AU134" s="121"/>
    </row>
    <row r="135" spans="1:47">
      <c r="A135" s="121">
        <v>254</v>
      </c>
      <c r="B135" s="121">
        <v>3</v>
      </c>
      <c r="C135" s="121"/>
      <c r="D135" s="121"/>
      <c r="E135" s="151">
        <v>-999999.9</v>
      </c>
      <c r="F135" s="166">
        <v>-9.9999999999999995E-7</v>
      </c>
      <c r="G135" s="215">
        <v>4</v>
      </c>
      <c r="H135" s="122" t="s">
        <v>4021</v>
      </c>
      <c r="I135" s="122" t="s">
        <v>4021</v>
      </c>
      <c r="J135" s="173">
        <v>4</v>
      </c>
      <c r="K135" s="173">
        <v>7</v>
      </c>
      <c r="L135" s="123" t="s">
        <v>4022</v>
      </c>
      <c r="M135" s="123" t="s">
        <v>4022</v>
      </c>
      <c r="N135" s="186">
        <v>7</v>
      </c>
      <c r="O135" s="186">
        <v>12</v>
      </c>
      <c r="P135" s="124" t="s">
        <v>4023</v>
      </c>
      <c r="Q135" s="124" t="s">
        <v>4023</v>
      </c>
      <c r="R135" s="193">
        <v>12</v>
      </c>
      <c r="S135" s="193">
        <v>20</v>
      </c>
      <c r="T135" s="126" t="s">
        <v>4024</v>
      </c>
      <c r="U135" s="126" t="s">
        <v>4024</v>
      </c>
      <c r="V135" s="165">
        <v>20</v>
      </c>
      <c r="W135" s="165">
        <v>34</v>
      </c>
      <c r="X135" s="122" t="s">
        <v>4025</v>
      </c>
      <c r="Y135" s="122" t="s">
        <v>4025</v>
      </c>
      <c r="Z135" s="173"/>
      <c r="AA135" s="173"/>
      <c r="AB135" s="123"/>
      <c r="AC135" s="123"/>
      <c r="AD135" s="186"/>
      <c r="AE135" s="186"/>
      <c r="AF135" s="124"/>
      <c r="AG135" s="124"/>
      <c r="AH135" s="209"/>
      <c r="AI135" s="209"/>
      <c r="AJ135" s="126"/>
      <c r="AK135" s="126"/>
      <c r="AL135" s="180"/>
      <c r="AM135" s="180"/>
      <c r="AN135" s="127"/>
      <c r="AO135" s="127"/>
      <c r="AP135" s="171"/>
      <c r="AQ135" s="171"/>
      <c r="AR135" s="128"/>
      <c r="AS135" s="128"/>
      <c r="AT135" s="121"/>
      <c r="AU135" s="121"/>
    </row>
    <row r="136" spans="1:47">
      <c r="A136" s="121">
        <v>255</v>
      </c>
      <c r="B136" s="121">
        <v>3</v>
      </c>
      <c r="C136" s="121"/>
      <c r="D136" s="121"/>
      <c r="E136" s="151">
        <v>-999999.9</v>
      </c>
      <c r="F136" s="166">
        <v>-9.9999999999999995E-7</v>
      </c>
      <c r="G136" s="215">
        <v>10</v>
      </c>
      <c r="H136" s="122" t="s">
        <v>4026</v>
      </c>
      <c r="I136" s="122" t="s">
        <v>4027</v>
      </c>
      <c r="J136" s="173">
        <v>10</v>
      </c>
      <c r="K136" s="173">
        <v>15</v>
      </c>
      <c r="L136" s="123" t="s">
        <v>4028</v>
      </c>
      <c r="M136" s="123" t="s">
        <v>4028</v>
      </c>
      <c r="N136" s="186">
        <v>15</v>
      </c>
      <c r="O136" s="186">
        <v>25</v>
      </c>
      <c r="P136" s="124" t="s">
        <v>4029</v>
      </c>
      <c r="Q136" s="124" t="s">
        <v>4029</v>
      </c>
      <c r="R136" s="193">
        <v>25</v>
      </c>
      <c r="S136" s="193">
        <v>40</v>
      </c>
      <c r="T136" s="126" t="s">
        <v>4030</v>
      </c>
      <c r="U136" s="126" t="s">
        <v>4030</v>
      </c>
      <c r="V136" s="165">
        <v>40</v>
      </c>
      <c r="W136" s="165">
        <v>70</v>
      </c>
      <c r="X136" s="122" t="s">
        <v>4031</v>
      </c>
      <c r="Y136" s="122" t="s">
        <v>4031</v>
      </c>
      <c r="Z136" s="173"/>
      <c r="AA136" s="173"/>
      <c r="AB136" s="123"/>
      <c r="AC136" s="123"/>
      <c r="AD136" s="186"/>
      <c r="AE136" s="186"/>
      <c r="AF136" s="124"/>
      <c r="AG136" s="124"/>
      <c r="AH136" s="191"/>
      <c r="AI136" s="191"/>
      <c r="AJ136" s="126"/>
      <c r="AK136" s="126"/>
      <c r="AL136" s="180"/>
      <c r="AM136" s="180"/>
      <c r="AN136" s="127"/>
      <c r="AO136" s="127"/>
      <c r="AP136" s="171"/>
      <c r="AQ136" s="171"/>
      <c r="AR136" s="128"/>
      <c r="AS136" s="128"/>
      <c r="AT136" s="121"/>
      <c r="AU136" s="121"/>
    </row>
    <row r="137" spans="1:47">
      <c r="A137" s="121">
        <v>256</v>
      </c>
      <c r="B137" s="121">
        <v>3</v>
      </c>
      <c r="C137" s="121" t="s">
        <v>3773</v>
      </c>
      <c r="D137" s="139" t="s">
        <v>3774</v>
      </c>
      <c r="E137" s="151">
        <v>-999999.9</v>
      </c>
      <c r="F137" s="166">
        <v>-9.9999999999999995E-7</v>
      </c>
      <c r="G137" s="215">
        <v>150</v>
      </c>
      <c r="H137" s="122" t="s">
        <v>4032</v>
      </c>
      <c r="I137" s="122" t="s">
        <v>4032</v>
      </c>
      <c r="J137" s="173">
        <v>150</v>
      </c>
      <c r="K137" s="173">
        <v>350</v>
      </c>
      <c r="L137" s="123" t="s">
        <v>4033</v>
      </c>
      <c r="M137" s="123" t="s">
        <v>4033</v>
      </c>
      <c r="N137" s="186">
        <v>350</v>
      </c>
      <c r="O137" s="186">
        <v>700</v>
      </c>
      <c r="P137" s="124" t="s">
        <v>4034</v>
      </c>
      <c r="Q137" s="124" t="s">
        <v>4034</v>
      </c>
      <c r="R137" s="193">
        <v>700</v>
      </c>
      <c r="S137" s="193">
        <v>1250</v>
      </c>
      <c r="T137" s="126" t="s">
        <v>4035</v>
      </c>
      <c r="U137" s="126" t="s">
        <v>4035</v>
      </c>
      <c r="V137" s="165">
        <v>1250</v>
      </c>
      <c r="W137" s="165">
        <v>3360</v>
      </c>
      <c r="X137" s="122" t="s">
        <v>4036</v>
      </c>
      <c r="Y137" s="122" t="s">
        <v>4036</v>
      </c>
      <c r="Z137" s="173"/>
      <c r="AA137" s="173"/>
      <c r="AB137" s="123"/>
      <c r="AC137" s="123"/>
      <c r="AD137" s="186"/>
      <c r="AE137" s="186"/>
      <c r="AF137" s="124"/>
      <c r="AG137" s="124"/>
      <c r="AH137" s="209"/>
      <c r="AI137" s="209"/>
      <c r="AJ137" s="126"/>
      <c r="AK137" s="126"/>
      <c r="AL137" s="180"/>
      <c r="AM137" s="180"/>
      <c r="AN137" s="127"/>
      <c r="AO137" s="127"/>
      <c r="AP137" s="171"/>
      <c r="AQ137" s="171"/>
      <c r="AR137" s="128"/>
      <c r="AS137" s="128"/>
      <c r="AT137" s="121"/>
      <c r="AU137" s="121"/>
    </row>
    <row r="138" spans="1:47">
      <c r="A138" s="121">
        <v>257</v>
      </c>
      <c r="B138" s="121">
        <v>3</v>
      </c>
      <c r="C138" s="121"/>
      <c r="D138" s="121"/>
      <c r="E138" s="151">
        <v>-999999.9</v>
      </c>
      <c r="F138" s="164">
        <v>-35</v>
      </c>
      <c r="G138" s="215">
        <v>-20</v>
      </c>
      <c r="H138" s="122" t="s">
        <v>4037</v>
      </c>
      <c r="I138" s="122" t="s">
        <v>4037</v>
      </c>
      <c r="J138" s="173">
        <v>-20</v>
      </c>
      <c r="K138" s="173">
        <v>-10</v>
      </c>
      <c r="L138" s="123" t="s">
        <v>4038</v>
      </c>
      <c r="M138" s="123" t="s">
        <v>4038</v>
      </c>
      <c r="N138" s="186">
        <v>-10</v>
      </c>
      <c r="O138" s="186">
        <v>-4</v>
      </c>
      <c r="P138" s="124" t="s">
        <v>4039</v>
      </c>
      <c r="Q138" s="124" t="s">
        <v>4039</v>
      </c>
      <c r="R138" s="193">
        <v>-4</v>
      </c>
      <c r="S138" s="193">
        <v>-1</v>
      </c>
      <c r="T138" s="126" t="s">
        <v>4040</v>
      </c>
      <c r="U138" s="126" t="s">
        <v>4040</v>
      </c>
      <c r="V138" s="165">
        <v>-1</v>
      </c>
      <c r="W138" s="165">
        <v>0.12</v>
      </c>
      <c r="X138" s="122" t="s">
        <v>4041</v>
      </c>
      <c r="Y138" s="122" t="s">
        <v>4041</v>
      </c>
      <c r="Z138" s="173"/>
      <c r="AA138" s="173"/>
      <c r="AB138" s="123"/>
      <c r="AC138" s="123"/>
      <c r="AD138" s="186"/>
      <c r="AE138" s="186"/>
      <c r="AF138" s="124"/>
      <c r="AG138" s="124"/>
      <c r="AH138" s="191"/>
      <c r="AI138" s="191"/>
      <c r="AJ138" s="126"/>
      <c r="AK138" s="126"/>
      <c r="AL138" s="180"/>
      <c r="AM138" s="180"/>
      <c r="AN138" s="127"/>
      <c r="AO138" s="127"/>
      <c r="AP138" s="171"/>
      <c r="AQ138" s="171"/>
      <c r="AR138" s="128"/>
      <c r="AS138" s="128"/>
      <c r="AT138" s="121"/>
      <c r="AU138" s="121"/>
    </row>
    <row r="139" spans="1:47">
      <c r="A139" s="121">
        <v>258</v>
      </c>
      <c r="B139" s="121">
        <v>3</v>
      </c>
      <c r="C139" s="121"/>
      <c r="D139" s="121"/>
      <c r="E139" s="151">
        <v>-999999.9</v>
      </c>
      <c r="F139" s="165">
        <v>0.1</v>
      </c>
      <c r="G139" s="215">
        <v>1.5</v>
      </c>
      <c r="H139" s="122" t="s">
        <v>4042</v>
      </c>
      <c r="I139" s="122" t="s">
        <v>4042</v>
      </c>
      <c r="J139" s="173">
        <v>1.5</v>
      </c>
      <c r="K139" s="173">
        <v>3.5</v>
      </c>
      <c r="L139" s="123" t="s">
        <v>4043</v>
      </c>
      <c r="M139" s="123" t="s">
        <v>4043</v>
      </c>
      <c r="N139" s="186">
        <v>3.5</v>
      </c>
      <c r="O139" s="186">
        <v>7.5</v>
      </c>
      <c r="P139" s="124" t="s">
        <v>4044</v>
      </c>
      <c r="Q139" s="124" t="s">
        <v>4044</v>
      </c>
      <c r="R139" s="193">
        <v>7.5</v>
      </c>
      <c r="S139" s="193">
        <v>32</v>
      </c>
      <c r="T139" s="126" t="s">
        <v>4045</v>
      </c>
      <c r="U139" s="126" t="s">
        <v>4045</v>
      </c>
      <c r="V139" s="165">
        <v>32</v>
      </c>
      <c r="W139" s="165">
        <v>66.900000000000006</v>
      </c>
      <c r="X139" s="122" t="s">
        <v>4046</v>
      </c>
      <c r="Y139" s="122" t="s">
        <v>4046</v>
      </c>
      <c r="Z139" s="173"/>
      <c r="AA139" s="173"/>
      <c r="AB139" s="123"/>
      <c r="AC139" s="123"/>
      <c r="AD139" s="186"/>
      <c r="AE139" s="186"/>
      <c r="AF139" s="124"/>
      <c r="AG139" s="124"/>
      <c r="AH139" s="209"/>
      <c r="AI139" s="209"/>
      <c r="AJ139" s="126"/>
      <c r="AK139" s="126"/>
      <c r="AL139" s="180"/>
      <c r="AM139" s="180"/>
      <c r="AN139" s="127"/>
      <c r="AO139" s="127"/>
      <c r="AP139" s="171"/>
      <c r="AQ139" s="171"/>
      <c r="AR139" s="128"/>
      <c r="AS139" s="128"/>
      <c r="AT139" s="121"/>
      <c r="AU139" s="121"/>
    </row>
    <row r="140" spans="1:47">
      <c r="A140" s="121">
        <v>259</v>
      </c>
      <c r="B140" s="121">
        <v>3</v>
      </c>
      <c r="C140" s="121"/>
      <c r="D140" s="121"/>
      <c r="E140" s="151">
        <v>-999999.9</v>
      </c>
      <c r="F140" s="164">
        <v>-9.9999999999999995E-7</v>
      </c>
      <c r="G140" s="215">
        <v>7</v>
      </c>
      <c r="H140" s="122" t="s">
        <v>3883</v>
      </c>
      <c r="I140" s="122" t="s">
        <v>3883</v>
      </c>
      <c r="J140" s="173">
        <v>7</v>
      </c>
      <c r="K140" s="173">
        <v>15</v>
      </c>
      <c r="L140" s="123" t="s">
        <v>3923</v>
      </c>
      <c r="M140" s="123" t="s">
        <v>3923</v>
      </c>
      <c r="N140" s="186">
        <v>15</v>
      </c>
      <c r="O140" s="186">
        <v>28</v>
      </c>
      <c r="P140" s="124" t="s">
        <v>3924</v>
      </c>
      <c r="Q140" s="124" t="s">
        <v>3924</v>
      </c>
      <c r="R140" s="193">
        <v>28</v>
      </c>
      <c r="S140" s="193">
        <v>50</v>
      </c>
      <c r="T140" s="126" t="s">
        <v>4047</v>
      </c>
      <c r="U140" s="126" t="s">
        <v>4047</v>
      </c>
      <c r="V140" s="165">
        <v>50</v>
      </c>
      <c r="W140" s="165">
        <v>100</v>
      </c>
      <c r="X140" s="122" t="s">
        <v>3925</v>
      </c>
      <c r="Y140" s="122" t="s">
        <v>3925</v>
      </c>
      <c r="Z140" s="173"/>
      <c r="AA140" s="173"/>
      <c r="AB140" s="123"/>
      <c r="AC140" s="123"/>
      <c r="AD140" s="186"/>
      <c r="AE140" s="186"/>
      <c r="AF140" s="124"/>
      <c r="AG140" s="124"/>
      <c r="AH140" s="191"/>
      <c r="AI140" s="191"/>
      <c r="AJ140" s="126"/>
      <c r="AK140" s="126"/>
      <c r="AL140" s="180"/>
      <c r="AM140" s="180"/>
      <c r="AN140" s="127"/>
      <c r="AO140" s="127"/>
      <c r="AP140" s="171"/>
      <c r="AQ140" s="171"/>
      <c r="AR140" s="128"/>
      <c r="AS140" s="128"/>
      <c r="AT140" s="121"/>
      <c r="AU140" s="121"/>
    </row>
    <row r="141" spans="1:47">
      <c r="A141" s="121">
        <v>260</v>
      </c>
      <c r="B141" s="121">
        <v>3</v>
      </c>
      <c r="C141" s="121"/>
      <c r="D141" s="121"/>
      <c r="E141" s="151">
        <v>-999999.9</v>
      </c>
      <c r="F141" s="165">
        <v>18</v>
      </c>
      <c r="G141" s="215">
        <v>22</v>
      </c>
      <c r="H141" s="122" t="s">
        <v>4048</v>
      </c>
      <c r="I141" s="122" t="s">
        <v>4048</v>
      </c>
      <c r="J141" s="173">
        <v>22</v>
      </c>
      <c r="K141" s="173">
        <v>23</v>
      </c>
      <c r="L141" s="123" t="s">
        <v>4049</v>
      </c>
      <c r="M141" s="123" t="s">
        <v>4049</v>
      </c>
      <c r="N141" s="186">
        <v>23</v>
      </c>
      <c r="O141" s="186">
        <v>24</v>
      </c>
      <c r="P141" s="124" t="s">
        <v>4050</v>
      </c>
      <c r="Q141" s="124" t="s">
        <v>4050</v>
      </c>
      <c r="R141" s="193">
        <v>24</v>
      </c>
      <c r="S141" s="193">
        <v>26</v>
      </c>
      <c r="T141" s="126" t="s">
        <v>4051</v>
      </c>
      <c r="U141" s="126" t="s">
        <v>4051</v>
      </c>
      <c r="V141" s="165">
        <v>26</v>
      </c>
      <c r="W141" s="165">
        <v>28</v>
      </c>
      <c r="X141" s="122" t="s">
        <v>4052</v>
      </c>
      <c r="Y141" s="122" t="s">
        <v>4052</v>
      </c>
      <c r="Z141" s="173"/>
      <c r="AA141" s="173"/>
      <c r="AB141" s="123"/>
      <c r="AC141" s="123"/>
      <c r="AD141" s="186"/>
      <c r="AE141" s="186"/>
      <c r="AF141" s="124"/>
      <c r="AG141" s="124"/>
      <c r="AH141" s="209"/>
      <c r="AI141" s="209"/>
      <c r="AJ141" s="126"/>
      <c r="AK141" s="126"/>
      <c r="AL141" s="180"/>
      <c r="AM141" s="180"/>
      <c r="AN141" s="127"/>
      <c r="AO141" s="127"/>
      <c r="AP141" s="171"/>
      <c r="AQ141" s="171"/>
      <c r="AR141" s="128"/>
      <c r="AS141" s="128"/>
      <c r="AT141" s="121"/>
      <c r="AU141" s="121"/>
    </row>
    <row r="142" spans="1:47">
      <c r="A142" s="121">
        <v>261</v>
      </c>
      <c r="B142" s="121">
        <v>3</v>
      </c>
      <c r="C142" s="121"/>
      <c r="D142" s="121"/>
      <c r="E142" s="151">
        <v>-999999.9</v>
      </c>
      <c r="F142" s="165">
        <v>19</v>
      </c>
      <c r="G142" s="215">
        <v>23</v>
      </c>
      <c r="H142" s="122" t="s">
        <v>4053</v>
      </c>
      <c r="I142" s="122" t="s">
        <v>4053</v>
      </c>
      <c r="J142" s="173">
        <v>23</v>
      </c>
      <c r="K142" s="173">
        <v>24</v>
      </c>
      <c r="L142" s="123" t="s">
        <v>4050</v>
      </c>
      <c r="M142" s="123" t="s">
        <v>4050</v>
      </c>
      <c r="N142" s="186">
        <v>24</v>
      </c>
      <c r="O142" s="186">
        <v>26</v>
      </c>
      <c r="P142" s="124" t="s">
        <v>4051</v>
      </c>
      <c r="Q142" s="124" t="s">
        <v>4051</v>
      </c>
      <c r="R142" s="193">
        <v>26</v>
      </c>
      <c r="S142" s="193">
        <v>27</v>
      </c>
      <c r="T142" s="126" t="s">
        <v>4054</v>
      </c>
      <c r="U142" s="126" t="s">
        <v>4054</v>
      </c>
      <c r="V142" s="165">
        <v>27</v>
      </c>
      <c r="W142" s="165">
        <v>29</v>
      </c>
      <c r="X142" s="122" t="s">
        <v>4055</v>
      </c>
      <c r="Y142" s="122" t="s">
        <v>4055</v>
      </c>
      <c r="Z142" s="173"/>
      <c r="AA142" s="173"/>
      <c r="AB142" s="123"/>
      <c r="AC142" s="123"/>
      <c r="AD142" s="186"/>
      <c r="AE142" s="186"/>
      <c r="AF142" s="124"/>
      <c r="AG142" s="124"/>
      <c r="AH142" s="191"/>
      <c r="AI142" s="191"/>
      <c r="AJ142" s="126"/>
      <c r="AK142" s="126"/>
      <c r="AL142" s="180"/>
      <c r="AM142" s="180"/>
      <c r="AN142" s="127"/>
      <c r="AO142" s="127"/>
      <c r="AP142" s="171"/>
      <c r="AQ142" s="171"/>
      <c r="AR142" s="128"/>
      <c r="AS142" s="128"/>
      <c r="AT142" s="121"/>
      <c r="AU142" s="121"/>
    </row>
    <row r="143" spans="1:47">
      <c r="A143" s="121">
        <v>262</v>
      </c>
      <c r="B143" s="121">
        <v>3</v>
      </c>
      <c r="C143" s="121"/>
      <c r="D143" s="121"/>
      <c r="E143" s="151">
        <v>-999999.9</v>
      </c>
      <c r="F143" s="165">
        <v>19</v>
      </c>
      <c r="G143" s="215">
        <v>23</v>
      </c>
      <c r="H143" s="122" t="s">
        <v>4053</v>
      </c>
      <c r="I143" s="122" t="s">
        <v>4053</v>
      </c>
      <c r="J143" s="173">
        <v>23</v>
      </c>
      <c r="K143" s="173">
        <v>25</v>
      </c>
      <c r="L143" s="123" t="s">
        <v>4056</v>
      </c>
      <c r="M143" s="123" t="s">
        <v>4056</v>
      </c>
      <c r="N143" s="186">
        <v>25</v>
      </c>
      <c r="O143" s="186">
        <v>26</v>
      </c>
      <c r="P143" s="124" t="s">
        <v>4057</v>
      </c>
      <c r="Q143" s="124" t="s">
        <v>4057</v>
      </c>
      <c r="R143" s="193">
        <v>26</v>
      </c>
      <c r="S143" s="193">
        <v>28</v>
      </c>
      <c r="T143" s="126" t="s">
        <v>4052</v>
      </c>
      <c r="U143" s="126" t="s">
        <v>4052</v>
      </c>
      <c r="V143" s="165">
        <v>28</v>
      </c>
      <c r="W143" s="165">
        <v>30</v>
      </c>
      <c r="X143" s="122" t="s">
        <v>4058</v>
      </c>
      <c r="Y143" s="122" t="s">
        <v>4058</v>
      </c>
      <c r="Z143" s="173"/>
      <c r="AA143" s="173"/>
      <c r="AB143" s="123"/>
      <c r="AC143" s="123"/>
      <c r="AD143" s="186"/>
      <c r="AE143" s="186"/>
      <c r="AF143" s="124"/>
      <c r="AG143" s="124"/>
      <c r="AH143" s="209"/>
      <c r="AI143" s="209"/>
      <c r="AJ143" s="126"/>
      <c r="AK143" s="126"/>
      <c r="AL143" s="180"/>
      <c r="AM143" s="180"/>
      <c r="AN143" s="127"/>
      <c r="AO143" s="127"/>
      <c r="AP143" s="171"/>
      <c r="AQ143" s="171"/>
      <c r="AR143" s="128"/>
      <c r="AS143" s="128"/>
      <c r="AT143" s="121"/>
      <c r="AU143" s="121"/>
    </row>
    <row r="144" spans="1:47">
      <c r="A144" s="121">
        <v>263</v>
      </c>
      <c r="B144" s="121">
        <v>3</v>
      </c>
      <c r="C144" s="121"/>
      <c r="D144" s="121"/>
      <c r="E144" s="151">
        <v>-999999.9</v>
      </c>
      <c r="F144" s="165">
        <v>20</v>
      </c>
      <c r="G144" s="215">
        <v>25</v>
      </c>
      <c r="H144" s="122" t="s">
        <v>4059</v>
      </c>
      <c r="I144" s="122" t="s">
        <v>4059</v>
      </c>
      <c r="J144" s="173">
        <v>25</v>
      </c>
      <c r="K144" s="173">
        <v>27</v>
      </c>
      <c r="L144" s="123" t="s">
        <v>4060</v>
      </c>
      <c r="M144" s="123" t="s">
        <v>4060</v>
      </c>
      <c r="N144" s="186">
        <v>27</v>
      </c>
      <c r="O144" s="186">
        <v>28</v>
      </c>
      <c r="P144" s="124" t="s">
        <v>4061</v>
      </c>
      <c r="Q144" s="124" t="s">
        <v>4061</v>
      </c>
      <c r="R144" s="193">
        <v>28</v>
      </c>
      <c r="S144" s="193">
        <v>30</v>
      </c>
      <c r="T144" s="126" t="s">
        <v>4058</v>
      </c>
      <c r="U144" s="126" t="s">
        <v>4058</v>
      </c>
      <c r="V144" s="165">
        <v>30</v>
      </c>
      <c r="W144" s="165">
        <v>32</v>
      </c>
      <c r="X144" s="122" t="s">
        <v>4062</v>
      </c>
      <c r="Y144" s="122" t="s">
        <v>4062</v>
      </c>
      <c r="Z144" s="173"/>
      <c r="AA144" s="173"/>
      <c r="AB144" s="123"/>
      <c r="AC144" s="123"/>
      <c r="AD144" s="186"/>
      <c r="AE144" s="186"/>
      <c r="AF144" s="124"/>
      <c r="AG144" s="124"/>
      <c r="AH144" s="191"/>
      <c r="AI144" s="191"/>
      <c r="AJ144" s="126"/>
      <c r="AK144" s="126"/>
      <c r="AL144" s="180"/>
      <c r="AM144" s="180"/>
      <c r="AN144" s="127"/>
      <c r="AO144" s="127"/>
      <c r="AP144" s="171"/>
      <c r="AQ144" s="171"/>
      <c r="AR144" s="128"/>
      <c r="AS144" s="128"/>
      <c r="AT144" s="121"/>
      <c r="AU144" s="121"/>
    </row>
    <row r="145" spans="1:47">
      <c r="A145" s="121">
        <v>269</v>
      </c>
      <c r="B145" s="121">
        <v>3</v>
      </c>
      <c r="C145" s="121"/>
      <c r="D145" s="121"/>
      <c r="E145" s="151">
        <v>-999999.9</v>
      </c>
      <c r="F145" s="165">
        <v>-11.1</v>
      </c>
      <c r="G145" s="215">
        <v>-0.52972779999999997</v>
      </c>
      <c r="H145" s="122" t="s">
        <v>3913</v>
      </c>
      <c r="I145" s="122" t="s">
        <v>3913</v>
      </c>
      <c r="J145" s="173">
        <v>-0.5</v>
      </c>
      <c r="K145" s="173">
        <v>0.2</v>
      </c>
      <c r="L145" s="123" t="s">
        <v>3914</v>
      </c>
      <c r="M145" s="123" t="s">
        <v>3914</v>
      </c>
      <c r="N145" s="186">
        <v>0.2</v>
      </c>
      <c r="O145" s="186">
        <v>1.2</v>
      </c>
      <c r="P145" s="124" t="s">
        <v>3915</v>
      </c>
      <c r="Q145" s="124" t="s">
        <v>3915</v>
      </c>
      <c r="R145" s="193">
        <v>1.2</v>
      </c>
      <c r="S145" s="193">
        <v>2.9</v>
      </c>
      <c r="T145" s="126" t="s">
        <v>3916</v>
      </c>
      <c r="U145" s="126" t="s">
        <v>3916</v>
      </c>
      <c r="V145" s="165">
        <v>2.9</v>
      </c>
      <c r="W145" s="165">
        <v>9.8000000000000007</v>
      </c>
      <c r="X145" s="122" t="s">
        <v>3917</v>
      </c>
      <c r="Y145" s="122" t="s">
        <v>3917</v>
      </c>
      <c r="Z145" s="173"/>
      <c r="AA145" s="173"/>
      <c r="AB145" s="123"/>
      <c r="AC145" s="123"/>
      <c r="AD145" s="186"/>
      <c r="AE145" s="186"/>
      <c r="AF145" s="124"/>
      <c r="AG145" s="124"/>
      <c r="AH145" s="209"/>
      <c r="AI145" s="209"/>
      <c r="AJ145" s="126"/>
      <c r="AK145" s="126"/>
      <c r="AL145" s="180"/>
      <c r="AM145" s="180"/>
      <c r="AN145" s="127"/>
      <c r="AO145" s="127"/>
      <c r="AP145" s="171"/>
      <c r="AQ145" s="171"/>
      <c r="AR145" s="128"/>
      <c r="AS145" s="128"/>
      <c r="AT145" s="121"/>
      <c r="AU145" s="121"/>
    </row>
    <row r="146" spans="1:47">
      <c r="A146" s="121">
        <v>270</v>
      </c>
      <c r="B146" s="121">
        <v>3</v>
      </c>
      <c r="C146" s="121"/>
      <c r="D146" s="121"/>
      <c r="E146" s="151">
        <v>-999999.9</v>
      </c>
      <c r="F146" s="179">
        <v>-999999.9</v>
      </c>
      <c r="G146" s="215">
        <v>-53.3</v>
      </c>
      <c r="H146" s="122" t="s">
        <v>4063</v>
      </c>
      <c r="I146" s="122" t="s">
        <v>4063</v>
      </c>
      <c r="J146" s="175">
        <v>-53.3</v>
      </c>
      <c r="K146" s="177">
        <v>1.3</v>
      </c>
      <c r="L146" s="146" t="s">
        <v>4064</v>
      </c>
      <c r="M146" s="146" t="s">
        <v>4064</v>
      </c>
      <c r="N146" s="186">
        <v>1.3</v>
      </c>
      <c r="O146" s="186">
        <v>9.1999999999999993</v>
      </c>
      <c r="P146" s="124" t="s">
        <v>4065</v>
      </c>
      <c r="Q146" s="124" t="s">
        <v>4065</v>
      </c>
      <c r="R146" s="193">
        <v>9.1999999999999993</v>
      </c>
      <c r="S146" s="193">
        <v>26.45</v>
      </c>
      <c r="T146" s="126" t="s">
        <v>4066</v>
      </c>
      <c r="U146" s="126" t="s">
        <v>4066</v>
      </c>
      <c r="V146" s="165">
        <v>26.5</v>
      </c>
      <c r="W146" s="165">
        <v>54.4</v>
      </c>
      <c r="X146" s="122" t="s">
        <v>4067</v>
      </c>
      <c r="Y146" s="122" t="s">
        <v>4067</v>
      </c>
      <c r="Z146" s="173"/>
      <c r="AA146" s="173"/>
      <c r="AB146" s="123"/>
      <c r="AC146" s="123"/>
      <c r="AD146" s="186"/>
      <c r="AE146" s="186"/>
      <c r="AF146" s="124"/>
      <c r="AG146" s="124"/>
      <c r="AH146" s="191"/>
      <c r="AI146" s="191"/>
      <c r="AJ146" s="126"/>
      <c r="AK146" s="126"/>
      <c r="AL146" s="180"/>
      <c r="AM146" s="180"/>
      <c r="AN146" s="127"/>
      <c r="AO146" s="127"/>
      <c r="AP146" s="171"/>
      <c r="AQ146" s="171"/>
      <c r="AR146" s="128"/>
      <c r="AS146" s="128"/>
      <c r="AT146" s="121"/>
      <c r="AU146" s="121"/>
    </row>
    <row r="147" spans="1:47">
      <c r="A147" s="121">
        <v>271</v>
      </c>
      <c r="B147" s="121">
        <v>3</v>
      </c>
      <c r="C147" s="121"/>
      <c r="D147" s="121"/>
      <c r="E147" s="151">
        <v>-999999.9</v>
      </c>
      <c r="F147" s="165">
        <v>-9.9999999999999995E-7</v>
      </c>
      <c r="G147" s="215">
        <v>20</v>
      </c>
      <c r="H147" s="122" t="s">
        <v>3878</v>
      </c>
      <c r="I147" s="122" t="s">
        <v>3878</v>
      </c>
      <c r="J147" s="173">
        <v>20</v>
      </c>
      <c r="K147" s="173">
        <v>44</v>
      </c>
      <c r="L147" s="123" t="s">
        <v>4068</v>
      </c>
      <c r="M147" s="123" t="s">
        <v>4068</v>
      </c>
      <c r="N147" s="186">
        <v>44</v>
      </c>
      <c r="O147" s="186">
        <v>66</v>
      </c>
      <c r="P147" s="124" t="s">
        <v>4069</v>
      </c>
      <c r="Q147" s="124" t="s">
        <v>4069</v>
      </c>
      <c r="R147" s="193">
        <v>66</v>
      </c>
      <c r="S147" s="193">
        <v>87</v>
      </c>
      <c r="T147" s="126" t="s">
        <v>4070</v>
      </c>
      <c r="U147" s="126" t="s">
        <v>4070</v>
      </c>
      <c r="V147" s="165">
        <v>87</v>
      </c>
      <c r="W147" s="165">
        <v>100</v>
      </c>
      <c r="X147" s="122" t="s">
        <v>4071</v>
      </c>
      <c r="Y147" s="122" t="s">
        <v>4071</v>
      </c>
      <c r="Z147" s="173"/>
      <c r="AA147" s="173"/>
      <c r="AB147" s="123"/>
      <c r="AC147" s="123"/>
      <c r="AD147" s="186"/>
      <c r="AE147" s="186"/>
      <c r="AF147" s="124"/>
      <c r="AG147" s="124"/>
      <c r="AH147" s="209"/>
      <c r="AI147" s="209"/>
      <c r="AJ147" s="126"/>
      <c r="AK147" s="126"/>
      <c r="AL147" s="180"/>
      <c r="AM147" s="180"/>
      <c r="AN147" s="127"/>
      <c r="AO147" s="127"/>
      <c r="AP147" s="171"/>
      <c r="AQ147" s="171"/>
      <c r="AR147" s="128"/>
      <c r="AS147" s="128"/>
      <c r="AT147" s="121"/>
      <c r="AU147" s="121"/>
    </row>
    <row r="148" spans="1:47">
      <c r="A148" s="121">
        <v>272</v>
      </c>
      <c r="B148" s="121">
        <v>3</v>
      </c>
      <c r="C148" s="121"/>
      <c r="D148" s="121"/>
      <c r="E148" s="151">
        <v>-999999.9</v>
      </c>
      <c r="F148" s="165">
        <v>-9.9999999999999995E-7</v>
      </c>
      <c r="G148" s="215">
        <v>75</v>
      </c>
      <c r="H148" s="122" t="s">
        <v>4072</v>
      </c>
      <c r="I148" s="122" t="s">
        <v>4072</v>
      </c>
      <c r="J148" s="173">
        <v>75</v>
      </c>
      <c r="K148" s="173">
        <v>220</v>
      </c>
      <c r="L148" s="123" t="s">
        <v>4073</v>
      </c>
      <c r="M148" s="123" t="s">
        <v>4073</v>
      </c>
      <c r="N148" s="186">
        <v>220</v>
      </c>
      <c r="O148" s="186">
        <v>510</v>
      </c>
      <c r="P148" s="124" t="s">
        <v>4074</v>
      </c>
      <c r="Q148" s="124" t="s">
        <v>4074</v>
      </c>
      <c r="R148" s="193">
        <v>510</v>
      </c>
      <c r="S148" s="193">
        <v>1110</v>
      </c>
      <c r="T148" s="126" t="s">
        <v>4075</v>
      </c>
      <c r="U148" s="126" t="s">
        <v>4075</v>
      </c>
      <c r="V148" s="165">
        <v>1110</v>
      </c>
      <c r="W148" s="165">
        <v>3918</v>
      </c>
      <c r="X148" s="122" t="s">
        <v>4076</v>
      </c>
      <c r="Y148" s="122" t="s">
        <v>4076</v>
      </c>
      <c r="Z148" s="173"/>
      <c r="AA148" s="173"/>
      <c r="AB148" s="123"/>
      <c r="AC148" s="123"/>
      <c r="AD148" s="186"/>
      <c r="AE148" s="186"/>
      <c r="AF148" s="124"/>
      <c r="AG148" s="124"/>
      <c r="AH148" s="191"/>
      <c r="AI148" s="191"/>
      <c r="AJ148" s="126"/>
      <c r="AK148" s="126"/>
      <c r="AL148" s="180"/>
      <c r="AM148" s="180"/>
      <c r="AN148" s="127"/>
      <c r="AO148" s="127"/>
      <c r="AP148" s="171"/>
      <c r="AQ148" s="171"/>
      <c r="AR148" s="128"/>
      <c r="AS148" s="128"/>
      <c r="AT148" s="121"/>
      <c r="AU148" s="121"/>
    </row>
    <row r="149" spans="1:47">
      <c r="A149" s="121">
        <v>273</v>
      </c>
      <c r="B149" s="121">
        <v>3</v>
      </c>
      <c r="C149" s="121"/>
      <c r="D149" s="121"/>
      <c r="E149" s="151">
        <v>-999999.9</v>
      </c>
      <c r="F149" s="165">
        <v>0.15</v>
      </c>
      <c r="G149" s="215">
        <v>4</v>
      </c>
      <c r="H149" s="122" t="s">
        <v>4077</v>
      </c>
      <c r="I149" s="122" t="s">
        <v>4077</v>
      </c>
      <c r="J149" s="173">
        <v>4</v>
      </c>
      <c r="K149" s="173">
        <v>6</v>
      </c>
      <c r="L149" s="123" t="s">
        <v>4078</v>
      </c>
      <c r="M149" s="123" t="s">
        <v>4078</v>
      </c>
      <c r="N149" s="186">
        <v>6</v>
      </c>
      <c r="O149" s="186">
        <v>7</v>
      </c>
      <c r="P149" s="124" t="s">
        <v>4079</v>
      </c>
      <c r="Q149" s="124" t="s">
        <v>4079</v>
      </c>
      <c r="R149" s="193">
        <v>7</v>
      </c>
      <c r="S149" s="193">
        <v>9</v>
      </c>
      <c r="T149" s="126" t="s">
        <v>4080</v>
      </c>
      <c r="U149" s="126" t="s">
        <v>4080</v>
      </c>
      <c r="V149" s="165">
        <v>9</v>
      </c>
      <c r="W149" s="165">
        <v>15</v>
      </c>
      <c r="X149" s="122" t="s">
        <v>4081</v>
      </c>
      <c r="Y149" s="122" t="s">
        <v>4081</v>
      </c>
      <c r="Z149" s="173"/>
      <c r="AA149" s="173"/>
      <c r="AB149" s="123"/>
      <c r="AC149" s="123"/>
      <c r="AD149" s="186"/>
      <c r="AE149" s="186"/>
      <c r="AF149" s="124"/>
      <c r="AG149" s="124"/>
      <c r="AH149" s="209"/>
      <c r="AI149" s="209"/>
      <c r="AJ149" s="126"/>
      <c r="AK149" s="126"/>
      <c r="AL149" s="180"/>
      <c r="AM149" s="180"/>
      <c r="AN149" s="127"/>
      <c r="AO149" s="127"/>
      <c r="AP149" s="171"/>
      <c r="AQ149" s="171"/>
      <c r="AR149" s="128"/>
      <c r="AS149" s="128"/>
      <c r="AT149" s="121"/>
      <c r="AU149" s="121"/>
    </row>
    <row r="150" spans="1:47">
      <c r="A150" s="121">
        <v>274</v>
      </c>
      <c r="B150" s="121">
        <v>3</v>
      </c>
      <c r="C150" s="121"/>
      <c r="D150" s="121"/>
      <c r="E150" s="151">
        <v>-999999.9</v>
      </c>
      <c r="F150" s="165">
        <v>0.5</v>
      </c>
      <c r="G150" s="215">
        <v>6</v>
      </c>
      <c r="H150" s="122" t="s">
        <v>4082</v>
      </c>
      <c r="I150" s="148" t="s">
        <v>4082</v>
      </c>
      <c r="J150" s="177">
        <v>6</v>
      </c>
      <c r="K150" s="177">
        <v>9</v>
      </c>
      <c r="L150" s="146" t="s">
        <v>4083</v>
      </c>
      <c r="M150" s="123" t="s">
        <v>4083</v>
      </c>
      <c r="N150" s="186">
        <v>9</v>
      </c>
      <c r="O150" s="186">
        <v>13</v>
      </c>
      <c r="P150" s="124" t="s">
        <v>4084</v>
      </c>
      <c r="Q150" s="124" t="s">
        <v>4084</v>
      </c>
      <c r="R150" s="193">
        <v>13</v>
      </c>
      <c r="S150" s="193">
        <v>18</v>
      </c>
      <c r="T150" s="126" t="s">
        <v>4085</v>
      </c>
      <c r="U150" s="126" t="s">
        <v>4085</v>
      </c>
      <c r="V150" s="165">
        <v>18</v>
      </c>
      <c r="W150" s="165">
        <v>27</v>
      </c>
      <c r="X150" s="122" t="s">
        <v>4086</v>
      </c>
      <c r="Y150" s="122" t="s">
        <v>4086</v>
      </c>
      <c r="Z150" s="173"/>
      <c r="AA150" s="173"/>
      <c r="AB150" s="123"/>
      <c r="AC150" s="123"/>
      <c r="AD150" s="186"/>
      <c r="AE150" s="186"/>
      <c r="AF150" s="124"/>
      <c r="AG150" s="124"/>
      <c r="AH150" s="191"/>
      <c r="AI150" s="191"/>
      <c r="AJ150" s="126"/>
      <c r="AK150" s="126"/>
      <c r="AL150" s="180"/>
      <c r="AM150" s="180"/>
      <c r="AN150" s="127"/>
      <c r="AO150" s="127"/>
      <c r="AP150" s="171"/>
      <c r="AQ150" s="171"/>
      <c r="AR150" s="128"/>
      <c r="AS150" s="128"/>
      <c r="AT150" s="121"/>
      <c r="AU150" s="121"/>
    </row>
    <row r="151" spans="1:47">
      <c r="A151" s="121">
        <v>275</v>
      </c>
      <c r="B151" s="121">
        <v>3</v>
      </c>
      <c r="C151" s="121"/>
      <c r="D151" s="121"/>
      <c r="E151" s="151">
        <v>-999999.9</v>
      </c>
      <c r="F151" s="165">
        <v>4.7</v>
      </c>
      <c r="G151" s="215">
        <v>12</v>
      </c>
      <c r="H151" s="122" t="s">
        <v>4087</v>
      </c>
      <c r="I151" s="122" t="s">
        <v>4087</v>
      </c>
      <c r="J151" s="173">
        <v>12</v>
      </c>
      <c r="K151" s="173">
        <v>14</v>
      </c>
      <c r="L151" s="123" t="s">
        <v>4088</v>
      </c>
      <c r="M151" s="123" t="s">
        <v>4088</v>
      </c>
      <c r="N151" s="186">
        <v>14</v>
      </c>
      <c r="O151" s="186">
        <v>17</v>
      </c>
      <c r="P151" s="124" t="s">
        <v>4089</v>
      </c>
      <c r="Q151" s="124" t="s">
        <v>4089</v>
      </c>
      <c r="R151" s="193">
        <v>17</v>
      </c>
      <c r="S151" s="193">
        <v>20</v>
      </c>
      <c r="T151" s="126" t="s">
        <v>4090</v>
      </c>
      <c r="U151" s="126" t="s">
        <v>4090</v>
      </c>
      <c r="V151" s="165">
        <v>20</v>
      </c>
      <c r="W151" s="165">
        <v>26.4</v>
      </c>
      <c r="X151" s="122" t="s">
        <v>4091</v>
      </c>
      <c r="Y151" s="122" t="s">
        <v>4091</v>
      </c>
      <c r="Z151" s="173"/>
      <c r="AA151" s="173"/>
      <c r="AB151" s="123"/>
      <c r="AC151" s="123"/>
      <c r="AD151" s="186"/>
      <c r="AE151" s="186"/>
      <c r="AF151" s="124"/>
      <c r="AG151" s="124"/>
      <c r="AH151" s="209"/>
      <c r="AI151" s="209"/>
      <c r="AJ151" s="126"/>
      <c r="AK151" s="126"/>
      <c r="AL151" s="180"/>
      <c r="AM151" s="180"/>
      <c r="AN151" s="127"/>
      <c r="AO151" s="127"/>
      <c r="AP151" s="171"/>
      <c r="AQ151" s="171"/>
      <c r="AR151" s="128"/>
      <c r="AS151" s="128"/>
      <c r="AT151" s="121"/>
      <c r="AU151" s="121"/>
    </row>
    <row r="152" spans="1:47">
      <c r="A152" s="121">
        <v>276</v>
      </c>
      <c r="B152" s="121">
        <v>3</v>
      </c>
      <c r="C152" s="121"/>
      <c r="D152" s="121"/>
      <c r="E152" s="151">
        <v>-999999.9</v>
      </c>
      <c r="F152" s="165">
        <v>5.4</v>
      </c>
      <c r="G152" s="215">
        <v>18</v>
      </c>
      <c r="H152" s="122" t="s">
        <v>4092</v>
      </c>
      <c r="I152" s="122" t="s">
        <v>4093</v>
      </c>
      <c r="J152" s="173">
        <v>18</v>
      </c>
      <c r="K152" s="173">
        <v>22</v>
      </c>
      <c r="L152" s="123" t="s">
        <v>4094</v>
      </c>
      <c r="M152" s="123" t="s">
        <v>4094</v>
      </c>
      <c r="N152" s="186">
        <v>22</v>
      </c>
      <c r="O152" s="186">
        <v>27</v>
      </c>
      <c r="P152" s="124" t="s">
        <v>4095</v>
      </c>
      <c r="Q152" s="124" t="s">
        <v>4095</v>
      </c>
      <c r="R152" s="193">
        <v>27</v>
      </c>
      <c r="S152" s="193">
        <v>32</v>
      </c>
      <c r="T152" s="126" t="s">
        <v>4096</v>
      </c>
      <c r="U152" s="126" t="s">
        <v>4096</v>
      </c>
      <c r="V152" s="165">
        <v>32</v>
      </c>
      <c r="W152" s="165">
        <v>46.4</v>
      </c>
      <c r="X152" s="122" t="s">
        <v>4097</v>
      </c>
      <c r="Y152" s="122" t="s">
        <v>4097</v>
      </c>
      <c r="Z152" s="173"/>
      <c r="AA152" s="173"/>
      <c r="AB152" s="123"/>
      <c r="AC152" s="123"/>
      <c r="AD152" s="186"/>
      <c r="AE152" s="186"/>
      <c r="AF152" s="124"/>
      <c r="AG152" s="124"/>
      <c r="AH152" s="191"/>
      <c r="AI152" s="191"/>
      <c r="AJ152" s="126"/>
      <c r="AK152" s="126"/>
      <c r="AL152" s="180"/>
      <c r="AM152" s="180"/>
      <c r="AN152" s="127"/>
      <c r="AO152" s="127"/>
      <c r="AP152" s="171"/>
      <c r="AQ152" s="171"/>
      <c r="AR152" s="128"/>
      <c r="AS152" s="128"/>
      <c r="AT152" s="121"/>
      <c r="AU152" s="121"/>
    </row>
    <row r="153" spans="1:47">
      <c r="A153" s="121">
        <v>277</v>
      </c>
      <c r="B153" s="121">
        <v>3</v>
      </c>
      <c r="C153" s="121"/>
      <c r="D153" s="121"/>
      <c r="E153" s="151">
        <v>-999999.9</v>
      </c>
      <c r="F153" s="165">
        <v>-9.9999999999999995E-7</v>
      </c>
      <c r="G153" s="215">
        <v>0.8</v>
      </c>
      <c r="H153" s="122" t="s">
        <v>4098</v>
      </c>
      <c r="I153" s="122" t="s">
        <v>4098</v>
      </c>
      <c r="J153" s="173">
        <v>0.8</v>
      </c>
      <c r="K153" s="173">
        <v>2.2000000000000002</v>
      </c>
      <c r="L153" s="123" t="s">
        <v>4099</v>
      </c>
      <c r="M153" s="123" t="s">
        <v>4099</v>
      </c>
      <c r="N153" s="186">
        <v>2.2000000000000002</v>
      </c>
      <c r="O153" s="186">
        <v>4</v>
      </c>
      <c r="P153" s="124" t="s">
        <v>4100</v>
      </c>
      <c r="Q153" s="124" t="s">
        <v>4100</v>
      </c>
      <c r="R153" s="193">
        <v>4</v>
      </c>
      <c r="S153" s="193">
        <v>7</v>
      </c>
      <c r="T153" s="126" t="s">
        <v>4101</v>
      </c>
      <c r="U153" s="126" t="s">
        <v>4101</v>
      </c>
      <c r="V153" s="165">
        <v>7</v>
      </c>
      <c r="W153" s="165">
        <v>17.3</v>
      </c>
      <c r="X153" s="122" t="s">
        <v>4102</v>
      </c>
      <c r="Y153" s="122" t="s">
        <v>4102</v>
      </c>
      <c r="Z153" s="173"/>
      <c r="AA153" s="173"/>
      <c r="AB153" s="123"/>
      <c r="AC153" s="123"/>
      <c r="AD153" s="186"/>
      <c r="AE153" s="186"/>
      <c r="AF153" s="124"/>
      <c r="AG153" s="124"/>
      <c r="AH153" s="209"/>
      <c r="AI153" s="209"/>
      <c r="AJ153" s="126"/>
      <c r="AK153" s="126"/>
      <c r="AL153" s="180"/>
      <c r="AM153" s="180"/>
      <c r="AN153" s="127"/>
      <c r="AO153" s="127"/>
      <c r="AP153" s="171"/>
      <c r="AQ153" s="171"/>
      <c r="AR153" s="128"/>
      <c r="AS153" s="128"/>
      <c r="AT153" s="121"/>
      <c r="AU153" s="121"/>
    </row>
    <row r="154" spans="1:47">
      <c r="A154" s="121">
        <v>278</v>
      </c>
      <c r="B154" s="121">
        <v>3</v>
      </c>
      <c r="C154" s="121"/>
      <c r="D154" s="121"/>
      <c r="E154" s="151">
        <v>-999999.9</v>
      </c>
      <c r="F154" s="165">
        <v>1</v>
      </c>
      <c r="G154" s="215">
        <v>6</v>
      </c>
      <c r="H154" s="122" t="s">
        <v>4103</v>
      </c>
      <c r="I154" s="122" t="s">
        <v>4103</v>
      </c>
      <c r="J154" s="173">
        <v>6</v>
      </c>
      <c r="K154" s="173">
        <v>10</v>
      </c>
      <c r="L154" s="123" t="s">
        <v>4104</v>
      </c>
      <c r="M154" s="123" t="s">
        <v>4104</v>
      </c>
      <c r="N154" s="186">
        <v>10</v>
      </c>
      <c r="O154" s="186">
        <v>15</v>
      </c>
      <c r="P154" s="124" t="s">
        <v>4105</v>
      </c>
      <c r="Q154" s="124" t="s">
        <v>4105</v>
      </c>
      <c r="R154" s="193">
        <v>15</v>
      </c>
      <c r="S154" s="193">
        <v>21</v>
      </c>
      <c r="T154" s="126" t="s">
        <v>3886</v>
      </c>
      <c r="U154" s="126" t="s">
        <v>3886</v>
      </c>
      <c r="V154" s="165">
        <v>21</v>
      </c>
      <c r="W154" s="165">
        <v>43</v>
      </c>
      <c r="X154" s="122" t="s">
        <v>4106</v>
      </c>
      <c r="Y154" s="122" t="s">
        <v>4106</v>
      </c>
      <c r="Z154" s="173"/>
      <c r="AA154" s="173"/>
      <c r="AB154" s="123"/>
      <c r="AC154" s="123"/>
      <c r="AD154" s="186"/>
      <c r="AE154" s="186"/>
      <c r="AF154" s="124"/>
      <c r="AG154" s="124"/>
      <c r="AH154" s="191"/>
      <c r="AI154" s="191"/>
      <c r="AJ154" s="126"/>
      <c r="AK154" s="126"/>
      <c r="AL154" s="180"/>
      <c r="AM154" s="180"/>
      <c r="AN154" s="127"/>
      <c r="AO154" s="127"/>
      <c r="AP154" s="171"/>
      <c r="AQ154" s="171"/>
      <c r="AR154" s="128"/>
      <c r="AS154" s="128"/>
      <c r="AT154" s="121"/>
      <c r="AU154" s="121"/>
    </row>
    <row r="155" spans="1:47">
      <c r="A155" s="121">
        <v>279</v>
      </c>
      <c r="B155" s="121">
        <v>3</v>
      </c>
      <c r="C155" s="121"/>
      <c r="D155" s="121"/>
      <c r="E155" s="151">
        <v>-999999.9</v>
      </c>
      <c r="F155" s="165">
        <v>1</v>
      </c>
      <c r="G155" s="215">
        <v>9</v>
      </c>
      <c r="H155" s="122" t="s">
        <v>4107</v>
      </c>
      <c r="I155" s="122" t="s">
        <v>4107</v>
      </c>
      <c r="J155" s="173">
        <v>9</v>
      </c>
      <c r="K155" s="173">
        <v>15</v>
      </c>
      <c r="L155" s="123" t="s">
        <v>4081</v>
      </c>
      <c r="M155" s="123" t="s">
        <v>4081</v>
      </c>
      <c r="N155" s="186">
        <v>15</v>
      </c>
      <c r="O155" s="186">
        <v>22</v>
      </c>
      <c r="P155" s="124" t="s">
        <v>4108</v>
      </c>
      <c r="Q155" s="124" t="s">
        <v>4108</v>
      </c>
      <c r="R155" s="193">
        <v>22</v>
      </c>
      <c r="S155" s="193">
        <v>32</v>
      </c>
      <c r="T155" s="126" t="s">
        <v>4109</v>
      </c>
      <c r="U155" s="126" t="s">
        <v>4109</v>
      </c>
      <c r="V155" s="165">
        <v>32</v>
      </c>
      <c r="W155" s="165">
        <v>61</v>
      </c>
      <c r="X155" s="122" t="s">
        <v>4110</v>
      </c>
      <c r="Y155" s="122" t="s">
        <v>4110</v>
      </c>
      <c r="Z155" s="173"/>
      <c r="AA155" s="173"/>
      <c r="AB155" s="123"/>
      <c r="AC155" s="123"/>
      <c r="AD155" s="186"/>
      <c r="AE155" s="186"/>
      <c r="AF155" s="124"/>
      <c r="AG155" s="124"/>
      <c r="AH155" s="209"/>
      <c r="AI155" s="209"/>
      <c r="AJ155" s="126"/>
      <c r="AK155" s="126"/>
      <c r="AL155" s="180"/>
      <c r="AM155" s="180"/>
      <c r="AN155" s="127"/>
      <c r="AO155" s="127"/>
      <c r="AP155" s="171"/>
      <c r="AQ155" s="171"/>
      <c r="AR155" s="128"/>
      <c r="AS155" s="128"/>
      <c r="AT155" s="121"/>
      <c r="AU155" s="121"/>
    </row>
    <row r="156" spans="1:47">
      <c r="A156" s="121">
        <v>280</v>
      </c>
      <c r="B156" s="121">
        <v>3</v>
      </c>
      <c r="C156" s="121"/>
      <c r="D156" s="121"/>
      <c r="E156" s="151">
        <v>-999999.9</v>
      </c>
      <c r="F156" s="165">
        <v>1.7999999999999999E-2</v>
      </c>
      <c r="G156" s="215">
        <v>0.12</v>
      </c>
      <c r="H156" s="122" t="s">
        <v>4111</v>
      </c>
      <c r="I156" s="122" t="s">
        <v>4111</v>
      </c>
      <c r="J156" s="173">
        <v>0.12</v>
      </c>
      <c r="K156" s="173">
        <v>0.2</v>
      </c>
      <c r="L156" s="123" t="s">
        <v>4112</v>
      </c>
      <c r="M156" s="123" t="s">
        <v>4112</v>
      </c>
      <c r="N156" s="186">
        <v>0.2</v>
      </c>
      <c r="O156" s="186">
        <v>0.3</v>
      </c>
      <c r="P156" s="124" t="s">
        <v>4113</v>
      </c>
      <c r="Q156" s="124" t="s">
        <v>4113</v>
      </c>
      <c r="R156" s="193">
        <v>0.3</v>
      </c>
      <c r="S156" s="193">
        <v>0.4</v>
      </c>
      <c r="T156" s="126" t="s">
        <v>4114</v>
      </c>
      <c r="U156" s="126" t="s">
        <v>4114</v>
      </c>
      <c r="V156" s="165">
        <v>0.4</v>
      </c>
      <c r="W156" s="165">
        <v>0.73499999999999999</v>
      </c>
      <c r="X156" s="122" t="s">
        <v>4115</v>
      </c>
      <c r="Y156" s="122" t="s">
        <v>4115</v>
      </c>
      <c r="Z156" s="173"/>
      <c r="AA156" s="173"/>
      <c r="AB156" s="123"/>
      <c r="AC156" s="123"/>
      <c r="AD156" s="186"/>
      <c r="AE156" s="186"/>
      <c r="AF156" s="124"/>
      <c r="AG156" s="124"/>
      <c r="AH156" s="191"/>
      <c r="AI156" s="191"/>
      <c r="AJ156" s="126"/>
      <c r="AK156" s="126"/>
      <c r="AL156" s="180"/>
      <c r="AM156" s="180"/>
      <c r="AN156" s="127"/>
      <c r="AO156" s="127"/>
      <c r="AP156" s="171"/>
      <c r="AQ156" s="171"/>
      <c r="AR156" s="128"/>
      <c r="AS156" s="128"/>
      <c r="AT156" s="121"/>
      <c r="AU156" s="121"/>
    </row>
    <row r="157" spans="1:47">
      <c r="A157" s="121">
        <v>281</v>
      </c>
      <c r="B157" s="121">
        <v>3</v>
      </c>
      <c r="C157" s="121"/>
      <c r="D157" s="121"/>
      <c r="E157" s="151">
        <v>-999999.9</v>
      </c>
      <c r="F157" s="165">
        <v>0.9</v>
      </c>
      <c r="G157" s="215">
        <v>11.315</v>
      </c>
      <c r="H157" s="122" t="s">
        <v>4116</v>
      </c>
      <c r="I157" s="122" t="s">
        <v>4116</v>
      </c>
      <c r="J157" s="173">
        <v>11</v>
      </c>
      <c r="K157" s="173">
        <v>20</v>
      </c>
      <c r="L157" s="123" t="s">
        <v>3861</v>
      </c>
      <c r="M157" s="123" t="s">
        <v>3861</v>
      </c>
      <c r="N157" s="186">
        <v>20</v>
      </c>
      <c r="O157" s="186">
        <v>33</v>
      </c>
      <c r="P157" s="124" t="s">
        <v>4117</v>
      </c>
      <c r="Q157" s="124" t="s">
        <v>4117</v>
      </c>
      <c r="R157" s="193">
        <v>33</v>
      </c>
      <c r="S157" s="193">
        <v>53</v>
      </c>
      <c r="T157" s="126" t="s">
        <v>4118</v>
      </c>
      <c r="U157" s="126" t="s">
        <v>4118</v>
      </c>
      <c r="V157" s="165">
        <v>53</v>
      </c>
      <c r="W157" s="165">
        <v>82.456100000000006</v>
      </c>
      <c r="X157" s="122" t="s">
        <v>4119</v>
      </c>
      <c r="Y157" s="122" t="s">
        <v>4119</v>
      </c>
      <c r="Z157" s="173"/>
      <c r="AA157" s="173"/>
      <c r="AB157" s="123"/>
      <c r="AC157" s="123"/>
      <c r="AD157" s="186"/>
      <c r="AE157" s="186"/>
      <c r="AF157" s="124"/>
      <c r="AG157" s="124"/>
      <c r="AH157" s="209"/>
      <c r="AI157" s="209"/>
      <c r="AJ157" s="126"/>
      <c r="AK157" s="126"/>
      <c r="AL157" s="180"/>
      <c r="AM157" s="180"/>
      <c r="AN157" s="127"/>
      <c r="AO157" s="127"/>
      <c r="AP157" s="171"/>
      <c r="AQ157" s="171"/>
      <c r="AR157" s="128"/>
      <c r="AS157" s="128"/>
      <c r="AT157" s="121"/>
      <c r="AU157" s="121"/>
    </row>
    <row r="158" spans="1:47">
      <c r="A158" s="121">
        <v>282</v>
      </c>
      <c r="B158" s="121">
        <v>3</v>
      </c>
      <c r="C158" s="121"/>
      <c r="D158" s="121"/>
      <c r="E158" s="151">
        <v>-999999.9</v>
      </c>
      <c r="F158" s="165">
        <v>-9.9999999999999995E-7</v>
      </c>
      <c r="G158" s="215">
        <v>8.3573500000000003</v>
      </c>
      <c r="H158" s="122" t="s">
        <v>4120</v>
      </c>
      <c r="I158" s="122" t="s">
        <v>4120</v>
      </c>
      <c r="J158" s="173">
        <v>8</v>
      </c>
      <c r="K158" s="173">
        <v>19</v>
      </c>
      <c r="L158" s="123" t="s">
        <v>4121</v>
      </c>
      <c r="M158" s="123" t="s">
        <v>4121</v>
      </c>
      <c r="N158" s="186">
        <v>19</v>
      </c>
      <c r="O158" s="186">
        <v>32</v>
      </c>
      <c r="P158" s="124" t="s">
        <v>4122</v>
      </c>
      <c r="Q158" s="124" t="s">
        <v>4122</v>
      </c>
      <c r="R158" s="193">
        <v>32</v>
      </c>
      <c r="S158" s="193">
        <v>48</v>
      </c>
      <c r="T158" s="126" t="s">
        <v>4123</v>
      </c>
      <c r="U158" s="126" t="s">
        <v>4123</v>
      </c>
      <c r="V158" s="165">
        <v>48</v>
      </c>
      <c r="W158" s="165">
        <v>95.6357</v>
      </c>
      <c r="X158" s="122" t="s">
        <v>4124</v>
      </c>
      <c r="Y158" s="122" t="s">
        <v>4124</v>
      </c>
      <c r="Z158" s="173"/>
      <c r="AA158" s="173"/>
      <c r="AB158" s="123"/>
      <c r="AC158" s="123"/>
      <c r="AD158" s="186"/>
      <c r="AE158" s="186"/>
      <c r="AF158" s="124"/>
      <c r="AG158" s="124"/>
      <c r="AH158" s="191"/>
      <c r="AI158" s="191"/>
      <c r="AJ158" s="126"/>
      <c r="AK158" s="126"/>
      <c r="AL158" s="180"/>
      <c r="AM158" s="180"/>
      <c r="AN158" s="127"/>
      <c r="AO158" s="127"/>
      <c r="AP158" s="171"/>
      <c r="AQ158" s="171"/>
      <c r="AR158" s="128"/>
      <c r="AS158" s="128"/>
      <c r="AT158" s="121"/>
      <c r="AU158" s="121"/>
    </row>
    <row r="159" spans="1:47">
      <c r="A159" s="121">
        <v>283</v>
      </c>
      <c r="B159" s="121">
        <v>3</v>
      </c>
      <c r="C159" s="121"/>
      <c r="D159" s="121"/>
      <c r="E159" s="151">
        <v>-999999.9</v>
      </c>
      <c r="F159" s="165">
        <v>-9.9999999999999995E-7</v>
      </c>
      <c r="G159" s="215">
        <v>0.6</v>
      </c>
      <c r="H159" s="122" t="s">
        <v>4125</v>
      </c>
      <c r="I159" s="122" t="s">
        <v>4125</v>
      </c>
      <c r="J159" s="173">
        <v>0.6</v>
      </c>
      <c r="K159" s="173">
        <v>1.9</v>
      </c>
      <c r="L159" s="123" t="s">
        <v>4126</v>
      </c>
      <c r="M159" s="123" t="s">
        <v>4126</v>
      </c>
      <c r="N159" s="186">
        <v>1.9</v>
      </c>
      <c r="O159" s="186">
        <v>3.9</v>
      </c>
      <c r="P159" s="124" t="s">
        <v>3621</v>
      </c>
      <c r="Q159" s="124" t="s">
        <v>3621</v>
      </c>
      <c r="R159" s="193">
        <v>3.9</v>
      </c>
      <c r="S159" s="193">
        <v>7.1</v>
      </c>
      <c r="T159" s="126" t="s">
        <v>4127</v>
      </c>
      <c r="U159" s="126" t="s">
        <v>4127</v>
      </c>
      <c r="V159" s="165">
        <v>7.1</v>
      </c>
      <c r="W159" s="165">
        <v>13.7</v>
      </c>
      <c r="X159" s="122" t="s">
        <v>4128</v>
      </c>
      <c r="Y159" s="122" t="s">
        <v>4128</v>
      </c>
      <c r="Z159" s="173"/>
      <c r="AA159" s="173"/>
      <c r="AB159" s="123"/>
      <c r="AC159" s="123"/>
      <c r="AD159" s="186"/>
      <c r="AE159" s="186"/>
      <c r="AF159" s="124"/>
      <c r="AG159" s="124"/>
      <c r="AH159" s="209"/>
      <c r="AI159" s="209"/>
      <c r="AJ159" s="126"/>
      <c r="AK159" s="126"/>
      <c r="AL159" s="180"/>
      <c r="AM159" s="180"/>
      <c r="AN159" s="127"/>
      <c r="AO159" s="127"/>
      <c r="AP159" s="171"/>
      <c r="AQ159" s="171"/>
      <c r="AR159" s="128"/>
      <c r="AS159" s="128"/>
      <c r="AT159" s="121"/>
      <c r="AU159" s="121"/>
    </row>
    <row r="160" spans="1:47">
      <c r="A160" s="121">
        <v>284</v>
      </c>
      <c r="B160" s="121">
        <v>3</v>
      </c>
      <c r="C160" s="121"/>
      <c r="D160" s="121"/>
      <c r="E160" s="151">
        <v>-999999.9</v>
      </c>
      <c r="F160" s="165">
        <v>-9.9999999999999995E-7</v>
      </c>
      <c r="G160" s="215">
        <v>4</v>
      </c>
      <c r="H160" s="122" t="s">
        <v>3863</v>
      </c>
      <c r="I160" s="122" t="s">
        <v>3863</v>
      </c>
      <c r="J160" s="173">
        <v>4</v>
      </c>
      <c r="K160" s="173">
        <v>13</v>
      </c>
      <c r="L160" s="123" t="s">
        <v>4129</v>
      </c>
      <c r="M160" s="123" t="s">
        <v>4129</v>
      </c>
      <c r="N160" s="186">
        <v>13</v>
      </c>
      <c r="O160" s="186">
        <v>27</v>
      </c>
      <c r="P160" s="124" t="s">
        <v>4130</v>
      </c>
      <c r="Q160" s="124" t="s">
        <v>4130</v>
      </c>
      <c r="R160" s="193">
        <v>27</v>
      </c>
      <c r="S160" s="193">
        <v>45</v>
      </c>
      <c r="T160" s="126" t="s">
        <v>4131</v>
      </c>
      <c r="U160" s="126" t="s">
        <v>4131</v>
      </c>
      <c r="V160" s="165">
        <v>45</v>
      </c>
      <c r="W160" s="165">
        <v>76</v>
      </c>
      <c r="X160" s="122" t="s">
        <v>4132</v>
      </c>
      <c r="Y160" s="122" t="s">
        <v>4132</v>
      </c>
      <c r="Z160" s="173"/>
      <c r="AA160" s="173"/>
      <c r="AB160" s="123"/>
      <c r="AC160" s="123"/>
      <c r="AD160" s="186"/>
      <c r="AE160" s="186"/>
      <c r="AF160" s="124"/>
      <c r="AG160" s="124"/>
      <c r="AH160" s="191"/>
      <c r="AI160" s="191"/>
      <c r="AJ160" s="126"/>
      <c r="AK160" s="126"/>
      <c r="AL160" s="180"/>
      <c r="AM160" s="180"/>
      <c r="AN160" s="127"/>
      <c r="AO160" s="127"/>
      <c r="AP160" s="171"/>
      <c r="AQ160" s="171"/>
      <c r="AR160" s="128"/>
      <c r="AS160" s="128"/>
      <c r="AT160" s="121"/>
      <c r="AU160" s="121"/>
    </row>
    <row r="161" spans="1:47">
      <c r="A161" s="121">
        <v>285</v>
      </c>
      <c r="B161" s="121">
        <v>3</v>
      </c>
      <c r="C161" s="121"/>
      <c r="D161" s="121"/>
      <c r="E161" s="151">
        <v>-999999.9</v>
      </c>
      <c r="F161" s="165">
        <v>-9.9999999999999995E-7</v>
      </c>
      <c r="G161" s="215">
        <v>10.9</v>
      </c>
      <c r="H161" s="122" t="s">
        <v>3965</v>
      </c>
      <c r="I161" s="122" t="s">
        <v>3965</v>
      </c>
      <c r="J161" s="173">
        <v>11</v>
      </c>
      <c r="K161" s="173">
        <v>90</v>
      </c>
      <c r="L161" s="123" t="s">
        <v>4133</v>
      </c>
      <c r="M161" s="123" t="s">
        <v>4133</v>
      </c>
      <c r="N161" s="186">
        <v>30</v>
      </c>
      <c r="O161" s="186">
        <v>55</v>
      </c>
      <c r="P161" s="124" t="s">
        <v>4134</v>
      </c>
      <c r="Q161" s="124" t="s">
        <v>4134</v>
      </c>
      <c r="R161" s="193">
        <v>55</v>
      </c>
      <c r="S161" s="193">
        <v>82</v>
      </c>
      <c r="T161" s="126" t="s">
        <v>4135</v>
      </c>
      <c r="U161" s="126" t="s">
        <v>4135</v>
      </c>
      <c r="V161" s="165">
        <v>82</v>
      </c>
      <c r="W161" s="165">
        <v>100</v>
      </c>
      <c r="X161" s="122" t="s">
        <v>4136</v>
      </c>
      <c r="Y161" s="122" t="s">
        <v>4136</v>
      </c>
      <c r="Z161" s="173"/>
      <c r="AA161" s="173"/>
      <c r="AB161" s="123"/>
      <c r="AC161" s="123"/>
      <c r="AD161" s="186"/>
      <c r="AE161" s="186"/>
      <c r="AF161" s="124"/>
      <c r="AG161" s="124"/>
      <c r="AH161" s="209"/>
      <c r="AI161" s="209"/>
      <c r="AJ161" s="126"/>
      <c r="AK161" s="126"/>
      <c r="AL161" s="180"/>
      <c r="AM161" s="180"/>
      <c r="AN161" s="127"/>
      <c r="AO161" s="127"/>
      <c r="AP161" s="171"/>
      <c r="AQ161" s="171"/>
      <c r="AR161" s="128"/>
      <c r="AS161" s="128"/>
      <c r="AT161" s="121"/>
      <c r="AU161" s="121"/>
    </row>
    <row r="162" spans="1:47">
      <c r="A162" s="121">
        <v>286</v>
      </c>
      <c r="B162" s="121">
        <v>3</v>
      </c>
      <c r="C162" s="121"/>
      <c r="D162" s="121"/>
      <c r="E162" s="151">
        <v>-999999.9</v>
      </c>
      <c r="F162" s="165">
        <v>0.03</v>
      </c>
      <c r="G162" s="215">
        <v>7.0000000000000007E-2</v>
      </c>
      <c r="H162" s="122" t="s">
        <v>4137</v>
      </c>
      <c r="I162" s="122" t="s">
        <v>4137</v>
      </c>
      <c r="J162" s="173">
        <v>7.0000000000000007E-2</v>
      </c>
      <c r="K162" s="173">
        <v>0.1</v>
      </c>
      <c r="L162" s="123" t="s">
        <v>4138</v>
      </c>
      <c r="M162" s="123" t="s">
        <v>4138</v>
      </c>
      <c r="N162" s="186">
        <v>0.1</v>
      </c>
      <c r="O162" s="186">
        <v>0.14000000000000001</v>
      </c>
      <c r="P162" s="124" t="s">
        <v>4139</v>
      </c>
      <c r="Q162" s="124" t="s">
        <v>4139</v>
      </c>
      <c r="R162" s="193">
        <v>0.14000000000000001</v>
      </c>
      <c r="S162" s="193">
        <v>0.24</v>
      </c>
      <c r="T162" s="126" t="s">
        <v>4140</v>
      </c>
      <c r="U162" s="126" t="s">
        <v>4140</v>
      </c>
      <c r="V162" s="165">
        <v>0.24</v>
      </c>
      <c r="W162" s="165">
        <v>0.43</v>
      </c>
      <c r="X162" s="122" t="s">
        <v>4141</v>
      </c>
      <c r="Y162" s="122" t="s">
        <v>4141</v>
      </c>
      <c r="Z162" s="173"/>
      <c r="AA162" s="173"/>
      <c r="AB162" s="123"/>
      <c r="AC162" s="123"/>
      <c r="AD162" s="186"/>
      <c r="AE162" s="186"/>
      <c r="AF162" s="124"/>
      <c r="AG162" s="124"/>
      <c r="AH162" s="191"/>
      <c r="AI162" s="191"/>
      <c r="AJ162" s="126"/>
      <c r="AK162" s="126"/>
      <c r="AL162" s="180"/>
      <c r="AM162" s="180"/>
      <c r="AN162" s="127"/>
      <c r="AO162" s="127"/>
      <c r="AP162" s="171"/>
      <c r="AQ162" s="171"/>
      <c r="AR162" s="128"/>
      <c r="AS162" s="128"/>
      <c r="AT162" s="121"/>
      <c r="AU162" s="121"/>
    </row>
    <row r="163" spans="1:47">
      <c r="A163" s="121">
        <v>287</v>
      </c>
      <c r="B163" s="121">
        <v>3</v>
      </c>
      <c r="C163" s="121"/>
      <c r="D163" s="121"/>
      <c r="E163" s="151">
        <v>-999999.9</v>
      </c>
      <c r="F163" s="165">
        <v>-17.3</v>
      </c>
      <c r="G163" s="215">
        <v>-10.8</v>
      </c>
      <c r="H163" s="122" t="s">
        <v>4142</v>
      </c>
      <c r="I163" s="122" t="s">
        <v>4142</v>
      </c>
      <c r="J163" s="173">
        <v>-10.8</v>
      </c>
      <c r="K163" s="173">
        <v>-5.2</v>
      </c>
      <c r="L163" s="123" t="s">
        <v>4143</v>
      </c>
      <c r="M163" s="123" t="s">
        <v>4144</v>
      </c>
      <c r="N163" s="186">
        <v>-5.2</v>
      </c>
      <c r="O163" s="186">
        <v>-2.7</v>
      </c>
      <c r="P163" s="124" t="s">
        <v>4145</v>
      </c>
      <c r="Q163" s="124" t="s">
        <v>4146</v>
      </c>
      <c r="R163" s="193">
        <v>-2.7</v>
      </c>
      <c r="S163" s="193">
        <v>-0.5</v>
      </c>
      <c r="T163" s="126" t="s">
        <v>4147</v>
      </c>
      <c r="U163" s="126" t="s">
        <v>4147</v>
      </c>
      <c r="V163" s="165">
        <v>-0.5</v>
      </c>
      <c r="W163" s="165">
        <v>0.21</v>
      </c>
      <c r="X163" s="122" t="s">
        <v>4148</v>
      </c>
      <c r="Y163" s="122" t="s">
        <v>4148</v>
      </c>
      <c r="Z163" s="173"/>
      <c r="AA163" s="173"/>
      <c r="AB163" s="123"/>
      <c r="AC163" s="123"/>
      <c r="AD163" s="186"/>
      <c r="AE163" s="186"/>
      <c r="AF163" s="124"/>
      <c r="AG163" s="124"/>
      <c r="AH163" s="209"/>
      <c r="AI163" s="209"/>
      <c r="AJ163" s="126"/>
      <c r="AK163" s="126"/>
      <c r="AL163" s="180"/>
      <c r="AM163" s="180"/>
      <c r="AN163" s="127"/>
      <c r="AO163" s="127"/>
      <c r="AP163" s="171"/>
      <c r="AQ163" s="171"/>
      <c r="AR163" s="128"/>
      <c r="AS163" s="128"/>
      <c r="AT163" s="121"/>
      <c r="AU163" s="121"/>
    </row>
    <row r="164" spans="1:47">
      <c r="A164" s="121">
        <v>288</v>
      </c>
      <c r="B164" s="121">
        <v>3</v>
      </c>
      <c r="C164" s="121"/>
      <c r="D164" s="121"/>
      <c r="E164" s="151">
        <v>-999999.9</v>
      </c>
      <c r="F164" s="165">
        <v>-9.9999999999999995E-7</v>
      </c>
      <c r="G164" s="215">
        <v>20</v>
      </c>
      <c r="H164" s="122" t="s">
        <v>3878</v>
      </c>
      <c r="I164" s="122" t="s">
        <v>3878</v>
      </c>
      <c r="J164" s="173">
        <v>20</v>
      </c>
      <c r="K164" s="173">
        <v>50</v>
      </c>
      <c r="L164" s="123" t="s">
        <v>3879</v>
      </c>
      <c r="M164" s="123" t="s">
        <v>3879</v>
      </c>
      <c r="N164" s="186">
        <v>50</v>
      </c>
      <c r="O164" s="186">
        <v>80</v>
      </c>
      <c r="P164" s="124" t="s">
        <v>4149</v>
      </c>
      <c r="Q164" s="124" t="s">
        <v>4149</v>
      </c>
      <c r="R164" s="193">
        <v>80</v>
      </c>
      <c r="S164" s="193">
        <v>90</v>
      </c>
      <c r="T164" s="126" t="s">
        <v>4150</v>
      </c>
      <c r="U164" s="126" t="s">
        <v>4150</v>
      </c>
      <c r="V164" s="165">
        <v>90</v>
      </c>
      <c r="W164" s="165">
        <v>100</v>
      </c>
      <c r="X164" s="122" t="s">
        <v>3882</v>
      </c>
      <c r="Y164" s="122" t="s">
        <v>3882</v>
      </c>
      <c r="Z164" s="173"/>
      <c r="AA164" s="173"/>
      <c r="AB164" s="123"/>
      <c r="AC164" s="123"/>
      <c r="AD164" s="186"/>
      <c r="AE164" s="186"/>
      <c r="AF164" s="124"/>
      <c r="AG164" s="124"/>
      <c r="AH164" s="191"/>
      <c r="AI164" s="191"/>
      <c r="AJ164" s="126"/>
      <c r="AK164" s="126"/>
      <c r="AL164" s="180"/>
      <c r="AM164" s="180"/>
      <c r="AN164" s="127"/>
      <c r="AO164" s="127"/>
      <c r="AP164" s="171"/>
      <c r="AQ164" s="171"/>
      <c r="AR164" s="128"/>
      <c r="AS164" s="128"/>
      <c r="AT164" s="121"/>
      <c r="AU164" s="121"/>
    </row>
    <row r="165" spans="1:47">
      <c r="A165" s="121">
        <v>289</v>
      </c>
      <c r="B165" s="121">
        <v>3</v>
      </c>
      <c r="C165" s="121"/>
      <c r="D165" s="121"/>
      <c r="E165" s="151">
        <v>-999999.9</v>
      </c>
      <c r="F165" s="165">
        <v>1.03</v>
      </c>
      <c r="G165" s="215">
        <v>9</v>
      </c>
      <c r="H165" s="122" t="s">
        <v>4107</v>
      </c>
      <c r="I165" s="122" t="s">
        <v>4107</v>
      </c>
      <c r="J165" s="173">
        <v>9</v>
      </c>
      <c r="K165" s="173">
        <v>13</v>
      </c>
      <c r="L165" s="123" t="s">
        <v>4084</v>
      </c>
      <c r="M165" s="123" t="s">
        <v>4084</v>
      </c>
      <c r="N165" s="186">
        <v>13</v>
      </c>
      <c r="O165" s="186">
        <v>17</v>
      </c>
      <c r="P165" s="124" t="s">
        <v>4151</v>
      </c>
      <c r="Q165" s="124" t="s">
        <v>4151</v>
      </c>
      <c r="R165" s="193">
        <v>17</v>
      </c>
      <c r="S165" s="193">
        <v>21</v>
      </c>
      <c r="T165" s="126" t="s">
        <v>4152</v>
      </c>
      <c r="U165" s="126" t="s">
        <v>4152</v>
      </c>
      <c r="V165" s="165">
        <v>21</v>
      </c>
      <c r="W165" s="165">
        <v>32</v>
      </c>
      <c r="X165" s="122" t="s">
        <v>4153</v>
      </c>
      <c r="Y165" s="122" t="s">
        <v>4153</v>
      </c>
      <c r="Z165" s="173"/>
      <c r="AA165" s="173"/>
      <c r="AB165" s="123"/>
      <c r="AC165" s="123"/>
      <c r="AD165" s="186"/>
      <c r="AE165" s="186"/>
      <c r="AF165" s="124"/>
      <c r="AG165" s="124"/>
      <c r="AH165" s="209"/>
      <c r="AI165" s="209"/>
      <c r="AJ165" s="126"/>
      <c r="AK165" s="126"/>
      <c r="AL165" s="180"/>
      <c r="AM165" s="180"/>
      <c r="AN165" s="127"/>
      <c r="AO165" s="127"/>
      <c r="AP165" s="171"/>
      <c r="AQ165" s="171"/>
      <c r="AR165" s="128"/>
      <c r="AS165" s="128"/>
      <c r="AT165" s="121"/>
      <c r="AU165" s="121"/>
    </row>
    <row r="166" spans="1:47">
      <c r="A166" s="121">
        <v>290</v>
      </c>
      <c r="B166" s="121">
        <v>3</v>
      </c>
      <c r="C166" s="121"/>
      <c r="D166" s="121"/>
      <c r="E166" s="151">
        <v>-999999.9</v>
      </c>
      <c r="F166" s="165">
        <v>83</v>
      </c>
      <c r="G166" s="215">
        <v>89</v>
      </c>
      <c r="H166" s="122" t="s">
        <v>4154</v>
      </c>
      <c r="I166" s="122" t="s">
        <v>4154</v>
      </c>
      <c r="J166" s="173">
        <v>89</v>
      </c>
      <c r="K166" s="173">
        <v>91</v>
      </c>
      <c r="L166" s="123" t="s">
        <v>4155</v>
      </c>
      <c r="M166" s="123" t="s">
        <v>4155</v>
      </c>
      <c r="N166" s="186">
        <v>91</v>
      </c>
      <c r="O166" s="186">
        <v>92</v>
      </c>
      <c r="P166" s="124" t="s">
        <v>4156</v>
      </c>
      <c r="Q166" s="124" t="s">
        <v>4156</v>
      </c>
      <c r="R166" s="193">
        <v>92</v>
      </c>
      <c r="S166" s="193">
        <v>95</v>
      </c>
      <c r="T166" s="126" t="s">
        <v>4157</v>
      </c>
      <c r="U166" s="126" t="s">
        <v>4157</v>
      </c>
      <c r="V166" s="165">
        <v>95</v>
      </c>
      <c r="W166" s="165">
        <v>100</v>
      </c>
      <c r="X166" s="122" t="s">
        <v>4158</v>
      </c>
      <c r="Y166" s="122" t="s">
        <v>4158</v>
      </c>
      <c r="Z166" s="173"/>
      <c r="AA166" s="173"/>
      <c r="AB166" s="123"/>
      <c r="AC166" s="123"/>
      <c r="AD166" s="186"/>
      <c r="AE166" s="186"/>
      <c r="AF166" s="124"/>
      <c r="AG166" s="124"/>
      <c r="AH166" s="191"/>
      <c r="AI166" s="191"/>
      <c r="AJ166" s="126"/>
      <c r="AK166" s="126"/>
      <c r="AL166" s="180"/>
      <c r="AM166" s="180"/>
      <c r="AN166" s="127"/>
      <c r="AO166" s="127"/>
      <c r="AP166" s="171"/>
      <c r="AQ166" s="171"/>
      <c r="AR166" s="128"/>
      <c r="AS166" s="128"/>
      <c r="AT166" s="121"/>
      <c r="AU166" s="121"/>
    </row>
    <row r="167" spans="1:47">
      <c r="A167" s="121">
        <v>291</v>
      </c>
      <c r="B167" s="121">
        <v>3</v>
      </c>
      <c r="C167" s="121"/>
      <c r="D167" s="121"/>
      <c r="E167" s="151">
        <v>-999999.9</v>
      </c>
      <c r="F167" s="165">
        <v>1.49</v>
      </c>
      <c r="G167" s="215">
        <v>13.3</v>
      </c>
      <c r="H167" s="122" t="s">
        <v>4159</v>
      </c>
      <c r="I167" s="122" t="s">
        <v>4159</v>
      </c>
      <c r="J167" s="173">
        <v>13.3</v>
      </c>
      <c r="K167" s="173">
        <v>22.5</v>
      </c>
      <c r="L167" s="123" t="s">
        <v>4160</v>
      </c>
      <c r="M167" s="123" t="s">
        <v>4160</v>
      </c>
      <c r="N167" s="186">
        <v>22.5</v>
      </c>
      <c r="O167" s="186">
        <v>32.200000000000003</v>
      </c>
      <c r="P167" s="124" t="s">
        <v>4161</v>
      </c>
      <c r="Q167" s="124" t="s">
        <v>4162</v>
      </c>
      <c r="R167" s="193">
        <v>32.200000000000003</v>
      </c>
      <c r="S167" s="193">
        <v>43.4</v>
      </c>
      <c r="T167" s="126" t="s">
        <v>4163</v>
      </c>
      <c r="U167" s="126" t="s">
        <v>4163</v>
      </c>
      <c r="V167" s="165">
        <v>43.4</v>
      </c>
      <c r="W167" s="165">
        <v>74.8</v>
      </c>
      <c r="X167" s="122" t="s">
        <v>4164</v>
      </c>
      <c r="Y167" s="122" t="s">
        <v>4164</v>
      </c>
      <c r="Z167" s="173"/>
      <c r="AA167" s="173"/>
      <c r="AB167" s="123"/>
      <c r="AC167" s="123"/>
      <c r="AD167" s="186"/>
      <c r="AE167" s="186"/>
      <c r="AF167" s="124"/>
      <c r="AG167" s="124"/>
      <c r="AH167" s="209"/>
      <c r="AI167" s="209"/>
      <c r="AJ167" s="126"/>
      <c r="AK167" s="126"/>
      <c r="AL167" s="180"/>
      <c r="AM167" s="180"/>
      <c r="AN167" s="127"/>
      <c r="AO167" s="127"/>
      <c r="AP167" s="171"/>
      <c r="AQ167" s="171"/>
      <c r="AR167" s="128"/>
      <c r="AS167" s="128"/>
      <c r="AT167" s="121"/>
      <c r="AU167" s="121"/>
    </row>
    <row r="168" spans="1:47">
      <c r="A168" s="121">
        <v>292</v>
      </c>
      <c r="B168" s="121">
        <v>3</v>
      </c>
      <c r="C168" s="121"/>
      <c r="D168" s="121"/>
      <c r="E168" s="151">
        <v>-999999.9</v>
      </c>
      <c r="F168" s="165">
        <v>0</v>
      </c>
      <c r="G168" s="215">
        <v>11</v>
      </c>
      <c r="H168" s="122" t="s">
        <v>4165</v>
      </c>
      <c r="I168" s="122" t="s">
        <v>4165</v>
      </c>
      <c r="J168" s="173">
        <v>11</v>
      </c>
      <c r="K168" s="173">
        <v>25</v>
      </c>
      <c r="L168" s="123" t="s">
        <v>4166</v>
      </c>
      <c r="M168" s="123" t="s">
        <v>4166</v>
      </c>
      <c r="N168" s="186">
        <v>25</v>
      </c>
      <c r="O168" s="186">
        <v>42</v>
      </c>
      <c r="P168" s="124" t="s">
        <v>4167</v>
      </c>
      <c r="Q168" s="124" t="s">
        <v>4167</v>
      </c>
      <c r="R168" s="193">
        <v>42</v>
      </c>
      <c r="S168" s="193">
        <v>65</v>
      </c>
      <c r="T168" s="126" t="s">
        <v>4168</v>
      </c>
      <c r="U168" s="126" t="s">
        <v>4168</v>
      </c>
      <c r="V168" s="165">
        <v>65</v>
      </c>
      <c r="W168" s="165">
        <v>100</v>
      </c>
      <c r="X168" s="122" t="s">
        <v>4169</v>
      </c>
      <c r="Y168" s="122" t="s">
        <v>4169</v>
      </c>
      <c r="Z168" s="173"/>
      <c r="AA168" s="173"/>
      <c r="AB168" s="123"/>
      <c r="AC168" s="123"/>
      <c r="AD168" s="186"/>
      <c r="AE168" s="186"/>
      <c r="AF168" s="124"/>
      <c r="AG168" s="124"/>
      <c r="AH168" s="191"/>
      <c r="AI168" s="191"/>
      <c r="AJ168" s="126"/>
      <c r="AK168" s="126"/>
      <c r="AL168" s="180"/>
      <c r="AM168" s="180"/>
      <c r="AN168" s="127"/>
      <c r="AO168" s="127"/>
      <c r="AP168" s="171"/>
      <c r="AQ168" s="171"/>
      <c r="AR168" s="128"/>
      <c r="AS168" s="128"/>
      <c r="AT168" s="121"/>
      <c r="AU168" s="121"/>
    </row>
    <row r="169" spans="1:47">
      <c r="A169" s="121">
        <v>293</v>
      </c>
      <c r="B169" s="121">
        <v>3</v>
      </c>
      <c r="C169" s="121"/>
      <c r="D169" s="121"/>
      <c r="E169" s="151">
        <v>-999999.9</v>
      </c>
      <c r="F169" s="165">
        <v>4500</v>
      </c>
      <c r="G169" s="215">
        <v>92000</v>
      </c>
      <c r="H169" s="122" t="s">
        <v>4170</v>
      </c>
      <c r="I169" s="122" t="s">
        <v>4170</v>
      </c>
      <c r="J169" s="173">
        <v>92000</v>
      </c>
      <c r="K169" s="173">
        <v>140000</v>
      </c>
      <c r="L169" s="123" t="s">
        <v>4171</v>
      </c>
      <c r="M169" s="123" t="s">
        <v>4171</v>
      </c>
      <c r="N169" s="186">
        <v>140000</v>
      </c>
      <c r="O169" s="186">
        <v>198000</v>
      </c>
      <c r="P169" s="124" t="s">
        <v>4172</v>
      </c>
      <c r="Q169" s="124" t="s">
        <v>4172</v>
      </c>
      <c r="R169" s="193">
        <v>198000</v>
      </c>
      <c r="S169" s="193">
        <v>286000</v>
      </c>
      <c r="T169" s="126" t="s">
        <v>4173</v>
      </c>
      <c r="U169" s="126" t="s">
        <v>4173</v>
      </c>
      <c r="V169" s="165">
        <v>286000</v>
      </c>
      <c r="W169" s="165">
        <v>481000</v>
      </c>
      <c r="X169" s="122" t="s">
        <v>4174</v>
      </c>
      <c r="Y169" s="122" t="s">
        <v>4174</v>
      </c>
      <c r="Z169" s="173"/>
      <c r="AA169" s="173"/>
      <c r="AB169" s="123"/>
      <c r="AC169" s="123"/>
      <c r="AD169" s="186"/>
      <c r="AE169" s="186"/>
      <c r="AF169" s="124"/>
      <c r="AG169" s="124"/>
      <c r="AH169" s="209"/>
      <c r="AI169" s="209"/>
      <c r="AJ169" s="126"/>
      <c r="AK169" s="126"/>
      <c r="AL169" s="180"/>
      <c r="AM169" s="180"/>
      <c r="AN169" s="127"/>
      <c r="AO169" s="127"/>
      <c r="AP169" s="171"/>
      <c r="AQ169" s="171"/>
      <c r="AR169" s="128"/>
      <c r="AS169" s="128"/>
      <c r="AT169" s="121"/>
      <c r="AU169" s="121"/>
    </row>
    <row r="170" spans="1:47">
      <c r="A170" s="121">
        <v>294</v>
      </c>
      <c r="B170" s="121">
        <v>3</v>
      </c>
      <c r="C170" s="121"/>
      <c r="D170" s="121"/>
      <c r="E170" s="151">
        <v>-999999.9</v>
      </c>
      <c r="F170" s="165">
        <v>7.9000000000000001E-2</v>
      </c>
      <c r="G170" s="215">
        <v>15</v>
      </c>
      <c r="H170" s="122" t="s">
        <v>4175</v>
      </c>
      <c r="I170" s="122" t="s">
        <v>4175</v>
      </c>
      <c r="J170" s="173">
        <v>15</v>
      </c>
      <c r="K170" s="173">
        <v>35</v>
      </c>
      <c r="L170" s="123" t="s">
        <v>4176</v>
      </c>
      <c r="M170" s="123" t="s">
        <v>4176</v>
      </c>
      <c r="N170" s="186">
        <v>35</v>
      </c>
      <c r="O170" s="186">
        <v>60</v>
      </c>
      <c r="P170" s="124" t="s">
        <v>4177</v>
      </c>
      <c r="Q170" s="124" t="s">
        <v>4177</v>
      </c>
      <c r="R170" s="193">
        <v>60</v>
      </c>
      <c r="S170" s="193">
        <v>85</v>
      </c>
      <c r="T170" s="126" t="s">
        <v>4178</v>
      </c>
      <c r="U170" s="126" t="s">
        <v>4178</v>
      </c>
      <c r="V170" s="165">
        <v>85</v>
      </c>
      <c r="W170" s="165">
        <v>100</v>
      </c>
      <c r="X170" s="122" t="s">
        <v>4179</v>
      </c>
      <c r="Y170" s="122" t="s">
        <v>4179</v>
      </c>
      <c r="Z170" s="173"/>
      <c r="AA170" s="173"/>
      <c r="AB170" s="123"/>
      <c r="AC170" s="123"/>
      <c r="AD170" s="186"/>
      <c r="AE170" s="186"/>
      <c r="AF170" s="124"/>
      <c r="AG170" s="124"/>
      <c r="AH170" s="191"/>
      <c r="AI170" s="191"/>
      <c r="AJ170" s="126"/>
      <c r="AK170" s="126"/>
      <c r="AL170" s="180"/>
      <c r="AM170" s="180"/>
      <c r="AN170" s="127"/>
      <c r="AO170" s="127"/>
      <c r="AP170" s="171"/>
      <c r="AQ170" s="171"/>
      <c r="AR170" s="128"/>
      <c r="AS170" s="128"/>
      <c r="AT170" s="121"/>
      <c r="AU170" s="121"/>
    </row>
    <row r="171" spans="1:47">
      <c r="A171" s="121">
        <v>295</v>
      </c>
      <c r="B171" s="121">
        <v>3</v>
      </c>
      <c r="C171" s="121"/>
      <c r="D171" s="121"/>
      <c r="E171" s="151">
        <v>-999999.9</v>
      </c>
      <c r="F171" s="165">
        <v>0</v>
      </c>
      <c r="G171" s="215">
        <v>6</v>
      </c>
      <c r="H171" s="122" t="s">
        <v>4180</v>
      </c>
      <c r="I171" s="122" t="s">
        <v>4180</v>
      </c>
      <c r="J171" s="173">
        <v>6</v>
      </c>
      <c r="K171" s="173">
        <v>13</v>
      </c>
      <c r="L171" s="123" t="s">
        <v>4181</v>
      </c>
      <c r="M171" s="123" t="s">
        <v>4181</v>
      </c>
      <c r="N171" s="186">
        <v>13</v>
      </c>
      <c r="O171" s="186">
        <v>24</v>
      </c>
      <c r="P171" s="124" t="s">
        <v>4182</v>
      </c>
      <c r="Q171" s="124" t="s">
        <v>4182</v>
      </c>
      <c r="R171" s="193">
        <v>24</v>
      </c>
      <c r="S171" s="193">
        <v>48</v>
      </c>
      <c r="T171" s="126" t="s">
        <v>4183</v>
      </c>
      <c r="U171" s="126" t="s">
        <v>4183</v>
      </c>
      <c r="V171" s="165">
        <v>48</v>
      </c>
      <c r="W171" s="165">
        <v>82</v>
      </c>
      <c r="X171" s="122" t="s">
        <v>4184</v>
      </c>
      <c r="Y171" s="122" t="s">
        <v>4184</v>
      </c>
      <c r="Z171" s="173"/>
      <c r="AA171" s="173"/>
      <c r="AB171" s="123"/>
      <c r="AC171" s="123"/>
      <c r="AD171" s="186"/>
      <c r="AE171" s="186"/>
      <c r="AF171" s="124"/>
      <c r="AG171" s="124"/>
      <c r="AH171" s="209"/>
      <c r="AI171" s="209"/>
      <c r="AJ171" s="126"/>
      <c r="AK171" s="126"/>
      <c r="AL171" s="180"/>
      <c r="AM171" s="180"/>
      <c r="AN171" s="127"/>
      <c r="AO171" s="127"/>
      <c r="AP171" s="171"/>
      <c r="AQ171" s="171"/>
      <c r="AR171" s="128"/>
      <c r="AS171" s="128"/>
      <c r="AT171" s="121"/>
      <c r="AU171" s="121"/>
    </row>
    <row r="172" spans="1:47">
      <c r="A172" s="121">
        <v>296</v>
      </c>
      <c r="B172" s="121">
        <v>3</v>
      </c>
      <c r="C172" s="121"/>
      <c r="D172" s="121"/>
      <c r="E172" s="151">
        <v>-999999.9</v>
      </c>
      <c r="F172" s="165">
        <v>200</v>
      </c>
      <c r="G172" s="215">
        <v>320000</v>
      </c>
      <c r="H172" s="122" t="s">
        <v>4185</v>
      </c>
      <c r="I172" s="122" t="s">
        <v>4185</v>
      </c>
      <c r="J172" s="173">
        <v>320000</v>
      </c>
      <c r="K172" s="173">
        <v>870000</v>
      </c>
      <c r="L172" s="123" t="s">
        <v>4186</v>
      </c>
      <c r="M172" s="123" t="s">
        <v>4186</v>
      </c>
      <c r="N172" s="186">
        <v>870000</v>
      </c>
      <c r="O172" s="186">
        <v>1650000</v>
      </c>
      <c r="P172" s="124" t="s">
        <v>4187</v>
      </c>
      <c r="Q172" s="124" t="s">
        <v>4187</v>
      </c>
      <c r="R172" s="193">
        <v>1650000</v>
      </c>
      <c r="S172" s="193">
        <v>3230000</v>
      </c>
      <c r="T172" s="126" t="s">
        <v>4188</v>
      </c>
      <c r="U172" s="126" t="s">
        <v>4188</v>
      </c>
      <c r="V172" s="165">
        <v>3230000</v>
      </c>
      <c r="W172" s="165">
        <v>8634000</v>
      </c>
      <c r="X172" s="122" t="s">
        <v>4189</v>
      </c>
      <c r="Y172" s="122" t="s">
        <v>4189</v>
      </c>
      <c r="Z172" s="173"/>
      <c r="AA172" s="173"/>
      <c r="AB172" s="123"/>
      <c r="AC172" s="123"/>
      <c r="AD172" s="186"/>
      <c r="AE172" s="186"/>
      <c r="AF172" s="124"/>
      <c r="AG172" s="124"/>
      <c r="AH172" s="191"/>
      <c r="AI172" s="191"/>
      <c r="AJ172" s="126"/>
      <c r="AK172" s="126"/>
      <c r="AL172" s="180"/>
      <c r="AM172" s="180"/>
      <c r="AN172" s="127"/>
      <c r="AO172" s="127"/>
      <c r="AP172" s="171"/>
      <c r="AQ172" s="171"/>
      <c r="AR172" s="128"/>
      <c r="AS172" s="128"/>
      <c r="AT172" s="121"/>
      <c r="AU172" s="121"/>
    </row>
    <row r="173" spans="1:47">
      <c r="A173" s="121">
        <v>297</v>
      </c>
      <c r="B173" s="121">
        <v>3</v>
      </c>
      <c r="C173" s="121"/>
      <c r="D173" s="121"/>
      <c r="E173" s="151">
        <v>-999999.9</v>
      </c>
      <c r="F173" s="165">
        <v>0</v>
      </c>
      <c r="G173" s="215">
        <v>1</v>
      </c>
      <c r="H173" s="122" t="s">
        <v>4190</v>
      </c>
      <c r="I173" s="122" t="s">
        <v>4190</v>
      </c>
      <c r="J173" s="173">
        <v>1</v>
      </c>
      <c r="K173" s="173">
        <v>3</v>
      </c>
      <c r="L173" s="123" t="s">
        <v>4191</v>
      </c>
      <c r="M173" s="123" t="s">
        <v>4191</v>
      </c>
      <c r="N173" s="186">
        <v>3</v>
      </c>
      <c r="O173" s="186">
        <v>8</v>
      </c>
      <c r="P173" s="124" t="s">
        <v>4192</v>
      </c>
      <c r="Q173" s="124" t="s">
        <v>4192</v>
      </c>
      <c r="R173" s="193">
        <v>8</v>
      </c>
      <c r="S173" s="193">
        <v>19</v>
      </c>
      <c r="T173" s="126" t="s">
        <v>4121</v>
      </c>
      <c r="U173" s="126" t="s">
        <v>4121</v>
      </c>
      <c r="V173" s="165">
        <v>19</v>
      </c>
      <c r="W173" s="165">
        <v>29</v>
      </c>
      <c r="X173" s="122" t="s">
        <v>4193</v>
      </c>
      <c r="Y173" s="122" t="s">
        <v>4193</v>
      </c>
      <c r="Z173" s="173"/>
      <c r="AA173" s="173"/>
      <c r="AB173" s="123"/>
      <c r="AC173" s="123"/>
      <c r="AD173" s="186"/>
      <c r="AE173" s="186"/>
      <c r="AF173" s="124"/>
      <c r="AG173" s="124"/>
      <c r="AH173" s="209"/>
      <c r="AI173" s="209"/>
      <c r="AJ173" s="126"/>
      <c r="AK173" s="126"/>
      <c r="AL173" s="180"/>
      <c r="AM173" s="180"/>
      <c r="AN173" s="127"/>
      <c r="AO173" s="127"/>
      <c r="AP173" s="171"/>
      <c r="AQ173" s="171"/>
      <c r="AR173" s="128"/>
      <c r="AS173" s="128"/>
      <c r="AT173" s="121"/>
      <c r="AU173" s="121"/>
    </row>
    <row r="174" spans="1:47">
      <c r="A174" s="121">
        <v>298</v>
      </c>
      <c r="B174" s="121">
        <v>3</v>
      </c>
      <c r="C174" s="121"/>
      <c r="D174" s="121"/>
      <c r="E174" s="151">
        <v>-999999.9</v>
      </c>
      <c r="F174" s="165">
        <v>18</v>
      </c>
      <c r="G174" s="215">
        <v>20</v>
      </c>
      <c r="H174" s="122" t="s">
        <v>4194</v>
      </c>
      <c r="I174" s="122" t="s">
        <v>4194</v>
      </c>
      <c r="J174" s="173">
        <v>20</v>
      </c>
      <c r="K174" s="173">
        <v>22</v>
      </c>
      <c r="L174" s="123" t="s">
        <v>4195</v>
      </c>
      <c r="M174" s="123" t="s">
        <v>4195</v>
      </c>
      <c r="N174" s="186">
        <v>22</v>
      </c>
      <c r="O174" s="186">
        <v>23</v>
      </c>
      <c r="P174" s="124" t="s">
        <v>4049</v>
      </c>
      <c r="Q174" s="124" t="s">
        <v>4049</v>
      </c>
      <c r="R174" s="193">
        <v>23</v>
      </c>
      <c r="S174" s="193">
        <v>25</v>
      </c>
      <c r="T174" s="126" t="s">
        <v>4056</v>
      </c>
      <c r="U174" s="126" t="s">
        <v>4056</v>
      </c>
      <c r="V174" s="165">
        <v>25</v>
      </c>
      <c r="W174" s="165">
        <v>26.2</v>
      </c>
      <c r="X174" s="122" t="s">
        <v>4057</v>
      </c>
      <c r="Y174" s="122" t="s">
        <v>4057</v>
      </c>
      <c r="Z174" s="173"/>
      <c r="AA174" s="173"/>
      <c r="AB174" s="123"/>
      <c r="AC174" s="123"/>
      <c r="AD174" s="186"/>
      <c r="AE174" s="186"/>
      <c r="AF174" s="124"/>
      <c r="AG174" s="124"/>
      <c r="AH174" s="191"/>
      <c r="AI174" s="191"/>
      <c r="AJ174" s="126"/>
      <c r="AK174" s="126"/>
      <c r="AL174" s="180"/>
      <c r="AM174" s="180"/>
      <c r="AN174" s="127"/>
      <c r="AO174" s="127"/>
      <c r="AP174" s="171"/>
      <c r="AQ174" s="171"/>
      <c r="AR174" s="128"/>
      <c r="AS174" s="128"/>
      <c r="AT174" s="121"/>
      <c r="AU174" s="121"/>
    </row>
    <row r="175" spans="1:47">
      <c r="A175" s="121">
        <v>299</v>
      </c>
      <c r="B175" s="121">
        <v>3</v>
      </c>
      <c r="C175" s="121"/>
      <c r="D175" s="121"/>
      <c r="E175" s="151">
        <v>-999999.9</v>
      </c>
      <c r="F175" s="165">
        <v>19</v>
      </c>
      <c r="G175" s="215">
        <v>21</v>
      </c>
      <c r="H175" s="122" t="s">
        <v>4196</v>
      </c>
      <c r="I175" s="122" t="s">
        <v>4196</v>
      </c>
      <c r="J175" s="173">
        <v>21</v>
      </c>
      <c r="K175" s="173">
        <v>23</v>
      </c>
      <c r="L175" s="123" t="s">
        <v>4197</v>
      </c>
      <c r="M175" s="123" t="s">
        <v>4197</v>
      </c>
      <c r="N175" s="186">
        <v>23</v>
      </c>
      <c r="O175" s="186">
        <v>25</v>
      </c>
      <c r="P175" s="124" t="s">
        <v>4056</v>
      </c>
      <c r="Q175" s="124" t="s">
        <v>4056</v>
      </c>
      <c r="R175" s="193">
        <v>25</v>
      </c>
      <c r="S175" s="193">
        <v>26</v>
      </c>
      <c r="T175" s="126" t="s">
        <v>4057</v>
      </c>
      <c r="U175" s="126" t="s">
        <v>4057</v>
      </c>
      <c r="V175" s="165">
        <v>26</v>
      </c>
      <c r="W175" s="165">
        <v>28</v>
      </c>
      <c r="X175" s="122" t="s">
        <v>4052</v>
      </c>
      <c r="Y175" s="122" t="s">
        <v>4052</v>
      </c>
      <c r="Z175" s="173"/>
      <c r="AA175" s="173"/>
      <c r="AB175" s="123"/>
      <c r="AC175" s="123"/>
      <c r="AD175" s="186"/>
      <c r="AE175" s="186"/>
      <c r="AF175" s="124"/>
      <c r="AG175" s="124"/>
      <c r="AH175" s="209"/>
      <c r="AI175" s="209"/>
      <c r="AJ175" s="126"/>
      <c r="AK175" s="126"/>
      <c r="AL175" s="180"/>
      <c r="AM175" s="180"/>
      <c r="AN175" s="127"/>
      <c r="AO175" s="127"/>
      <c r="AP175" s="171"/>
      <c r="AQ175" s="171"/>
      <c r="AR175" s="128"/>
      <c r="AS175" s="128"/>
      <c r="AT175" s="121"/>
      <c r="AU175" s="121"/>
    </row>
    <row r="176" spans="1:47">
      <c r="A176" s="121">
        <v>300</v>
      </c>
      <c r="B176" s="121">
        <v>3</v>
      </c>
      <c r="C176" s="121"/>
      <c r="D176" s="121"/>
      <c r="E176" s="151">
        <v>-999999.9</v>
      </c>
      <c r="F176" s="165">
        <v>20</v>
      </c>
      <c r="G176" s="215">
        <v>22</v>
      </c>
      <c r="H176" s="122" t="s">
        <v>4195</v>
      </c>
      <c r="I176" s="122" t="s">
        <v>4195</v>
      </c>
      <c r="J176" s="173">
        <v>22</v>
      </c>
      <c r="K176" s="173">
        <v>24</v>
      </c>
      <c r="L176" s="123" t="s">
        <v>4198</v>
      </c>
      <c r="M176" s="123" t="s">
        <v>4198</v>
      </c>
      <c r="N176" s="186">
        <v>24</v>
      </c>
      <c r="O176" s="186">
        <v>25</v>
      </c>
      <c r="P176" s="124" t="s">
        <v>4199</v>
      </c>
      <c r="Q176" s="124" t="s">
        <v>4199</v>
      </c>
      <c r="R176" s="193">
        <v>25</v>
      </c>
      <c r="S176" s="193">
        <v>27</v>
      </c>
      <c r="T176" s="126" t="s">
        <v>4060</v>
      </c>
      <c r="U176" s="126" t="s">
        <v>4060</v>
      </c>
      <c r="V176" s="165">
        <v>27</v>
      </c>
      <c r="W176" s="165">
        <v>28.4</v>
      </c>
      <c r="X176" s="122" t="s">
        <v>4061</v>
      </c>
      <c r="Y176" s="122" t="s">
        <v>4061</v>
      </c>
      <c r="Z176" s="173"/>
      <c r="AA176" s="173"/>
      <c r="AB176" s="123"/>
      <c r="AC176" s="123"/>
      <c r="AD176" s="186"/>
      <c r="AE176" s="186"/>
      <c r="AF176" s="124"/>
      <c r="AG176" s="124"/>
      <c r="AH176" s="191"/>
      <c r="AI176" s="191"/>
      <c r="AJ176" s="126"/>
      <c r="AK176" s="126"/>
      <c r="AL176" s="180"/>
      <c r="AM176" s="180"/>
      <c r="AN176" s="127"/>
      <c r="AO176" s="127"/>
      <c r="AP176" s="171"/>
      <c r="AQ176" s="171"/>
      <c r="AR176" s="128"/>
      <c r="AS176" s="128"/>
      <c r="AT176" s="121"/>
      <c r="AU176" s="121"/>
    </row>
    <row r="177" spans="1:47">
      <c r="A177" s="121">
        <v>301</v>
      </c>
      <c r="B177" s="121">
        <v>3</v>
      </c>
      <c r="C177" s="121"/>
      <c r="D177" s="121"/>
      <c r="E177" s="151">
        <v>-999999.9</v>
      </c>
      <c r="F177" s="165">
        <v>21</v>
      </c>
      <c r="G177" s="215">
        <v>24</v>
      </c>
      <c r="H177" s="122" t="s">
        <v>4200</v>
      </c>
      <c r="I177" s="122" t="s">
        <v>4200</v>
      </c>
      <c r="J177" s="173">
        <v>24</v>
      </c>
      <c r="K177" s="173">
        <v>26</v>
      </c>
      <c r="L177" s="123" t="s">
        <v>4051</v>
      </c>
      <c r="M177" s="123" t="s">
        <v>4051</v>
      </c>
      <c r="N177" s="186">
        <v>26</v>
      </c>
      <c r="O177" s="186">
        <v>27</v>
      </c>
      <c r="P177" s="124" t="s">
        <v>4054</v>
      </c>
      <c r="Q177" s="124" t="s">
        <v>4054</v>
      </c>
      <c r="R177" s="193">
        <v>27</v>
      </c>
      <c r="S177" s="193">
        <v>28</v>
      </c>
      <c r="T177" s="126" t="s">
        <v>4061</v>
      </c>
      <c r="U177" s="126" t="s">
        <v>4061</v>
      </c>
      <c r="V177" s="165">
        <v>28</v>
      </c>
      <c r="W177" s="165">
        <v>30.3</v>
      </c>
      <c r="X177" s="122" t="s">
        <v>4058</v>
      </c>
      <c r="Y177" s="122" t="s">
        <v>4058</v>
      </c>
      <c r="Z177" s="173"/>
      <c r="AA177" s="173"/>
      <c r="AB177" s="123"/>
      <c r="AC177" s="123"/>
      <c r="AD177" s="186"/>
      <c r="AE177" s="186"/>
      <c r="AF177" s="124"/>
      <c r="AG177" s="124"/>
      <c r="AH177" s="209"/>
      <c r="AI177" s="209"/>
      <c r="AJ177" s="126"/>
      <c r="AK177" s="126"/>
      <c r="AL177" s="180"/>
      <c r="AM177" s="180"/>
      <c r="AN177" s="127"/>
      <c r="AO177" s="127"/>
      <c r="AP177" s="171"/>
      <c r="AQ177" s="171"/>
      <c r="AR177" s="128"/>
      <c r="AS177" s="128"/>
      <c r="AT177" s="121"/>
      <c r="AU177" s="121"/>
    </row>
    <row r="178" spans="1:47">
      <c r="A178" s="121">
        <v>302</v>
      </c>
      <c r="B178" s="121">
        <v>3</v>
      </c>
      <c r="C178" s="121"/>
      <c r="D178" s="121"/>
      <c r="E178" s="151">
        <v>-999999.9</v>
      </c>
      <c r="F178" s="165">
        <v>-1.73</v>
      </c>
      <c r="G178" s="215">
        <v>-0.632414743</v>
      </c>
      <c r="H178" s="122" t="s">
        <v>4201</v>
      </c>
      <c r="I178" s="122" t="s">
        <v>4201</v>
      </c>
      <c r="J178" s="173">
        <v>-0.63</v>
      </c>
      <c r="K178" s="173">
        <v>0.1</v>
      </c>
      <c r="L178" s="123" t="s">
        <v>4202</v>
      </c>
      <c r="M178" s="123" t="s">
        <v>4202</v>
      </c>
      <c r="N178" s="186">
        <v>0.1</v>
      </c>
      <c r="O178" s="186">
        <v>1.03</v>
      </c>
      <c r="P178" s="124" t="s">
        <v>4203</v>
      </c>
      <c r="Q178" s="124" t="s">
        <v>4203</v>
      </c>
      <c r="R178" s="193">
        <v>1.03</v>
      </c>
      <c r="S178" s="193">
        <v>2.4700000000000002</v>
      </c>
      <c r="T178" s="126" t="s">
        <v>4204</v>
      </c>
      <c r="U178" s="126" t="s">
        <v>4204</v>
      </c>
      <c r="V178" s="165">
        <v>2.4700000000000002</v>
      </c>
      <c r="W178" s="165">
        <v>5.14</v>
      </c>
      <c r="X178" s="122" t="s">
        <v>4205</v>
      </c>
      <c r="Y178" s="122" t="s">
        <v>4205</v>
      </c>
      <c r="Z178" s="173"/>
      <c r="AA178" s="173"/>
      <c r="AB178" s="123"/>
      <c r="AC178" s="123"/>
      <c r="AD178" s="186"/>
      <c r="AE178" s="186"/>
      <c r="AF178" s="124"/>
      <c r="AG178" s="124"/>
      <c r="AH178" s="191"/>
      <c r="AI178" s="191"/>
      <c r="AJ178" s="126"/>
      <c r="AK178" s="126"/>
      <c r="AL178" s="180"/>
      <c r="AM178" s="180"/>
      <c r="AN178" s="127"/>
      <c r="AO178" s="127"/>
      <c r="AP178" s="171"/>
      <c r="AQ178" s="171"/>
      <c r="AR178" s="128"/>
      <c r="AS178" s="128"/>
      <c r="AT178" s="121"/>
      <c r="AU178" s="121"/>
    </row>
    <row r="179" spans="1:47">
      <c r="A179" s="121">
        <v>303</v>
      </c>
      <c r="B179" s="121">
        <v>3</v>
      </c>
      <c r="C179" s="121"/>
      <c r="D179" s="121"/>
      <c r="E179" s="151">
        <v>-999999.9</v>
      </c>
      <c r="F179" s="165">
        <v>-2.33</v>
      </c>
      <c r="G179" s="215">
        <v>-0.76101263799999996</v>
      </c>
      <c r="H179" s="122" t="s">
        <v>4206</v>
      </c>
      <c r="I179" s="122" t="s">
        <v>4206</v>
      </c>
      <c r="J179" s="173">
        <v>-0.76</v>
      </c>
      <c r="K179" s="173">
        <v>-0.02</v>
      </c>
      <c r="L179" s="123" t="s">
        <v>4207</v>
      </c>
      <c r="M179" s="123" t="s">
        <v>4207</v>
      </c>
      <c r="N179" s="186">
        <v>-0.02</v>
      </c>
      <c r="O179" s="186">
        <v>0.83</v>
      </c>
      <c r="P179" s="124" t="s">
        <v>4208</v>
      </c>
      <c r="Q179" s="124" t="s">
        <v>4208</v>
      </c>
      <c r="R179" s="193">
        <v>0.83</v>
      </c>
      <c r="S179" s="193">
        <v>2.17</v>
      </c>
      <c r="T179" s="126" t="s">
        <v>4209</v>
      </c>
      <c r="U179" s="126" t="s">
        <v>4209</v>
      </c>
      <c r="V179" s="165">
        <v>2.17</v>
      </c>
      <c r="W179" s="165">
        <v>6.0006000000000004</v>
      </c>
      <c r="X179" s="122" t="s">
        <v>4210</v>
      </c>
      <c r="Y179" s="122" t="s">
        <v>4210</v>
      </c>
      <c r="Z179" s="173"/>
      <c r="AA179" s="173"/>
      <c r="AB179" s="123"/>
      <c r="AC179" s="123"/>
      <c r="AD179" s="186"/>
      <c r="AE179" s="186"/>
      <c r="AF179" s="124"/>
      <c r="AG179" s="124"/>
      <c r="AH179" s="209"/>
      <c r="AI179" s="209"/>
      <c r="AJ179" s="126"/>
      <c r="AK179" s="126"/>
      <c r="AL179" s="180"/>
      <c r="AM179" s="180"/>
      <c r="AN179" s="127"/>
      <c r="AO179" s="127"/>
      <c r="AP179" s="171"/>
      <c r="AQ179" s="171"/>
      <c r="AR179" s="128"/>
      <c r="AS179" s="128"/>
      <c r="AT179" s="121"/>
      <c r="AU179" s="121"/>
    </row>
    <row r="180" spans="1:47">
      <c r="A180" s="121">
        <v>306</v>
      </c>
      <c r="B180" s="121">
        <v>3</v>
      </c>
      <c r="C180" s="121"/>
      <c r="D180" s="121"/>
      <c r="E180" s="151">
        <v>-999999.9</v>
      </c>
      <c r="F180" s="165">
        <v>-1.87</v>
      </c>
      <c r="G180" s="215">
        <v>-0.54</v>
      </c>
      <c r="H180" s="122" t="s">
        <v>4211</v>
      </c>
      <c r="I180" s="122" t="s">
        <v>4211</v>
      </c>
      <c r="J180" s="173">
        <v>-0.54</v>
      </c>
      <c r="K180" s="173">
        <v>0.03</v>
      </c>
      <c r="L180" s="123" t="s">
        <v>4212</v>
      </c>
      <c r="M180" s="123" t="s">
        <v>4212</v>
      </c>
      <c r="N180" s="186">
        <v>0.03</v>
      </c>
      <c r="O180" s="186">
        <v>0.62</v>
      </c>
      <c r="P180" s="124" t="s">
        <v>4213</v>
      </c>
      <c r="Q180" s="124" t="s">
        <v>4213</v>
      </c>
      <c r="R180" s="193">
        <v>0.62</v>
      </c>
      <c r="S180" s="193">
        <v>1.53</v>
      </c>
      <c r="T180" s="126" t="s">
        <v>4214</v>
      </c>
      <c r="U180" s="126" t="s">
        <v>4214</v>
      </c>
      <c r="V180" s="165">
        <v>1.53</v>
      </c>
      <c r="W180" s="165">
        <v>4.0999999999999996</v>
      </c>
      <c r="X180" s="122" t="s">
        <v>4215</v>
      </c>
      <c r="Y180" s="122" t="s">
        <v>4215</v>
      </c>
      <c r="Z180" s="173"/>
      <c r="AA180" s="173"/>
      <c r="AB180" s="123"/>
      <c r="AC180" s="123"/>
      <c r="AD180" s="186"/>
      <c r="AE180" s="186"/>
      <c r="AF180" s="124"/>
      <c r="AG180" s="124"/>
      <c r="AH180" s="191"/>
      <c r="AI180" s="191"/>
      <c r="AJ180" s="126"/>
      <c r="AK180" s="126"/>
      <c r="AL180" s="180"/>
      <c r="AM180" s="180"/>
      <c r="AN180" s="127"/>
      <c r="AO180" s="127"/>
      <c r="AP180" s="171"/>
      <c r="AQ180" s="171"/>
      <c r="AR180" s="128"/>
      <c r="AS180" s="128"/>
      <c r="AT180" s="121"/>
      <c r="AU180" s="121"/>
    </row>
    <row r="181" spans="1:47">
      <c r="A181" s="121">
        <v>307</v>
      </c>
      <c r="B181" s="121">
        <v>3</v>
      </c>
      <c r="C181" s="121"/>
      <c r="D181" s="121"/>
      <c r="E181" s="151">
        <v>-999999.9</v>
      </c>
      <c r="F181" s="165">
        <v>-9.9999999999999995E-7</v>
      </c>
      <c r="G181" s="215">
        <v>6</v>
      </c>
      <c r="H181" s="122" t="s">
        <v>4180</v>
      </c>
      <c r="I181" s="122" t="s">
        <v>4180</v>
      </c>
      <c r="J181" s="173">
        <v>6</v>
      </c>
      <c r="K181" s="173">
        <v>13</v>
      </c>
      <c r="L181" s="123" t="s">
        <v>4181</v>
      </c>
      <c r="M181" s="123" t="s">
        <v>4181</v>
      </c>
      <c r="N181" s="186">
        <v>13</v>
      </c>
      <c r="O181" s="186">
        <v>24</v>
      </c>
      <c r="P181" s="124" t="s">
        <v>4182</v>
      </c>
      <c r="Q181" s="124" t="s">
        <v>4182</v>
      </c>
      <c r="R181" s="193">
        <v>24</v>
      </c>
      <c r="S181" s="193">
        <v>48</v>
      </c>
      <c r="T181" s="126" t="s">
        <v>4183</v>
      </c>
      <c r="U181" s="126" t="s">
        <v>4183</v>
      </c>
      <c r="V181" s="165">
        <v>48</v>
      </c>
      <c r="W181" s="165">
        <v>82</v>
      </c>
      <c r="X181" s="122" t="s">
        <v>4184</v>
      </c>
      <c r="Y181" s="122" t="s">
        <v>4184</v>
      </c>
      <c r="Z181" s="173"/>
      <c r="AA181" s="173"/>
      <c r="AB181" s="123"/>
      <c r="AC181" s="123"/>
      <c r="AD181" s="186"/>
      <c r="AE181" s="186"/>
      <c r="AF181" s="124"/>
      <c r="AG181" s="124"/>
      <c r="AH181" s="209"/>
      <c r="AI181" s="209"/>
      <c r="AJ181" s="126"/>
      <c r="AK181" s="126"/>
      <c r="AL181" s="180"/>
      <c r="AM181" s="180"/>
      <c r="AN181" s="127"/>
      <c r="AO181" s="127"/>
      <c r="AP181" s="171"/>
      <c r="AQ181" s="171"/>
      <c r="AR181" s="128"/>
      <c r="AS181" s="128"/>
      <c r="AT181" s="121"/>
      <c r="AU181" s="121"/>
    </row>
    <row r="182" spans="1:47">
      <c r="A182" s="121">
        <v>308</v>
      </c>
      <c r="B182" s="121">
        <v>3</v>
      </c>
      <c r="C182" s="121"/>
      <c r="D182" s="121"/>
      <c r="E182" s="151">
        <v>-999999.9</v>
      </c>
      <c r="F182" s="165">
        <v>-9.9999999999999995E-7</v>
      </c>
      <c r="G182" s="215">
        <v>4</v>
      </c>
      <c r="H182" s="122" t="s">
        <v>4216</v>
      </c>
      <c r="I182" s="122" t="s">
        <v>4216</v>
      </c>
      <c r="J182" s="173">
        <v>4</v>
      </c>
      <c r="K182" s="173">
        <v>6</v>
      </c>
      <c r="L182" s="123" t="s">
        <v>4078</v>
      </c>
      <c r="M182" s="123" t="s">
        <v>4078</v>
      </c>
      <c r="N182" s="186">
        <v>6</v>
      </c>
      <c r="O182" s="186">
        <v>9</v>
      </c>
      <c r="P182" s="124" t="s">
        <v>4083</v>
      </c>
      <c r="Q182" s="124" t="s">
        <v>4083</v>
      </c>
      <c r="R182" s="193">
        <v>9</v>
      </c>
      <c r="S182" s="193">
        <v>13</v>
      </c>
      <c r="T182" s="126" t="s">
        <v>4084</v>
      </c>
      <c r="U182" s="126" t="s">
        <v>4084</v>
      </c>
      <c r="V182" s="165">
        <v>13</v>
      </c>
      <c r="W182" s="165">
        <v>26</v>
      </c>
      <c r="X182" s="122" t="s">
        <v>4217</v>
      </c>
      <c r="Y182" s="122" t="s">
        <v>4217</v>
      </c>
      <c r="Z182" s="173"/>
      <c r="AA182" s="173"/>
      <c r="AB182" s="123"/>
      <c r="AC182" s="123"/>
      <c r="AD182" s="186"/>
      <c r="AE182" s="186"/>
      <c r="AF182" s="124"/>
      <c r="AG182" s="124"/>
      <c r="AH182" s="191"/>
      <c r="AI182" s="191"/>
      <c r="AJ182" s="126"/>
      <c r="AK182" s="126"/>
      <c r="AL182" s="180"/>
      <c r="AM182" s="180"/>
      <c r="AN182" s="127"/>
      <c r="AO182" s="127"/>
      <c r="AP182" s="171"/>
      <c r="AQ182" s="171"/>
      <c r="AR182" s="128"/>
      <c r="AS182" s="128"/>
      <c r="AT182" s="121"/>
      <c r="AU182" s="121"/>
    </row>
    <row r="183" spans="1:47">
      <c r="A183" s="121">
        <v>309</v>
      </c>
      <c r="B183" s="121">
        <v>3</v>
      </c>
      <c r="C183" s="121"/>
      <c r="D183" s="121"/>
      <c r="E183" s="151">
        <v>-999999.9</v>
      </c>
      <c r="F183" s="165">
        <v>-9.9999999999999995E-7</v>
      </c>
      <c r="G183" s="215">
        <v>50</v>
      </c>
      <c r="H183" s="122" t="s">
        <v>4218</v>
      </c>
      <c r="I183" s="122" t="s">
        <v>4218</v>
      </c>
      <c r="J183" s="173">
        <v>50</v>
      </c>
      <c r="K183" s="173">
        <v>130</v>
      </c>
      <c r="L183" s="123" t="s">
        <v>4219</v>
      </c>
      <c r="M183" s="123" t="s">
        <v>4219</v>
      </c>
      <c r="N183" s="186">
        <v>130</v>
      </c>
      <c r="O183" s="186">
        <v>350</v>
      </c>
      <c r="P183" s="124" t="s">
        <v>4220</v>
      </c>
      <c r="Q183" s="124" t="s">
        <v>4220</v>
      </c>
      <c r="R183" s="193">
        <v>350</v>
      </c>
      <c r="S183" s="193">
        <v>800</v>
      </c>
      <c r="T183" s="126" t="s">
        <v>4221</v>
      </c>
      <c r="U183" s="126" t="s">
        <v>4221</v>
      </c>
      <c r="V183" s="165">
        <v>800</v>
      </c>
      <c r="W183" s="165">
        <v>1260</v>
      </c>
      <c r="X183" s="122" t="s">
        <v>4222</v>
      </c>
      <c r="Y183" s="122" t="s">
        <v>4222</v>
      </c>
      <c r="Z183" s="173"/>
      <c r="AA183" s="173"/>
      <c r="AB183" s="123"/>
      <c r="AC183" s="123"/>
      <c r="AD183" s="186"/>
      <c r="AE183" s="186"/>
      <c r="AF183" s="124"/>
      <c r="AG183" s="124"/>
      <c r="AH183" s="209"/>
      <c r="AI183" s="209"/>
      <c r="AJ183" s="126"/>
      <c r="AK183" s="126"/>
      <c r="AL183" s="180"/>
      <c r="AM183" s="180"/>
      <c r="AN183" s="127"/>
      <c r="AO183" s="127"/>
      <c r="AP183" s="171"/>
      <c r="AQ183" s="171"/>
      <c r="AR183" s="128"/>
      <c r="AS183" s="128"/>
      <c r="AT183" s="121"/>
      <c r="AU183" s="121"/>
    </row>
    <row r="184" spans="1:47">
      <c r="A184">
        <v>310</v>
      </c>
      <c r="B184">
        <v>3</v>
      </c>
      <c r="C184"/>
      <c r="D184"/>
      <c r="E184" s="151">
        <v>-999999.9</v>
      </c>
      <c r="F184" s="166">
        <v>-34.01</v>
      </c>
      <c r="G184" s="217">
        <v>-20</v>
      </c>
      <c r="H184" s="145" t="s">
        <v>4223</v>
      </c>
      <c r="I184" s="145" t="s">
        <v>4223</v>
      </c>
      <c r="J184" s="176">
        <v>-20</v>
      </c>
      <c r="K184" s="176">
        <v>-9.8000000000000007</v>
      </c>
      <c r="L184" s="144" t="s">
        <v>4224</v>
      </c>
      <c r="M184" s="144" t="s">
        <v>4224</v>
      </c>
      <c r="N184" s="188">
        <v>-9.8000000000000007</v>
      </c>
      <c r="O184" s="188">
        <v>-4</v>
      </c>
      <c r="P184" s="143" t="s">
        <v>4225</v>
      </c>
      <c r="Q184" s="143" t="s">
        <v>4225</v>
      </c>
      <c r="R184" s="195">
        <v>-4</v>
      </c>
      <c r="S184" s="195">
        <v>-0.9</v>
      </c>
      <c r="T184" s="142" t="s">
        <v>4226</v>
      </c>
      <c r="U184" s="142" t="s">
        <v>4226</v>
      </c>
      <c r="V184" s="166">
        <v>-0.9</v>
      </c>
      <c r="W184" s="166">
        <v>0.12</v>
      </c>
      <c r="X184" s="145" t="s">
        <v>4227</v>
      </c>
      <c r="Y184" s="145" t="s">
        <v>4227</v>
      </c>
      <c r="Z184" s="176"/>
      <c r="AA184" s="176"/>
      <c r="AB184" s="144"/>
      <c r="AC184" s="144"/>
      <c r="AD184" s="188"/>
      <c r="AE184" s="188"/>
      <c r="AF184" s="143"/>
      <c r="AG184" s="143"/>
      <c r="AH184" s="191"/>
      <c r="AI184" s="191"/>
      <c r="AJ184" s="142"/>
      <c r="AK184" s="142"/>
      <c r="AL184" s="180"/>
      <c r="AM184" s="180"/>
      <c r="AN184" s="141"/>
      <c r="AO184" s="141"/>
      <c r="AP184" s="171"/>
      <c r="AQ184" s="171"/>
      <c r="AR184" s="140"/>
      <c r="AS184" s="140"/>
      <c r="AT184" s="121"/>
      <c r="AU184" s="121"/>
    </row>
    <row r="185" spans="1:47">
      <c r="A185">
        <v>311</v>
      </c>
      <c r="B185">
        <v>3</v>
      </c>
      <c r="C185"/>
      <c r="D185"/>
      <c r="E185" s="151">
        <v>-999999.9</v>
      </c>
      <c r="F185" s="166">
        <v>-34.01</v>
      </c>
      <c r="G185" s="217">
        <v>-20</v>
      </c>
      <c r="H185" s="145" t="s">
        <v>4228</v>
      </c>
      <c r="I185" s="145" t="s">
        <v>4228</v>
      </c>
      <c r="J185" s="176">
        <v>-20</v>
      </c>
      <c r="K185" s="176">
        <v>-9.8000000000000007</v>
      </c>
      <c r="L185" s="144" t="s">
        <v>4229</v>
      </c>
      <c r="M185" s="144" t="s">
        <v>4229</v>
      </c>
      <c r="N185" s="188">
        <v>-9.8000000000000007</v>
      </c>
      <c r="O185" s="188">
        <v>-4</v>
      </c>
      <c r="P185" s="143" t="s">
        <v>4230</v>
      </c>
      <c r="Q185" s="143" t="s">
        <v>4230</v>
      </c>
      <c r="R185" s="195">
        <v>-4</v>
      </c>
      <c r="S185" s="195">
        <v>-0.9</v>
      </c>
      <c r="T185" s="142" t="s">
        <v>4231</v>
      </c>
      <c r="U185" s="142" t="s">
        <v>4231</v>
      </c>
      <c r="V185" s="166">
        <v>-0.9</v>
      </c>
      <c r="W185" s="166">
        <v>0.12</v>
      </c>
      <c r="X185" s="145" t="s">
        <v>4232</v>
      </c>
      <c r="Y185" s="145" t="s">
        <v>4232</v>
      </c>
      <c r="Z185" s="176"/>
      <c r="AA185" s="176"/>
      <c r="AB185" s="144"/>
      <c r="AC185" s="144"/>
      <c r="AD185" s="188"/>
      <c r="AE185" s="188"/>
      <c r="AF185" s="143"/>
      <c r="AG185" s="143"/>
      <c r="AH185" s="209"/>
      <c r="AI185" s="209"/>
      <c r="AJ185" s="142"/>
      <c r="AK185" s="142"/>
      <c r="AL185" s="180"/>
      <c r="AM185" s="180"/>
      <c r="AN185" s="141"/>
      <c r="AO185" s="141"/>
      <c r="AP185" s="171"/>
      <c r="AQ185" s="171"/>
      <c r="AR185" s="140"/>
      <c r="AS185" s="140"/>
      <c r="AT185" s="121"/>
      <c r="AU185" s="121"/>
    </row>
    <row r="186" spans="1:47">
      <c r="A186">
        <v>312</v>
      </c>
      <c r="B186">
        <v>3</v>
      </c>
      <c r="C186"/>
      <c r="D186"/>
      <c r="E186" s="151">
        <v>-999999.9</v>
      </c>
      <c r="F186" s="166">
        <v>-34.01</v>
      </c>
      <c r="G186" s="217">
        <v>-20</v>
      </c>
      <c r="H186" s="145" t="s">
        <v>4228</v>
      </c>
      <c r="I186" s="145" t="s">
        <v>4228</v>
      </c>
      <c r="J186" s="176">
        <v>-20</v>
      </c>
      <c r="K186" s="176">
        <v>-9.8000000000000007</v>
      </c>
      <c r="L186" s="144" t="s">
        <v>4229</v>
      </c>
      <c r="M186" s="144" t="s">
        <v>4229</v>
      </c>
      <c r="N186" s="188">
        <v>-9.8000000000000007</v>
      </c>
      <c r="O186" s="188">
        <v>-4</v>
      </c>
      <c r="P186" s="143" t="s">
        <v>4230</v>
      </c>
      <c r="Q186" s="143" t="s">
        <v>4230</v>
      </c>
      <c r="R186" s="195">
        <v>-4</v>
      </c>
      <c r="S186" s="195">
        <v>-0.9</v>
      </c>
      <c r="T186" s="142" t="s">
        <v>4231</v>
      </c>
      <c r="U186" s="142" t="s">
        <v>4231</v>
      </c>
      <c r="V186" s="166">
        <v>-0.9</v>
      </c>
      <c r="W186" s="166">
        <v>0.12</v>
      </c>
      <c r="X186" s="145" t="s">
        <v>4232</v>
      </c>
      <c r="Y186" s="145" t="s">
        <v>4232</v>
      </c>
      <c r="Z186" s="176"/>
      <c r="AA186" s="176"/>
      <c r="AB186" s="144"/>
      <c r="AC186" s="144"/>
      <c r="AD186" s="188"/>
      <c r="AE186" s="188"/>
      <c r="AF186" s="143"/>
      <c r="AG186" s="143"/>
      <c r="AH186" s="191"/>
      <c r="AI186" s="191"/>
      <c r="AJ186" s="142"/>
      <c r="AK186" s="142"/>
      <c r="AL186" s="180"/>
      <c r="AM186" s="180"/>
      <c r="AN186" s="141"/>
      <c r="AO186" s="141"/>
      <c r="AP186" s="171"/>
      <c r="AQ186" s="171"/>
      <c r="AR186" s="140"/>
      <c r="AS186" s="140"/>
      <c r="AT186" s="121"/>
      <c r="AU186" s="121"/>
    </row>
    <row r="187" spans="1:47">
      <c r="A187">
        <v>313</v>
      </c>
      <c r="B187">
        <v>3</v>
      </c>
      <c r="C187"/>
      <c r="D187"/>
      <c r="E187" s="151">
        <v>-999999.9</v>
      </c>
      <c r="F187" s="166">
        <v>-3.0449999999999999</v>
      </c>
      <c r="G187" s="217">
        <v>-1</v>
      </c>
      <c r="H187" s="145" t="s">
        <v>4233</v>
      </c>
      <c r="I187" s="145" t="s">
        <v>4233</v>
      </c>
      <c r="J187" s="176">
        <v>-1</v>
      </c>
      <c r="K187" s="176">
        <v>-0.3</v>
      </c>
      <c r="L187" s="144" t="s">
        <v>4234</v>
      </c>
      <c r="M187" s="144" t="s">
        <v>4234</v>
      </c>
      <c r="N187" s="188">
        <v>-0.3</v>
      </c>
      <c r="O187" s="188">
        <v>0.3</v>
      </c>
      <c r="P187" s="143" t="s">
        <v>4235</v>
      </c>
      <c r="Q187" s="143" t="s">
        <v>4235</v>
      </c>
      <c r="R187" s="195">
        <v>0.3</v>
      </c>
      <c r="S187" s="195">
        <v>1</v>
      </c>
      <c r="T187" s="142" t="s">
        <v>4236</v>
      </c>
      <c r="U187" s="142" t="s">
        <v>4236</v>
      </c>
      <c r="V187" s="166">
        <v>1</v>
      </c>
      <c r="W187" s="166">
        <v>3.1</v>
      </c>
      <c r="X187" s="145" t="s">
        <v>4237</v>
      </c>
      <c r="Y187" s="145" t="s">
        <v>4237</v>
      </c>
      <c r="Z187" s="176"/>
      <c r="AA187" s="176"/>
      <c r="AB187" s="144"/>
      <c r="AC187" s="144"/>
      <c r="AD187" s="188"/>
      <c r="AE187" s="188"/>
      <c r="AF187" s="143"/>
      <c r="AG187" s="143"/>
      <c r="AH187" s="209"/>
      <c r="AI187" s="209"/>
      <c r="AJ187" s="142"/>
      <c r="AK187" s="142"/>
      <c r="AL187" s="180"/>
      <c r="AM187" s="180"/>
      <c r="AN187" s="141"/>
      <c r="AO187" s="141"/>
      <c r="AP187" s="171"/>
      <c r="AQ187" s="171"/>
      <c r="AR187" s="140"/>
      <c r="AS187" s="140"/>
      <c r="AT187" s="121"/>
      <c r="AU187" s="121"/>
    </row>
    <row r="188" spans="1:47">
      <c r="A188" s="121">
        <v>314</v>
      </c>
      <c r="B188" s="121">
        <v>17</v>
      </c>
      <c r="C188" s="121"/>
      <c r="D188" s="121"/>
      <c r="E188" s="152"/>
      <c r="F188" s="165"/>
      <c r="G188" s="215"/>
      <c r="H188" s="122" t="s">
        <v>3244</v>
      </c>
      <c r="I188" s="122"/>
      <c r="J188" s="173"/>
      <c r="K188" s="173"/>
      <c r="L188" s="123"/>
      <c r="M188" s="123"/>
      <c r="N188" s="186"/>
      <c r="O188" s="186"/>
      <c r="P188" s="124"/>
      <c r="Q188" s="124"/>
      <c r="R188" s="193"/>
      <c r="S188" s="193"/>
      <c r="T188" s="126"/>
      <c r="U188" s="126"/>
      <c r="V188" s="165"/>
      <c r="W188" s="165"/>
      <c r="X188" s="122"/>
      <c r="Y188" s="122"/>
      <c r="Z188" s="173"/>
      <c r="AA188" s="173"/>
      <c r="AB188" s="123"/>
      <c r="AC188" s="123"/>
      <c r="AD188" s="186"/>
      <c r="AE188" s="186"/>
      <c r="AF188" s="124"/>
      <c r="AG188" s="124"/>
      <c r="AH188" s="193"/>
      <c r="AI188" s="193"/>
      <c r="AJ188" s="126"/>
      <c r="AK188" s="126"/>
      <c r="AL188" s="165"/>
      <c r="AM188" s="165"/>
      <c r="AN188" s="127"/>
      <c r="AO188" s="127"/>
      <c r="AP188" s="173"/>
      <c r="AQ188" s="173"/>
      <c r="AR188" s="128"/>
      <c r="AS188" s="128"/>
      <c r="AT188" s="121"/>
      <c r="AU188" s="121"/>
    </row>
    <row r="189" spans="1:47">
      <c r="A189" s="121">
        <v>315</v>
      </c>
      <c r="B189" s="121">
        <v>18</v>
      </c>
      <c r="C189" s="121"/>
      <c r="D189" s="121"/>
      <c r="E189" s="152"/>
      <c r="F189" s="165"/>
      <c r="G189" s="215"/>
      <c r="H189" s="122" t="s">
        <v>3246</v>
      </c>
      <c r="I189" s="122"/>
      <c r="J189" s="173"/>
      <c r="K189" s="173"/>
      <c r="L189" s="123"/>
      <c r="M189" s="123"/>
      <c r="N189" s="186"/>
      <c r="O189" s="186"/>
      <c r="P189" s="124"/>
      <c r="Q189" s="124"/>
      <c r="R189" s="193"/>
      <c r="S189" s="193"/>
      <c r="T189" s="126"/>
      <c r="U189" s="126"/>
      <c r="V189" s="165"/>
      <c r="W189" s="165"/>
      <c r="X189" s="122"/>
      <c r="Y189" s="122"/>
      <c r="Z189" s="173"/>
      <c r="AA189" s="173"/>
      <c r="AB189" s="123"/>
      <c r="AC189" s="123"/>
      <c r="AD189" s="186"/>
      <c r="AE189" s="186"/>
      <c r="AF189" s="124"/>
      <c r="AG189" s="124"/>
      <c r="AH189" s="193"/>
      <c r="AI189" s="193"/>
      <c r="AJ189" s="126"/>
      <c r="AK189" s="126"/>
      <c r="AL189" s="165"/>
      <c r="AM189" s="165"/>
      <c r="AN189" s="127"/>
      <c r="AO189" s="127"/>
      <c r="AP189" s="173"/>
      <c r="AQ189" s="173"/>
      <c r="AR189" s="128"/>
      <c r="AS189" s="128"/>
      <c r="AT189" s="121"/>
      <c r="AU189" s="121"/>
    </row>
    <row r="190" spans="1:47">
      <c r="A190" s="121">
        <v>316</v>
      </c>
      <c r="B190" s="121">
        <v>19</v>
      </c>
      <c r="C190" s="121"/>
      <c r="D190" s="121"/>
      <c r="E190" s="152"/>
      <c r="F190" s="165"/>
      <c r="G190" s="215"/>
      <c r="H190" s="122" t="s">
        <v>3253</v>
      </c>
      <c r="I190" s="122"/>
      <c r="J190" s="173"/>
      <c r="K190" s="173"/>
      <c r="L190" s="123"/>
      <c r="M190" s="123"/>
      <c r="N190" s="186"/>
      <c r="O190" s="186"/>
      <c r="P190" s="124"/>
      <c r="Q190" s="124"/>
      <c r="R190" s="193"/>
      <c r="S190" s="193"/>
      <c r="T190" s="126"/>
      <c r="U190" s="126"/>
      <c r="V190" s="165"/>
      <c r="W190" s="165"/>
      <c r="X190" s="122"/>
      <c r="Y190" s="122"/>
      <c r="Z190" s="173"/>
      <c r="AA190" s="173"/>
      <c r="AB190" s="123"/>
      <c r="AC190" s="123"/>
      <c r="AD190" s="186"/>
      <c r="AE190" s="186"/>
      <c r="AF190" s="124"/>
      <c r="AG190" s="124"/>
      <c r="AH190" s="193"/>
      <c r="AI190" s="193"/>
      <c r="AJ190" s="126"/>
      <c r="AK190" s="126"/>
      <c r="AL190" s="165"/>
      <c r="AM190" s="165"/>
      <c r="AN190" s="127"/>
      <c r="AO190" s="127"/>
      <c r="AP190" s="173"/>
      <c r="AQ190" s="173"/>
      <c r="AR190" s="128"/>
      <c r="AS190" s="128"/>
      <c r="AT190" s="121"/>
      <c r="AU190" s="121"/>
    </row>
    <row r="191" spans="1:47">
      <c r="A191" s="121">
        <v>317</v>
      </c>
      <c r="B191" s="121">
        <v>20</v>
      </c>
      <c r="C191" s="121"/>
      <c r="D191" s="121"/>
      <c r="E191" s="152"/>
      <c r="F191" s="165"/>
      <c r="G191" s="215"/>
      <c r="H191" s="122" t="s">
        <v>3445</v>
      </c>
      <c r="I191" s="122"/>
      <c r="J191" s="173"/>
      <c r="K191" s="173"/>
      <c r="L191" s="123"/>
      <c r="M191" s="123"/>
      <c r="N191" s="186"/>
      <c r="O191" s="186"/>
      <c r="P191" s="124"/>
      <c r="Q191" s="124"/>
      <c r="R191" s="193"/>
      <c r="S191" s="193"/>
      <c r="T191" s="126"/>
      <c r="U191" s="126"/>
      <c r="V191" s="165"/>
      <c r="W191" s="165"/>
      <c r="X191" s="122"/>
      <c r="Y191" s="122"/>
      <c r="Z191" s="173"/>
      <c r="AA191" s="173"/>
      <c r="AB191" s="123"/>
      <c r="AC191" s="123"/>
      <c r="AD191" s="186"/>
      <c r="AE191" s="186"/>
      <c r="AF191" s="124"/>
      <c r="AG191" s="124"/>
      <c r="AH191" s="193"/>
      <c r="AI191" s="193"/>
      <c r="AJ191" s="126"/>
      <c r="AK191" s="126"/>
      <c r="AL191" s="165"/>
      <c r="AM191" s="165"/>
      <c r="AN191" s="127"/>
      <c r="AO191" s="127"/>
      <c r="AP191" s="173"/>
      <c r="AQ191" s="173"/>
      <c r="AR191" s="128"/>
      <c r="AS191" s="128"/>
      <c r="AT191" s="121"/>
      <c r="AU191" s="121"/>
    </row>
    <row r="192" spans="1:47">
      <c r="A192" s="121">
        <v>318</v>
      </c>
      <c r="B192" s="121">
        <v>21</v>
      </c>
      <c r="C192" s="121"/>
      <c r="D192" s="121"/>
      <c r="E192" s="152"/>
      <c r="F192" s="165"/>
      <c r="G192" s="215"/>
      <c r="H192" s="122" t="s">
        <v>3244</v>
      </c>
      <c r="I192" s="122"/>
      <c r="J192" s="173"/>
      <c r="K192" s="173"/>
      <c r="L192" s="123"/>
      <c r="M192" s="123"/>
      <c r="N192" s="186"/>
      <c r="O192" s="186"/>
      <c r="P192" s="124"/>
      <c r="Q192" s="124"/>
      <c r="R192" s="193"/>
      <c r="S192" s="193"/>
      <c r="T192" s="126"/>
      <c r="U192" s="126"/>
      <c r="V192" s="165"/>
      <c r="W192" s="165"/>
      <c r="X192" s="122"/>
      <c r="Y192" s="122"/>
      <c r="Z192" s="173"/>
      <c r="AA192" s="173"/>
      <c r="AB192" s="123"/>
      <c r="AC192" s="123"/>
      <c r="AD192" s="186"/>
      <c r="AE192" s="186"/>
      <c r="AF192" s="124"/>
      <c r="AG192" s="124"/>
      <c r="AH192" s="193"/>
      <c r="AI192" s="193"/>
      <c r="AJ192" s="126"/>
      <c r="AK192" s="126"/>
      <c r="AL192" s="165"/>
      <c r="AM192" s="165"/>
      <c r="AN192" s="127"/>
      <c r="AO192" s="127"/>
      <c r="AP192" s="173"/>
      <c r="AQ192" s="173"/>
      <c r="AR192" s="128"/>
      <c r="AS192" s="128"/>
      <c r="AT192" s="121"/>
      <c r="AU192" s="121"/>
    </row>
    <row r="193" spans="1:47">
      <c r="A193" s="15">
        <v>319</v>
      </c>
      <c r="B193" s="15">
        <v>6</v>
      </c>
      <c r="C193" s="15" t="s">
        <v>3773</v>
      </c>
      <c r="D193" s="15" t="s">
        <v>3774</v>
      </c>
      <c r="E193" s="151">
        <v>-999999.9</v>
      </c>
      <c r="F193" s="162">
        <v>-999999.9</v>
      </c>
      <c r="G193" s="213">
        <v>-2.5</v>
      </c>
      <c r="H193" s="48" t="s">
        <v>3503</v>
      </c>
      <c r="I193" s="48" t="s">
        <v>3503</v>
      </c>
      <c r="J193" s="171">
        <v>-2.5</v>
      </c>
      <c r="K193" s="171">
        <v>-1.5</v>
      </c>
      <c r="L193" s="50" t="s">
        <v>3734</v>
      </c>
      <c r="M193" s="50" t="s">
        <v>3734</v>
      </c>
      <c r="N193" s="184">
        <v>-1.5</v>
      </c>
      <c r="O193" s="184">
        <v>-0.5</v>
      </c>
      <c r="P193" s="52" t="s">
        <v>3505</v>
      </c>
      <c r="Q193" s="52" t="s">
        <v>3505</v>
      </c>
      <c r="R193" s="191">
        <v>-0.5</v>
      </c>
      <c r="S193" s="191">
        <v>0.5</v>
      </c>
      <c r="T193" s="54" t="s">
        <v>3733</v>
      </c>
      <c r="U193" s="54" t="s">
        <v>3733</v>
      </c>
      <c r="V193" s="180">
        <v>0.5</v>
      </c>
      <c r="W193" s="180">
        <v>1.5</v>
      </c>
      <c r="X193" s="48" t="s">
        <v>3507</v>
      </c>
      <c r="Y193" s="48" t="s">
        <v>3507</v>
      </c>
      <c r="Z193" s="171">
        <v>1.5</v>
      </c>
      <c r="AA193" s="171">
        <v>2.5</v>
      </c>
      <c r="AB193" s="50" t="s">
        <v>3732</v>
      </c>
      <c r="AC193" s="50" t="s">
        <v>3732</v>
      </c>
      <c r="AD193" s="184">
        <v>2.5</v>
      </c>
      <c r="AE193" s="185">
        <v>999999.9</v>
      </c>
      <c r="AF193" s="52" t="s">
        <v>3509</v>
      </c>
      <c r="AG193" s="52" t="s">
        <v>3509</v>
      </c>
      <c r="AH193" s="191"/>
      <c r="AI193" s="191"/>
      <c r="AJ193" s="54"/>
      <c r="AK193" s="54"/>
      <c r="AL193" s="180"/>
      <c r="AM193" s="180"/>
      <c r="AN193" s="48"/>
      <c r="AO193" s="48"/>
      <c r="AP193" s="171"/>
      <c r="AQ193" s="171"/>
      <c r="AR193" s="50"/>
      <c r="AS193" s="50"/>
      <c r="AT193" s="121"/>
      <c r="AU193" s="121"/>
    </row>
    <row r="194" spans="1:47">
      <c r="A194" s="121"/>
      <c r="B194" s="121"/>
      <c r="C194" s="121"/>
      <c r="D194" s="121"/>
      <c r="E194" s="152"/>
      <c r="F194" s="165"/>
      <c r="G194" s="215"/>
      <c r="H194" s="122"/>
      <c r="I194" s="122"/>
      <c r="J194" s="173"/>
      <c r="K194" s="173"/>
      <c r="L194" s="123"/>
      <c r="M194" s="123"/>
      <c r="N194" s="186"/>
      <c r="O194" s="186"/>
      <c r="P194" s="124"/>
      <c r="Q194" s="124"/>
      <c r="R194" s="193"/>
      <c r="S194" s="193"/>
      <c r="T194" s="126"/>
      <c r="U194" s="126"/>
      <c r="V194" s="165"/>
      <c r="W194" s="165"/>
      <c r="X194" s="122"/>
      <c r="Y194" s="122"/>
      <c r="Z194" s="173"/>
      <c r="AA194" s="173"/>
      <c r="AB194" s="123"/>
      <c r="AC194" s="123"/>
      <c r="AD194" s="186"/>
      <c r="AE194" s="186"/>
      <c r="AF194" s="124"/>
      <c r="AG194" s="124"/>
      <c r="AH194" s="193"/>
      <c r="AI194" s="193"/>
      <c r="AJ194" s="126"/>
      <c r="AK194" s="126"/>
      <c r="AL194" s="165"/>
      <c r="AM194" s="165"/>
      <c r="AN194" s="127"/>
      <c r="AO194" s="127"/>
      <c r="AP194" s="173"/>
      <c r="AQ194" s="173"/>
      <c r="AR194" s="128"/>
      <c r="AS194" s="128"/>
      <c r="AT194" s="121"/>
      <c r="AU194" s="121"/>
    </row>
    <row r="195" spans="1:47">
      <c r="A195" s="121"/>
      <c r="B195" s="121"/>
      <c r="C195" s="121"/>
      <c r="D195" s="121"/>
      <c r="E195" s="152"/>
      <c r="F195" s="165"/>
      <c r="G195" s="215"/>
      <c r="H195" s="122"/>
      <c r="I195" s="122"/>
      <c r="J195" s="173"/>
      <c r="K195" s="173"/>
      <c r="L195" s="123"/>
      <c r="M195" s="123"/>
      <c r="N195" s="186"/>
      <c r="O195" s="186"/>
      <c r="P195" s="124"/>
      <c r="Q195" s="124"/>
      <c r="R195" s="193"/>
      <c r="S195" s="193"/>
      <c r="T195" s="126"/>
      <c r="U195" s="126"/>
      <c r="V195" s="165"/>
      <c r="W195" s="165"/>
      <c r="X195" s="122"/>
      <c r="Y195" s="122"/>
      <c r="Z195" s="173"/>
      <c r="AA195" s="173"/>
      <c r="AB195" s="123"/>
      <c r="AC195" s="123"/>
      <c r="AD195" s="186"/>
      <c r="AE195" s="186"/>
      <c r="AF195" s="124"/>
      <c r="AG195" s="124"/>
      <c r="AH195" s="193"/>
      <c r="AI195" s="193"/>
      <c r="AJ195" s="126"/>
      <c r="AK195" s="126"/>
      <c r="AL195" s="165"/>
      <c r="AM195" s="165"/>
      <c r="AN195" s="127"/>
      <c r="AO195" s="127"/>
      <c r="AP195" s="173"/>
      <c r="AQ195" s="173"/>
      <c r="AR195" s="128"/>
      <c r="AS195" s="128"/>
      <c r="AT195" s="121"/>
      <c r="AU195" s="121"/>
    </row>
    <row r="196" spans="1:47">
      <c r="A196" s="121"/>
      <c r="B196" s="121"/>
      <c r="C196" s="121"/>
      <c r="D196" s="121"/>
      <c r="E196" s="152"/>
      <c r="F196" s="165"/>
      <c r="G196" s="215"/>
      <c r="H196" s="122"/>
      <c r="I196" s="122"/>
      <c r="J196" s="173"/>
      <c r="K196" s="173"/>
      <c r="L196" s="123"/>
      <c r="M196" s="123"/>
      <c r="N196" s="186"/>
      <c r="O196" s="186"/>
      <c r="P196" s="124"/>
      <c r="Q196" s="124"/>
      <c r="R196" s="193"/>
      <c r="S196" s="193"/>
      <c r="T196" s="126"/>
      <c r="U196" s="126"/>
      <c r="V196" s="165"/>
      <c r="W196" s="165"/>
      <c r="X196" s="122"/>
      <c r="Y196" s="122"/>
      <c r="Z196" s="173"/>
      <c r="AA196" s="173"/>
      <c r="AB196" s="123"/>
      <c r="AC196" s="123"/>
      <c r="AD196" s="186"/>
      <c r="AE196" s="186"/>
      <c r="AF196" s="124"/>
      <c r="AG196" s="124"/>
      <c r="AH196" s="193"/>
      <c r="AI196" s="193"/>
      <c r="AJ196" s="126"/>
      <c r="AK196" s="126"/>
      <c r="AL196" s="165"/>
      <c r="AM196" s="165"/>
      <c r="AN196" s="127"/>
      <c r="AO196" s="127"/>
      <c r="AP196" s="173"/>
      <c r="AQ196" s="173"/>
      <c r="AR196" s="128"/>
      <c r="AS196" s="128"/>
      <c r="AT196" s="121"/>
      <c r="AU196" s="121"/>
    </row>
  </sheetData>
  <autoFilter ref="A1:AS1" xr:uid="{37CDE228-4B11-4C93-B266-553CB61343B7}"/>
  <conditionalFormatting sqref="A122:A124">
    <cfRule type="duplicateValues" dxfId="0"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7EE6-E1A9-4AFF-B228-55A520BFDCA4}">
  <dimension ref="A1:C83"/>
  <sheetViews>
    <sheetView tabSelected="1" workbookViewId="0">
      <pane ySplit="1" topLeftCell="A2" activePane="bottomLeft" state="frozen"/>
      <selection pane="bottomLeft" activeCell="C14" sqref="C14"/>
    </sheetView>
  </sheetViews>
  <sheetFormatPr defaultColWidth="8.85546875" defaultRowHeight="14.45"/>
  <cols>
    <col min="2" max="2" width="66.28515625" customWidth="1"/>
    <col min="3" max="3" width="104" customWidth="1"/>
  </cols>
  <sheetData>
    <row r="1" spans="1:3" s="4" customFormat="1">
      <c r="A1" s="4" t="s">
        <v>4238</v>
      </c>
      <c r="B1" s="4" t="s">
        <v>4239</v>
      </c>
      <c r="C1" s="4" t="s">
        <v>4240</v>
      </c>
    </row>
    <row r="2" spans="1:3">
      <c r="A2">
        <v>101</v>
      </c>
      <c r="B2" s="45" t="s">
        <v>4241</v>
      </c>
      <c r="C2" t="s">
        <v>4242</v>
      </c>
    </row>
    <row r="3" spans="1:3">
      <c r="A3">
        <v>1</v>
      </c>
      <c r="B3" t="s">
        <v>4241</v>
      </c>
      <c r="C3" t="s">
        <v>4242</v>
      </c>
    </row>
    <row r="4" spans="1:3">
      <c r="A4">
        <v>102</v>
      </c>
      <c r="B4" t="s">
        <v>29</v>
      </c>
      <c r="C4" t="s">
        <v>4243</v>
      </c>
    </row>
    <row r="5" spans="1:3">
      <c r="A5">
        <v>103</v>
      </c>
      <c r="B5" t="s">
        <v>4244</v>
      </c>
      <c r="C5" t="s">
        <v>4245</v>
      </c>
    </row>
    <row r="6" spans="1:3">
      <c r="A6">
        <v>104</v>
      </c>
      <c r="B6" t="s">
        <v>39</v>
      </c>
      <c r="C6" t="s">
        <v>4246</v>
      </c>
    </row>
    <row r="7" spans="1:3">
      <c r="A7">
        <v>105</v>
      </c>
      <c r="B7" t="s">
        <v>42</v>
      </c>
      <c r="C7" t="s">
        <v>4247</v>
      </c>
    </row>
    <row r="8" spans="1:3">
      <c r="A8">
        <v>2</v>
      </c>
      <c r="B8" t="s">
        <v>4241</v>
      </c>
      <c r="C8" t="s">
        <v>4248</v>
      </c>
    </row>
    <row r="9" spans="1:3">
      <c r="A9">
        <v>106</v>
      </c>
      <c r="B9" t="s">
        <v>49</v>
      </c>
      <c r="C9" s="15" t="s">
        <v>4249</v>
      </c>
    </row>
    <row r="10" spans="1:3">
      <c r="A10">
        <v>107</v>
      </c>
      <c r="B10" t="s">
        <v>52</v>
      </c>
      <c r="C10" t="s">
        <v>4250</v>
      </c>
    </row>
    <row r="11" spans="1:3">
      <c r="A11">
        <v>108</v>
      </c>
      <c r="B11" t="s">
        <v>55</v>
      </c>
      <c r="C11" t="s">
        <v>4251</v>
      </c>
    </row>
    <row r="12" spans="1:3">
      <c r="A12">
        <v>109</v>
      </c>
      <c r="B12" t="s">
        <v>58</v>
      </c>
      <c r="C12" t="s">
        <v>4252</v>
      </c>
    </row>
    <row r="13" spans="1:3">
      <c r="A13">
        <v>110</v>
      </c>
      <c r="B13" t="s">
        <v>61</v>
      </c>
      <c r="C13" t="s">
        <v>4253</v>
      </c>
    </row>
    <row r="14" spans="1:3" ht="15" customHeight="1">
      <c r="A14">
        <v>111</v>
      </c>
      <c r="B14" s="15" t="s">
        <v>68</v>
      </c>
      <c r="C14" s="219" t="s">
        <v>4254</v>
      </c>
    </row>
    <row r="15" spans="1:3">
      <c r="A15">
        <v>112</v>
      </c>
      <c r="B15" t="s">
        <v>4255</v>
      </c>
      <c r="C15" t="s">
        <v>4256</v>
      </c>
    </row>
    <row r="16" spans="1:3">
      <c r="A16">
        <v>113</v>
      </c>
      <c r="B16" s="15" t="s">
        <v>78</v>
      </c>
      <c r="C16" t="s">
        <v>4257</v>
      </c>
    </row>
    <row r="17" spans="1:3">
      <c r="A17">
        <v>114</v>
      </c>
      <c r="B17" s="15" t="s">
        <v>85</v>
      </c>
      <c r="C17" t="s">
        <v>4258</v>
      </c>
    </row>
    <row r="18" spans="1:3">
      <c r="A18" s="15">
        <v>115</v>
      </c>
      <c r="B18" t="s">
        <v>88</v>
      </c>
      <c r="C18" t="s">
        <v>4259</v>
      </c>
    </row>
    <row r="19" spans="1:3">
      <c r="A19">
        <v>116</v>
      </c>
      <c r="B19" t="s">
        <v>91</v>
      </c>
      <c r="C19" t="s">
        <v>4260</v>
      </c>
    </row>
    <row r="20" spans="1:3">
      <c r="A20">
        <v>3</v>
      </c>
      <c r="B20" t="s">
        <v>4241</v>
      </c>
      <c r="C20" t="s">
        <v>4261</v>
      </c>
    </row>
    <row r="21" spans="1:3">
      <c r="A21">
        <v>4</v>
      </c>
      <c r="B21" s="15" t="s">
        <v>49</v>
      </c>
      <c r="C21" t="s">
        <v>4262</v>
      </c>
    </row>
    <row r="22" spans="1:3">
      <c r="A22">
        <v>117</v>
      </c>
      <c r="B22" t="s">
        <v>101</v>
      </c>
      <c r="C22" t="s">
        <v>4263</v>
      </c>
    </row>
    <row r="23" spans="1:3" s="118" customFormat="1">
      <c r="A23" s="118">
        <v>118</v>
      </c>
      <c r="B23" s="118" t="s">
        <v>104</v>
      </c>
      <c r="C23" s="118" t="s">
        <v>4264</v>
      </c>
    </row>
    <row r="24" spans="1:3" s="118" customFormat="1">
      <c r="A24" s="118">
        <v>119</v>
      </c>
      <c r="B24" s="118" t="s">
        <v>107</v>
      </c>
      <c r="C24" s="118" t="s">
        <v>4265</v>
      </c>
    </row>
    <row r="25" spans="1:3">
      <c r="A25">
        <v>5</v>
      </c>
      <c r="B25" t="s">
        <v>68</v>
      </c>
      <c r="C25" t="s">
        <v>4266</v>
      </c>
    </row>
    <row r="26" spans="1:3">
      <c r="A26">
        <v>121</v>
      </c>
      <c r="B26" t="s">
        <v>4255</v>
      </c>
      <c r="C26" t="s">
        <v>4267</v>
      </c>
    </row>
    <row r="27" spans="1:3">
      <c r="A27">
        <v>6</v>
      </c>
      <c r="B27" t="s">
        <v>78</v>
      </c>
      <c r="C27" t="s">
        <v>4268</v>
      </c>
    </row>
    <row r="28" spans="1:3">
      <c r="A28">
        <v>122</v>
      </c>
      <c r="B28" s="15" t="s">
        <v>110</v>
      </c>
      <c r="C28" t="s">
        <v>4269</v>
      </c>
    </row>
    <row r="29" spans="1:3">
      <c r="A29">
        <v>120</v>
      </c>
      <c r="B29" t="s">
        <v>114</v>
      </c>
      <c r="C29" t="s">
        <v>4270</v>
      </c>
    </row>
    <row r="30" spans="1:3">
      <c r="A30">
        <v>123</v>
      </c>
      <c r="B30" t="s">
        <v>2758</v>
      </c>
      <c r="C30" t="s">
        <v>4271</v>
      </c>
    </row>
    <row r="31" spans="1:3">
      <c r="A31">
        <v>9</v>
      </c>
      <c r="B31" t="s">
        <v>4241</v>
      </c>
      <c r="C31" t="s">
        <v>4272</v>
      </c>
    </row>
    <row r="32" spans="1:3">
      <c r="A32">
        <v>11</v>
      </c>
      <c r="B32" t="s">
        <v>4273</v>
      </c>
      <c r="C32" t="s">
        <v>4266</v>
      </c>
    </row>
    <row r="33" spans="1:3">
      <c r="A33">
        <v>128</v>
      </c>
      <c r="B33" t="s">
        <v>71</v>
      </c>
      <c r="C33" t="s">
        <v>4267</v>
      </c>
    </row>
    <row r="34" spans="1:3">
      <c r="A34">
        <v>13</v>
      </c>
      <c r="B34" t="s">
        <v>4241</v>
      </c>
      <c r="C34" t="s">
        <v>4274</v>
      </c>
    </row>
    <row r="35" spans="1:3">
      <c r="A35">
        <v>130</v>
      </c>
      <c r="B35" t="s">
        <v>4275</v>
      </c>
      <c r="C35" t="s">
        <v>4276</v>
      </c>
    </row>
    <row r="36" spans="1:3">
      <c r="A36">
        <v>14</v>
      </c>
      <c r="B36" t="s">
        <v>4277</v>
      </c>
      <c r="C36" t="s">
        <v>4278</v>
      </c>
    </row>
    <row r="37" spans="1:3">
      <c r="A37">
        <v>15</v>
      </c>
      <c r="B37" t="s">
        <v>4279</v>
      </c>
      <c r="C37" t="s">
        <v>4280</v>
      </c>
    </row>
    <row r="38" spans="1:3">
      <c r="A38">
        <v>16</v>
      </c>
      <c r="B38" t="s">
        <v>4281</v>
      </c>
      <c r="C38" t="s">
        <v>4282</v>
      </c>
    </row>
    <row r="39" spans="1:3">
      <c r="A39">
        <v>131</v>
      </c>
      <c r="B39" t="s">
        <v>2748</v>
      </c>
      <c r="C39" t="s">
        <v>4283</v>
      </c>
    </row>
    <row r="40" spans="1:3">
      <c r="A40">
        <v>132</v>
      </c>
      <c r="B40" t="s">
        <v>4284</v>
      </c>
      <c r="C40" t="s">
        <v>4285</v>
      </c>
    </row>
    <row r="41" spans="1:3">
      <c r="A41">
        <v>17</v>
      </c>
      <c r="B41" t="s">
        <v>4286</v>
      </c>
      <c r="C41" t="s">
        <v>4287</v>
      </c>
    </row>
    <row r="42" spans="1:3">
      <c r="A42">
        <v>19</v>
      </c>
      <c r="B42" t="s">
        <v>4288</v>
      </c>
      <c r="C42" t="s">
        <v>4289</v>
      </c>
    </row>
    <row r="43" spans="1:3">
      <c r="A43">
        <v>20</v>
      </c>
      <c r="B43" t="s">
        <v>4290</v>
      </c>
      <c r="C43" t="s">
        <v>4291</v>
      </c>
    </row>
    <row r="44" spans="1:3">
      <c r="A44">
        <v>133</v>
      </c>
      <c r="B44" t="s">
        <v>4292</v>
      </c>
      <c r="C44" t="s">
        <v>4293</v>
      </c>
    </row>
    <row r="45" spans="1:3">
      <c r="A45">
        <v>21</v>
      </c>
      <c r="B45" t="s">
        <v>4294</v>
      </c>
      <c r="C45" t="s">
        <v>4295</v>
      </c>
    </row>
    <row r="46" spans="1:3">
      <c r="A46">
        <v>22</v>
      </c>
      <c r="B46" t="s">
        <v>4296</v>
      </c>
      <c r="C46" t="s">
        <v>4297</v>
      </c>
    </row>
    <row r="47" spans="1:3">
      <c r="A47">
        <v>134</v>
      </c>
      <c r="B47" t="s">
        <v>4296</v>
      </c>
      <c r="C47" t="s">
        <v>4298</v>
      </c>
    </row>
    <row r="48" spans="1:3">
      <c r="A48">
        <v>23</v>
      </c>
      <c r="B48" t="s">
        <v>2815</v>
      </c>
      <c r="C48" t="s">
        <v>4299</v>
      </c>
    </row>
    <row r="49" spans="1:3">
      <c r="A49">
        <v>26</v>
      </c>
      <c r="B49" t="s">
        <v>4300</v>
      </c>
      <c r="C49" t="s">
        <v>4301</v>
      </c>
    </row>
    <row r="50" spans="1:3">
      <c r="A50">
        <v>27</v>
      </c>
      <c r="B50" t="s">
        <v>4302</v>
      </c>
      <c r="C50" t="s">
        <v>4303</v>
      </c>
    </row>
    <row r="51" spans="1:3">
      <c r="A51">
        <v>28</v>
      </c>
      <c r="B51" t="s">
        <v>4304</v>
      </c>
      <c r="C51" t="s">
        <v>4305</v>
      </c>
    </row>
    <row r="52" spans="1:3">
      <c r="A52">
        <v>29</v>
      </c>
      <c r="B52" t="s">
        <v>4306</v>
      </c>
      <c r="C52" t="s">
        <v>4307</v>
      </c>
    </row>
    <row r="53" spans="1:3">
      <c r="A53">
        <v>24</v>
      </c>
      <c r="B53" t="s">
        <v>4308</v>
      </c>
      <c r="C53" t="s">
        <v>4309</v>
      </c>
    </row>
    <row r="54" spans="1:3">
      <c r="A54">
        <v>25</v>
      </c>
      <c r="B54" t="s">
        <v>4310</v>
      </c>
      <c r="C54" t="s">
        <v>4311</v>
      </c>
    </row>
    <row r="55" spans="1:3">
      <c r="A55">
        <v>18</v>
      </c>
      <c r="B55" t="s">
        <v>4312</v>
      </c>
      <c r="C55" t="s">
        <v>4313</v>
      </c>
    </row>
    <row r="56" spans="1:3">
      <c r="A56">
        <v>201</v>
      </c>
      <c r="B56" t="s">
        <v>4314</v>
      </c>
      <c r="C56" s="5" t="s">
        <v>4315</v>
      </c>
    </row>
    <row r="57" spans="1:3">
      <c r="A57">
        <v>30</v>
      </c>
      <c r="B57" t="s">
        <v>2971</v>
      </c>
      <c r="C57" t="s">
        <v>4316</v>
      </c>
    </row>
    <row r="58" spans="1:3">
      <c r="A58">
        <v>31</v>
      </c>
      <c r="B58" t="s">
        <v>2816</v>
      </c>
      <c r="C58" t="s">
        <v>4317</v>
      </c>
    </row>
    <row r="59" spans="1:3">
      <c r="A59">
        <v>32</v>
      </c>
      <c r="B59" t="s">
        <v>2845</v>
      </c>
      <c r="C59" s="5" t="s">
        <v>4318</v>
      </c>
    </row>
    <row r="60" spans="1:3">
      <c r="A60">
        <v>33</v>
      </c>
      <c r="B60" s="15" t="s">
        <v>2895</v>
      </c>
      <c r="C60" s="5" t="s">
        <v>4319</v>
      </c>
    </row>
    <row r="61" spans="1:3">
      <c r="A61">
        <v>34</v>
      </c>
      <c r="B61" s="15" t="s">
        <v>2927</v>
      </c>
      <c r="C61" s="5" t="s">
        <v>4320</v>
      </c>
    </row>
    <row r="62" spans="1:3">
      <c r="A62">
        <v>35</v>
      </c>
      <c r="B62" s="15" t="s">
        <v>2950</v>
      </c>
      <c r="C62" t="s">
        <v>4321</v>
      </c>
    </row>
    <row r="63" spans="1:3">
      <c r="A63">
        <v>202</v>
      </c>
      <c r="B63" s="15" t="s">
        <v>4322</v>
      </c>
      <c r="C63" s="5" t="s">
        <v>4323</v>
      </c>
    </row>
    <row r="64" spans="1:3">
      <c r="A64">
        <v>36</v>
      </c>
      <c r="B64" t="s">
        <v>2971</v>
      </c>
      <c r="C64" t="s">
        <v>4324</v>
      </c>
    </row>
    <row r="65" spans="1:3">
      <c r="A65">
        <v>37</v>
      </c>
      <c r="B65" t="s">
        <v>2816</v>
      </c>
      <c r="C65" t="s">
        <v>4325</v>
      </c>
    </row>
    <row r="66" spans="1:3">
      <c r="A66">
        <v>38</v>
      </c>
      <c r="B66" t="s">
        <v>2845</v>
      </c>
      <c r="C66" s="5" t="s">
        <v>4326</v>
      </c>
    </row>
    <row r="67" spans="1:3">
      <c r="A67">
        <v>39</v>
      </c>
      <c r="B67" s="15" t="s">
        <v>2895</v>
      </c>
      <c r="C67" s="5" t="s">
        <v>4327</v>
      </c>
    </row>
    <row r="68" spans="1:3">
      <c r="A68">
        <v>40</v>
      </c>
      <c r="B68" s="15" t="s">
        <v>2927</v>
      </c>
      <c r="C68" s="5" t="s">
        <v>4328</v>
      </c>
    </row>
    <row r="69" spans="1:3">
      <c r="A69">
        <v>41</v>
      </c>
      <c r="B69" s="15" t="s">
        <v>2950</v>
      </c>
      <c r="C69" t="s">
        <v>4329</v>
      </c>
    </row>
    <row r="70" spans="1:3">
      <c r="A70">
        <v>203</v>
      </c>
      <c r="B70" s="15" t="s">
        <v>4330</v>
      </c>
      <c r="C70" s="5" t="s">
        <v>4331</v>
      </c>
    </row>
    <row r="71" spans="1:3">
      <c r="A71">
        <v>42</v>
      </c>
      <c r="B71" s="154" t="s">
        <v>4332</v>
      </c>
      <c r="C71" t="s">
        <v>4333</v>
      </c>
    </row>
    <row r="72" spans="1:3">
      <c r="A72">
        <v>43</v>
      </c>
      <c r="B72" t="s">
        <v>2816</v>
      </c>
      <c r="C72" t="s">
        <v>4334</v>
      </c>
    </row>
    <row r="73" spans="1:3">
      <c r="A73">
        <v>44</v>
      </c>
      <c r="B73" t="s">
        <v>2845</v>
      </c>
      <c r="C73" s="5" t="s">
        <v>4335</v>
      </c>
    </row>
    <row r="74" spans="1:3">
      <c r="A74">
        <v>45</v>
      </c>
      <c r="B74" s="15" t="s">
        <v>2895</v>
      </c>
      <c r="C74" s="5" t="s">
        <v>4336</v>
      </c>
    </row>
    <row r="75" spans="1:3">
      <c r="A75">
        <v>46</v>
      </c>
      <c r="B75" s="15" t="s">
        <v>2927</v>
      </c>
      <c r="C75" s="5" t="s">
        <v>4337</v>
      </c>
    </row>
    <row r="76" spans="1:3">
      <c r="A76">
        <v>47</v>
      </c>
      <c r="B76" s="15" t="s">
        <v>2950</v>
      </c>
      <c r="C76" t="s">
        <v>4338</v>
      </c>
    </row>
    <row r="77" spans="1:3">
      <c r="A77">
        <v>204</v>
      </c>
      <c r="B77" s="15" t="s">
        <v>4339</v>
      </c>
      <c r="C77" s="5" t="s">
        <v>4340</v>
      </c>
    </row>
    <row r="78" spans="1:3">
      <c r="A78">
        <v>48</v>
      </c>
      <c r="B78" s="154" t="s">
        <v>4332</v>
      </c>
      <c r="C78" t="s">
        <v>4341</v>
      </c>
    </row>
    <row r="79" spans="1:3">
      <c r="A79">
        <v>49</v>
      </c>
      <c r="B79" t="s">
        <v>2816</v>
      </c>
      <c r="C79" t="s">
        <v>4342</v>
      </c>
    </row>
    <row r="80" spans="1:3">
      <c r="A80">
        <v>50</v>
      </c>
      <c r="B80" t="s">
        <v>2845</v>
      </c>
      <c r="C80" s="5" t="s">
        <v>4343</v>
      </c>
    </row>
    <row r="81" spans="1:3">
      <c r="A81">
        <v>51</v>
      </c>
      <c r="B81" s="15" t="s">
        <v>2895</v>
      </c>
      <c r="C81" s="5" t="s">
        <v>4344</v>
      </c>
    </row>
    <row r="82" spans="1:3">
      <c r="A82">
        <v>52</v>
      </c>
      <c r="B82" s="15" t="s">
        <v>2927</v>
      </c>
      <c r="C82" s="5" t="s">
        <v>4345</v>
      </c>
    </row>
    <row r="83" spans="1:3">
      <c r="A83">
        <v>53</v>
      </c>
      <c r="B83" s="15" t="s">
        <v>2950</v>
      </c>
      <c r="C83" t="s">
        <v>4346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ADF39-4A0A-4B5E-8638-CEE702F042F6}">
  <dimension ref="A1:I25"/>
  <sheetViews>
    <sheetView workbookViewId="0">
      <selection activeCell="K11" sqref="K11"/>
    </sheetView>
  </sheetViews>
  <sheetFormatPr defaultColWidth="8.85546875" defaultRowHeight="14.45"/>
  <sheetData>
    <row r="1" spans="1:3">
      <c r="A1" s="1" t="s">
        <v>0</v>
      </c>
      <c r="B1" s="1" t="s">
        <v>3255</v>
      </c>
      <c r="C1" s="1" t="s">
        <v>4347</v>
      </c>
    </row>
    <row r="2" spans="1:3">
      <c r="A2" s="18">
        <v>21230</v>
      </c>
      <c r="B2" s="18">
        <v>2123</v>
      </c>
      <c r="C2" t="s">
        <v>4348</v>
      </c>
    </row>
    <row r="3" spans="1:3">
      <c r="A3" s="29">
        <v>4004</v>
      </c>
      <c r="B3" s="29">
        <v>40160</v>
      </c>
      <c r="C3" t="s">
        <v>4349</v>
      </c>
    </row>
    <row r="4" spans="1:3">
      <c r="A4" s="29">
        <v>4004</v>
      </c>
      <c r="B4" s="29">
        <v>40190</v>
      </c>
      <c r="C4" t="s">
        <v>4350</v>
      </c>
    </row>
    <row r="5" spans="1:3">
      <c r="A5" s="30">
        <v>4005</v>
      </c>
      <c r="B5" s="30">
        <v>40230</v>
      </c>
      <c r="C5" t="s">
        <v>4349</v>
      </c>
    </row>
    <row r="6" spans="1:3">
      <c r="A6" s="30">
        <v>4005</v>
      </c>
      <c r="B6" s="30">
        <v>40250</v>
      </c>
      <c r="C6" t="s">
        <v>4350</v>
      </c>
    </row>
    <row r="7" spans="1:3">
      <c r="A7" s="26">
        <v>4006</v>
      </c>
      <c r="B7" s="26">
        <v>40310</v>
      </c>
      <c r="C7" t="s">
        <v>4350</v>
      </c>
    </row>
    <row r="8" spans="1:3">
      <c r="A8" s="27">
        <v>4007</v>
      </c>
      <c r="B8" s="27">
        <v>40320</v>
      </c>
      <c r="C8" t="s">
        <v>4351</v>
      </c>
    </row>
    <row r="9" spans="1:3">
      <c r="A9" s="27">
        <v>4007</v>
      </c>
      <c r="B9" s="27">
        <v>40330</v>
      </c>
      <c r="C9" t="s">
        <v>4351</v>
      </c>
    </row>
    <row r="10" spans="1:3">
      <c r="A10" s="28">
        <v>4008</v>
      </c>
      <c r="B10" s="28">
        <v>40400</v>
      </c>
      <c r="C10" t="s">
        <v>4350</v>
      </c>
    </row>
    <row r="11" spans="1:3">
      <c r="A11" s="15">
        <v>4011</v>
      </c>
      <c r="B11" s="19">
        <v>40430</v>
      </c>
      <c r="C11" t="s">
        <v>4350</v>
      </c>
    </row>
    <row r="12" spans="1:3">
      <c r="A12" s="15">
        <v>4011</v>
      </c>
      <c r="B12" s="19">
        <v>40520</v>
      </c>
      <c r="C12" t="s">
        <v>4350</v>
      </c>
    </row>
    <row r="13" spans="1:3">
      <c r="A13" s="21">
        <v>4013</v>
      </c>
      <c r="B13" s="91">
        <v>40450</v>
      </c>
      <c r="C13" t="s">
        <v>4350</v>
      </c>
    </row>
    <row r="14" spans="1:3">
      <c r="A14" s="21">
        <v>4013</v>
      </c>
      <c r="B14" s="91">
        <v>40530</v>
      </c>
      <c r="C14" t="s">
        <v>4350</v>
      </c>
    </row>
    <row r="15" spans="1:3">
      <c r="A15" s="113">
        <v>4014</v>
      </c>
      <c r="B15" s="113">
        <v>40460</v>
      </c>
      <c r="C15" t="s">
        <v>4350</v>
      </c>
    </row>
    <row r="16" spans="1:3">
      <c r="A16" s="113">
        <v>4014</v>
      </c>
      <c r="B16" s="113">
        <v>40470</v>
      </c>
      <c r="C16" t="s">
        <v>4350</v>
      </c>
    </row>
    <row r="17" spans="1:9">
      <c r="A17" s="114">
        <v>4015</v>
      </c>
      <c r="B17" s="114">
        <v>40480</v>
      </c>
      <c r="C17" t="s">
        <v>4352</v>
      </c>
    </row>
    <row r="18" spans="1:9">
      <c r="A18" s="114">
        <v>4015</v>
      </c>
      <c r="B18" s="114">
        <v>40490</v>
      </c>
      <c r="C18" t="s">
        <v>4352</v>
      </c>
    </row>
    <row r="24" spans="1:9">
      <c r="I24" s="15"/>
    </row>
    <row r="25" spans="1:9">
      <c r="I25" s="2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8F7CF-E44C-414C-9180-98207CD97168}">
  <dimension ref="A1:R291"/>
  <sheetViews>
    <sheetView topLeftCell="H1" workbookViewId="0">
      <selection activeCell="M2" sqref="M2"/>
    </sheetView>
  </sheetViews>
  <sheetFormatPr defaultColWidth="8.85546875" defaultRowHeight="14.45"/>
  <cols>
    <col min="8" max="8" width="114.7109375" customWidth="1"/>
    <col min="13" max="13" width="39.42578125" customWidth="1"/>
    <col min="14" max="14" width="64.85546875" customWidth="1"/>
  </cols>
  <sheetData>
    <row r="1" spans="1:18">
      <c r="A1" s="1" t="s">
        <v>0</v>
      </c>
      <c r="B1" s="1" t="s">
        <v>1</v>
      </c>
      <c r="C1" s="1" t="s">
        <v>2</v>
      </c>
      <c r="D1" s="1" t="s">
        <v>3</v>
      </c>
      <c r="E1" s="1" t="s">
        <v>4</v>
      </c>
      <c r="F1" s="1" t="s">
        <v>5</v>
      </c>
      <c r="G1" s="1" t="s">
        <v>6</v>
      </c>
      <c r="H1" s="1" t="s">
        <v>7</v>
      </c>
      <c r="I1" s="1" t="s">
        <v>8</v>
      </c>
      <c r="J1" s="2" t="s">
        <v>9</v>
      </c>
      <c r="K1" s="1" t="s">
        <v>10</v>
      </c>
      <c r="L1" s="1" t="s">
        <v>11</v>
      </c>
      <c r="M1" s="1" t="s">
        <v>12</v>
      </c>
      <c r="N1" s="1" t="s">
        <v>13</v>
      </c>
      <c r="O1" s="1" t="s">
        <v>15</v>
      </c>
      <c r="P1" s="1" t="s">
        <v>16</v>
      </c>
    </row>
    <row r="2" spans="1:18" ht="15" customHeight="1">
      <c r="A2" s="15">
        <v>3673</v>
      </c>
      <c r="B2" s="15">
        <v>753</v>
      </c>
      <c r="C2" s="15">
        <v>0</v>
      </c>
      <c r="D2" s="15">
        <v>193</v>
      </c>
      <c r="E2" s="15" t="b">
        <v>1</v>
      </c>
      <c r="F2" s="15" t="b">
        <v>0</v>
      </c>
      <c r="G2" s="33" t="s">
        <v>206</v>
      </c>
      <c r="H2" s="15" t="s">
        <v>4353</v>
      </c>
      <c r="I2" s="33" t="s">
        <v>208</v>
      </c>
      <c r="J2" s="15"/>
      <c r="K2" s="15"/>
      <c r="L2" s="15" t="s">
        <v>220</v>
      </c>
      <c r="M2" s="15" t="s">
        <v>1784</v>
      </c>
      <c r="N2" s="15" t="s">
        <v>1785</v>
      </c>
      <c r="O2" s="15"/>
      <c r="P2" s="15" t="b">
        <v>0</v>
      </c>
      <c r="R2">
        <f>IF(D2=193,1,0)</f>
        <v>1</v>
      </c>
    </row>
    <row r="3" spans="1:18" ht="15" customHeight="1">
      <c r="A3" s="15">
        <v>3674</v>
      </c>
      <c r="B3" s="15">
        <v>754</v>
      </c>
      <c r="C3" s="15">
        <v>0</v>
      </c>
      <c r="D3" s="15">
        <v>193</v>
      </c>
      <c r="E3" s="15" t="b">
        <v>1</v>
      </c>
      <c r="F3" s="15" t="b">
        <v>0</v>
      </c>
      <c r="G3" s="33" t="s">
        <v>206</v>
      </c>
      <c r="H3" s="15" t="s">
        <v>4353</v>
      </c>
      <c r="I3" s="33" t="s">
        <v>213</v>
      </c>
      <c r="J3" s="15"/>
      <c r="K3" s="15"/>
      <c r="L3" s="15" t="s">
        <v>220</v>
      </c>
      <c r="M3" s="15" t="s">
        <v>1786</v>
      </c>
      <c r="N3" s="15" t="s">
        <v>1787</v>
      </c>
      <c r="O3" s="15"/>
      <c r="P3" s="15" t="b">
        <v>0</v>
      </c>
      <c r="R3">
        <f t="shared" ref="R3:R66" si="0">IF(D3=193,1,0)</f>
        <v>1</v>
      </c>
    </row>
    <row r="4" spans="1:18" ht="15" customHeight="1">
      <c r="A4" s="15">
        <v>3675</v>
      </c>
      <c r="B4" s="15">
        <v>755</v>
      </c>
      <c r="C4" s="15">
        <v>0</v>
      </c>
      <c r="D4" s="15">
        <v>193</v>
      </c>
      <c r="E4" s="15" t="b">
        <v>1</v>
      </c>
      <c r="F4" s="15" t="b">
        <v>0</v>
      </c>
      <c r="G4" s="33" t="s">
        <v>206</v>
      </c>
      <c r="H4" s="15" t="s">
        <v>4353</v>
      </c>
      <c r="I4" s="33" t="s">
        <v>216</v>
      </c>
      <c r="J4" s="15"/>
      <c r="K4" s="15"/>
      <c r="L4" s="15" t="s">
        <v>220</v>
      </c>
      <c r="M4" s="15" t="s">
        <v>1788</v>
      </c>
      <c r="N4" s="15" t="s">
        <v>1789</v>
      </c>
      <c r="O4" s="15"/>
      <c r="P4" s="15" t="b">
        <v>0</v>
      </c>
      <c r="R4">
        <f t="shared" si="0"/>
        <v>1</v>
      </c>
    </row>
    <row r="5" spans="1:18" ht="15" customHeight="1">
      <c r="A5" s="15">
        <v>3676</v>
      </c>
      <c r="B5" s="15">
        <v>756</v>
      </c>
      <c r="C5" s="15">
        <v>0</v>
      </c>
      <c r="D5" s="15">
        <v>193</v>
      </c>
      <c r="E5" s="15" t="b">
        <v>0</v>
      </c>
      <c r="F5" s="15" t="b">
        <v>0</v>
      </c>
      <c r="G5" s="33" t="s">
        <v>206</v>
      </c>
      <c r="H5" s="15" t="s">
        <v>4354</v>
      </c>
      <c r="I5" s="33" t="s">
        <v>208</v>
      </c>
      <c r="J5" s="15"/>
      <c r="K5" s="15"/>
      <c r="L5" s="15" t="s">
        <v>220</v>
      </c>
      <c r="M5" s="15" t="s">
        <v>1791</v>
      </c>
      <c r="N5" s="15" t="s">
        <v>1792</v>
      </c>
      <c r="O5" s="15"/>
      <c r="P5" s="15" t="b">
        <v>0</v>
      </c>
      <c r="R5">
        <f t="shared" si="0"/>
        <v>1</v>
      </c>
    </row>
    <row r="6" spans="1:18" ht="15" customHeight="1">
      <c r="A6" s="15">
        <v>3677</v>
      </c>
      <c r="B6" s="15">
        <v>757</v>
      </c>
      <c r="C6" s="15">
        <v>0</v>
      </c>
      <c r="D6" s="15">
        <v>193</v>
      </c>
      <c r="E6" s="15" t="b">
        <v>0</v>
      </c>
      <c r="F6" s="15" t="b">
        <v>0</v>
      </c>
      <c r="G6" s="33" t="s">
        <v>206</v>
      </c>
      <c r="H6" s="15" t="s">
        <v>4354</v>
      </c>
      <c r="I6" s="33" t="s">
        <v>213</v>
      </c>
      <c r="J6" s="15"/>
      <c r="K6" s="15"/>
      <c r="L6" s="15" t="s">
        <v>220</v>
      </c>
      <c r="M6" s="15" t="s">
        <v>1793</v>
      </c>
      <c r="N6" s="15" t="s">
        <v>1794</v>
      </c>
      <c r="O6" s="15"/>
      <c r="P6" s="15" t="b">
        <v>0</v>
      </c>
      <c r="R6">
        <f t="shared" si="0"/>
        <v>1</v>
      </c>
    </row>
    <row r="7" spans="1:18" ht="15" customHeight="1">
      <c r="A7" s="15">
        <v>3678</v>
      </c>
      <c r="B7" s="15">
        <v>758</v>
      </c>
      <c r="C7" s="15">
        <v>0</v>
      </c>
      <c r="D7" s="15">
        <v>193</v>
      </c>
      <c r="E7" s="15" t="b">
        <v>0</v>
      </c>
      <c r="F7" s="15" t="b">
        <v>0</v>
      </c>
      <c r="G7" s="33" t="s">
        <v>206</v>
      </c>
      <c r="H7" s="15" t="s">
        <v>4354</v>
      </c>
      <c r="I7" s="33" t="s">
        <v>216</v>
      </c>
      <c r="J7" s="15"/>
      <c r="K7" s="15"/>
      <c r="L7" s="15" t="s">
        <v>220</v>
      </c>
      <c r="M7" s="15" t="s">
        <v>1795</v>
      </c>
      <c r="N7" s="15" t="s">
        <v>1796</v>
      </c>
      <c r="O7" s="15"/>
      <c r="P7" s="15" t="b">
        <v>0</v>
      </c>
      <c r="R7">
        <f t="shared" si="0"/>
        <v>1</v>
      </c>
    </row>
    <row r="8" spans="1:18" ht="15" customHeight="1">
      <c r="A8" s="15">
        <v>3679</v>
      </c>
      <c r="B8" s="15">
        <v>759</v>
      </c>
      <c r="C8" s="15">
        <v>0</v>
      </c>
      <c r="D8" s="15">
        <v>193</v>
      </c>
      <c r="E8" s="15" t="b">
        <v>0</v>
      </c>
      <c r="F8" s="15" t="b">
        <v>0</v>
      </c>
      <c r="G8" s="33" t="s">
        <v>206</v>
      </c>
      <c r="H8" s="15" t="s">
        <v>4355</v>
      </c>
      <c r="I8" s="33" t="s">
        <v>208</v>
      </c>
      <c r="J8" s="15"/>
      <c r="K8" s="15"/>
      <c r="L8" s="15" t="s">
        <v>220</v>
      </c>
      <c r="M8" s="15" t="s">
        <v>1798</v>
      </c>
      <c r="N8" s="15" t="s">
        <v>1799</v>
      </c>
      <c r="O8" s="15"/>
      <c r="P8" s="15" t="b">
        <v>0</v>
      </c>
      <c r="R8">
        <f t="shared" si="0"/>
        <v>1</v>
      </c>
    </row>
    <row r="9" spans="1:18" ht="15" customHeight="1">
      <c r="A9" s="15">
        <v>3680</v>
      </c>
      <c r="B9" s="15">
        <v>760</v>
      </c>
      <c r="C9" s="15">
        <v>0</v>
      </c>
      <c r="D9" s="15">
        <v>193</v>
      </c>
      <c r="E9" s="15" t="b">
        <v>0</v>
      </c>
      <c r="F9" s="15" t="b">
        <v>0</v>
      </c>
      <c r="G9" s="33" t="s">
        <v>206</v>
      </c>
      <c r="H9" s="15" t="s">
        <v>4355</v>
      </c>
      <c r="I9" s="33" t="s">
        <v>213</v>
      </c>
      <c r="J9" s="15"/>
      <c r="K9" s="15"/>
      <c r="L9" s="15" t="s">
        <v>220</v>
      </c>
      <c r="M9" s="15" t="s">
        <v>1800</v>
      </c>
      <c r="N9" s="15" t="s">
        <v>1801</v>
      </c>
      <c r="O9" s="15"/>
      <c r="P9" s="15" t="b">
        <v>0</v>
      </c>
      <c r="R9">
        <f t="shared" si="0"/>
        <v>1</v>
      </c>
    </row>
    <row r="10" spans="1:18" ht="15" customHeight="1">
      <c r="A10" s="15">
        <v>3681</v>
      </c>
      <c r="B10" s="15">
        <v>761</v>
      </c>
      <c r="C10" s="15">
        <v>0</v>
      </c>
      <c r="D10" s="15">
        <v>193</v>
      </c>
      <c r="E10" s="15" t="b">
        <v>0</v>
      </c>
      <c r="F10" s="15" t="b">
        <v>0</v>
      </c>
      <c r="G10" s="33" t="s">
        <v>206</v>
      </c>
      <c r="H10" s="15" t="s">
        <v>4355</v>
      </c>
      <c r="I10" s="33" t="s">
        <v>216</v>
      </c>
      <c r="J10" s="15"/>
      <c r="K10" s="15"/>
      <c r="L10" s="15" t="s">
        <v>220</v>
      </c>
      <c r="M10" s="15" t="s">
        <v>1802</v>
      </c>
      <c r="N10" s="15" t="s">
        <v>1803</v>
      </c>
      <c r="O10" s="15"/>
      <c r="P10" s="15" t="b">
        <v>0</v>
      </c>
      <c r="R10">
        <f t="shared" si="0"/>
        <v>1</v>
      </c>
    </row>
    <row r="11" spans="1:18" ht="15" customHeight="1">
      <c r="A11" s="15">
        <v>3682</v>
      </c>
      <c r="B11" s="15">
        <v>762</v>
      </c>
      <c r="C11" s="15">
        <v>0</v>
      </c>
      <c r="D11" s="15">
        <v>193</v>
      </c>
      <c r="E11" s="15" t="b">
        <v>1</v>
      </c>
      <c r="F11" s="15" t="b">
        <v>0</v>
      </c>
      <c r="G11" s="33" t="s">
        <v>206</v>
      </c>
      <c r="H11" s="15" t="s">
        <v>4356</v>
      </c>
      <c r="I11" s="33" t="s">
        <v>208</v>
      </c>
      <c r="J11" s="15"/>
      <c r="K11" s="15"/>
      <c r="L11" s="15" t="s">
        <v>220</v>
      </c>
      <c r="M11" s="15" t="s">
        <v>1805</v>
      </c>
      <c r="N11" s="15" t="s">
        <v>1806</v>
      </c>
      <c r="O11" s="15"/>
      <c r="P11" s="15" t="b">
        <v>0</v>
      </c>
      <c r="R11">
        <f t="shared" si="0"/>
        <v>1</v>
      </c>
    </row>
    <row r="12" spans="1:18" ht="15" customHeight="1">
      <c r="A12" s="15">
        <v>3683</v>
      </c>
      <c r="B12" s="15">
        <v>763</v>
      </c>
      <c r="C12" s="15">
        <v>0</v>
      </c>
      <c r="D12" s="15">
        <v>193</v>
      </c>
      <c r="E12" s="15" t="b">
        <v>1</v>
      </c>
      <c r="F12" s="15" t="b">
        <v>0</v>
      </c>
      <c r="G12" s="33" t="s">
        <v>206</v>
      </c>
      <c r="H12" s="15" t="s">
        <v>4356</v>
      </c>
      <c r="I12" s="33" t="s">
        <v>213</v>
      </c>
      <c r="J12" s="15"/>
      <c r="K12" s="15"/>
      <c r="L12" s="15" t="s">
        <v>220</v>
      </c>
      <c r="M12" s="15" t="s">
        <v>1807</v>
      </c>
      <c r="N12" s="15" t="s">
        <v>1808</v>
      </c>
      <c r="O12" s="15"/>
      <c r="P12" s="15" t="b">
        <v>0</v>
      </c>
      <c r="R12">
        <f t="shared" si="0"/>
        <v>1</v>
      </c>
    </row>
    <row r="13" spans="1:18" ht="15" customHeight="1">
      <c r="A13" s="15">
        <v>3684</v>
      </c>
      <c r="B13" s="15">
        <v>764</v>
      </c>
      <c r="C13" s="15">
        <v>0</v>
      </c>
      <c r="D13" s="15">
        <v>193</v>
      </c>
      <c r="E13" s="15" t="b">
        <v>1</v>
      </c>
      <c r="F13" s="15" t="b">
        <v>0</v>
      </c>
      <c r="G13" s="33" t="s">
        <v>206</v>
      </c>
      <c r="H13" s="15" t="s">
        <v>4356</v>
      </c>
      <c r="I13" s="33" t="s">
        <v>216</v>
      </c>
      <c r="J13" s="15"/>
      <c r="K13" s="15"/>
      <c r="L13" s="15" t="s">
        <v>220</v>
      </c>
      <c r="M13" s="15" t="s">
        <v>1809</v>
      </c>
      <c r="N13" s="15" t="s">
        <v>1810</v>
      </c>
      <c r="O13" s="15"/>
      <c r="P13" s="15" t="b">
        <v>0</v>
      </c>
      <c r="R13">
        <f t="shared" si="0"/>
        <v>1</v>
      </c>
    </row>
    <row r="14" spans="1:18" ht="15" customHeight="1">
      <c r="A14" s="15">
        <v>3685</v>
      </c>
      <c r="B14" s="15">
        <v>765</v>
      </c>
      <c r="C14" s="15">
        <v>0</v>
      </c>
      <c r="D14" s="15">
        <v>193</v>
      </c>
      <c r="E14" s="15" t="b">
        <v>0</v>
      </c>
      <c r="F14" s="15" t="b">
        <v>0</v>
      </c>
      <c r="G14" s="33" t="s">
        <v>206</v>
      </c>
      <c r="H14" s="15" t="s">
        <v>4357</v>
      </c>
      <c r="I14" s="33" t="s">
        <v>208</v>
      </c>
      <c r="J14" s="15"/>
      <c r="K14" s="15"/>
      <c r="L14" s="15" t="s">
        <v>220</v>
      </c>
      <c r="M14" s="15" t="s">
        <v>1812</v>
      </c>
      <c r="N14" s="15" t="s">
        <v>1813</v>
      </c>
      <c r="O14" s="15"/>
      <c r="P14" s="15" t="b">
        <v>0</v>
      </c>
      <c r="R14">
        <f t="shared" si="0"/>
        <v>1</v>
      </c>
    </row>
    <row r="15" spans="1:18" ht="15" customHeight="1">
      <c r="A15" s="15">
        <v>3686</v>
      </c>
      <c r="B15" s="15">
        <v>766</v>
      </c>
      <c r="C15" s="15">
        <v>0</v>
      </c>
      <c r="D15" s="15">
        <v>193</v>
      </c>
      <c r="E15" s="15" t="b">
        <v>0</v>
      </c>
      <c r="F15" s="15" t="b">
        <v>0</v>
      </c>
      <c r="G15" s="33" t="s">
        <v>206</v>
      </c>
      <c r="H15" s="15" t="s">
        <v>4357</v>
      </c>
      <c r="I15" s="33" t="s">
        <v>213</v>
      </c>
      <c r="J15" s="15"/>
      <c r="K15" s="15"/>
      <c r="L15" s="15" t="s">
        <v>220</v>
      </c>
      <c r="M15" s="15" t="s">
        <v>1814</v>
      </c>
      <c r="N15" s="15" t="s">
        <v>1815</v>
      </c>
      <c r="O15" s="15"/>
      <c r="P15" s="15" t="b">
        <v>0</v>
      </c>
      <c r="R15">
        <f t="shared" si="0"/>
        <v>1</v>
      </c>
    </row>
    <row r="16" spans="1:18" ht="15" customHeight="1">
      <c r="A16" s="15">
        <v>3687</v>
      </c>
      <c r="B16" s="15">
        <v>767</v>
      </c>
      <c r="C16" s="15">
        <v>0</v>
      </c>
      <c r="D16" s="15">
        <v>193</v>
      </c>
      <c r="E16" s="15" t="b">
        <v>0</v>
      </c>
      <c r="F16" s="15" t="b">
        <v>0</v>
      </c>
      <c r="G16" s="33" t="s">
        <v>206</v>
      </c>
      <c r="H16" s="15" t="s">
        <v>4357</v>
      </c>
      <c r="I16" s="33" t="s">
        <v>216</v>
      </c>
      <c r="J16" s="15"/>
      <c r="K16" s="15"/>
      <c r="L16" s="15" t="s">
        <v>220</v>
      </c>
      <c r="M16" s="15" t="s">
        <v>1816</v>
      </c>
      <c r="N16" s="15" t="s">
        <v>1817</v>
      </c>
      <c r="O16" s="15"/>
      <c r="P16" s="15" t="b">
        <v>0</v>
      </c>
      <c r="R16">
        <f t="shared" si="0"/>
        <v>1</v>
      </c>
    </row>
    <row r="17" spans="1:18" ht="15" customHeight="1">
      <c r="A17" s="15">
        <v>3688</v>
      </c>
      <c r="B17" s="15">
        <v>768</v>
      </c>
      <c r="C17" s="15">
        <v>0</v>
      </c>
      <c r="D17" s="15">
        <v>193</v>
      </c>
      <c r="E17" s="15" t="b">
        <v>0</v>
      </c>
      <c r="F17" s="15" t="b">
        <v>0</v>
      </c>
      <c r="G17" s="33" t="s">
        <v>206</v>
      </c>
      <c r="H17" s="15" t="s">
        <v>4358</v>
      </c>
      <c r="I17" s="33" t="s">
        <v>208</v>
      </c>
      <c r="J17" s="15"/>
      <c r="K17" s="15"/>
      <c r="L17" s="15" t="s">
        <v>220</v>
      </c>
      <c r="M17" s="15" t="s">
        <v>1819</v>
      </c>
      <c r="N17" s="15" t="s">
        <v>1820</v>
      </c>
      <c r="O17" s="15"/>
      <c r="P17" s="15" t="b">
        <v>0</v>
      </c>
      <c r="R17">
        <f t="shared" si="0"/>
        <v>1</v>
      </c>
    </row>
    <row r="18" spans="1:18" ht="15" customHeight="1">
      <c r="A18" s="15">
        <v>3689</v>
      </c>
      <c r="B18" s="15">
        <v>769</v>
      </c>
      <c r="C18" s="15">
        <v>0</v>
      </c>
      <c r="D18" s="15">
        <v>193</v>
      </c>
      <c r="E18" s="15" t="b">
        <v>0</v>
      </c>
      <c r="F18" s="15" t="b">
        <v>0</v>
      </c>
      <c r="G18" s="33" t="s">
        <v>206</v>
      </c>
      <c r="H18" s="15" t="s">
        <v>4358</v>
      </c>
      <c r="I18" s="33" t="s">
        <v>213</v>
      </c>
      <c r="J18" s="15"/>
      <c r="K18" s="15"/>
      <c r="L18" s="15" t="s">
        <v>220</v>
      </c>
      <c r="M18" s="15" t="s">
        <v>1821</v>
      </c>
      <c r="N18" s="15" t="s">
        <v>1822</v>
      </c>
      <c r="O18" s="15"/>
      <c r="P18" s="15" t="b">
        <v>0</v>
      </c>
      <c r="R18">
        <f t="shared" si="0"/>
        <v>1</v>
      </c>
    </row>
    <row r="19" spans="1:18" ht="15" customHeight="1">
      <c r="A19" s="15">
        <v>3690</v>
      </c>
      <c r="B19" s="15">
        <v>770</v>
      </c>
      <c r="C19" s="15">
        <v>0</v>
      </c>
      <c r="D19" s="15">
        <v>193</v>
      </c>
      <c r="E19" s="15" t="b">
        <v>0</v>
      </c>
      <c r="F19" s="15" t="b">
        <v>0</v>
      </c>
      <c r="G19" s="33" t="s">
        <v>206</v>
      </c>
      <c r="H19" s="15" t="s">
        <v>4358</v>
      </c>
      <c r="I19" s="33" t="s">
        <v>216</v>
      </c>
      <c r="J19" s="15"/>
      <c r="K19" s="15"/>
      <c r="L19" s="15" t="s">
        <v>220</v>
      </c>
      <c r="M19" s="15" t="s">
        <v>1823</v>
      </c>
      <c r="N19" s="15" t="s">
        <v>1824</v>
      </c>
      <c r="O19" s="15"/>
      <c r="P19" s="15" t="b">
        <v>0</v>
      </c>
      <c r="R19">
        <f t="shared" si="0"/>
        <v>1</v>
      </c>
    </row>
    <row r="20" spans="1:18" ht="15" customHeight="1">
      <c r="A20" s="15">
        <v>3691</v>
      </c>
      <c r="B20" s="15">
        <v>771</v>
      </c>
      <c r="C20" s="15">
        <v>0</v>
      </c>
      <c r="D20" s="15">
        <v>193</v>
      </c>
      <c r="E20" s="15" t="b">
        <v>1</v>
      </c>
      <c r="F20" s="15" t="b">
        <v>0</v>
      </c>
      <c r="G20" s="33" t="s">
        <v>206</v>
      </c>
      <c r="H20" s="15" t="s">
        <v>4359</v>
      </c>
      <c r="I20" s="33" t="s">
        <v>208</v>
      </c>
      <c r="J20" s="15"/>
      <c r="K20" s="15"/>
      <c r="L20" s="15" t="s">
        <v>220</v>
      </c>
      <c r="M20" s="15" t="s">
        <v>1826</v>
      </c>
      <c r="N20" s="15" t="s">
        <v>1827</v>
      </c>
      <c r="O20" s="15"/>
      <c r="P20" s="15" t="b">
        <v>0</v>
      </c>
      <c r="R20">
        <f t="shared" si="0"/>
        <v>1</v>
      </c>
    </row>
    <row r="21" spans="1:18" ht="15" customHeight="1">
      <c r="A21" s="15">
        <v>3692</v>
      </c>
      <c r="B21" s="15">
        <v>772</v>
      </c>
      <c r="C21" s="15">
        <v>0</v>
      </c>
      <c r="D21" s="15">
        <v>193</v>
      </c>
      <c r="E21" s="15" t="b">
        <v>1</v>
      </c>
      <c r="F21" s="15" t="b">
        <v>0</v>
      </c>
      <c r="G21" s="33" t="s">
        <v>206</v>
      </c>
      <c r="H21" s="15" t="s">
        <v>4359</v>
      </c>
      <c r="I21" s="33" t="s">
        <v>213</v>
      </c>
      <c r="J21" s="15"/>
      <c r="K21" s="15"/>
      <c r="L21" s="15" t="s">
        <v>220</v>
      </c>
      <c r="M21" s="15" t="s">
        <v>1828</v>
      </c>
      <c r="N21" s="15" t="s">
        <v>1829</v>
      </c>
      <c r="O21" s="15"/>
      <c r="P21" s="15" t="b">
        <v>0</v>
      </c>
      <c r="R21">
        <f t="shared" si="0"/>
        <v>1</v>
      </c>
    </row>
    <row r="22" spans="1:18" ht="15" customHeight="1">
      <c r="A22" s="15">
        <v>3693</v>
      </c>
      <c r="B22" s="15">
        <v>773</v>
      </c>
      <c r="C22" s="15">
        <v>0</v>
      </c>
      <c r="D22" s="15">
        <v>193</v>
      </c>
      <c r="E22" s="15" t="b">
        <v>1</v>
      </c>
      <c r="F22" s="15" t="b">
        <v>0</v>
      </c>
      <c r="G22" s="33" t="s">
        <v>206</v>
      </c>
      <c r="H22" s="15" t="s">
        <v>4359</v>
      </c>
      <c r="I22" s="33" t="s">
        <v>216</v>
      </c>
      <c r="J22" s="15"/>
      <c r="K22" s="15"/>
      <c r="L22" s="15" t="s">
        <v>220</v>
      </c>
      <c r="M22" s="15" t="s">
        <v>1830</v>
      </c>
      <c r="N22" s="15" t="s">
        <v>1831</v>
      </c>
      <c r="O22" s="15"/>
      <c r="P22" s="15" t="b">
        <v>0</v>
      </c>
      <c r="R22">
        <f t="shared" si="0"/>
        <v>1</v>
      </c>
    </row>
    <row r="23" spans="1:18" ht="15" customHeight="1">
      <c r="A23" s="15">
        <v>3694</v>
      </c>
      <c r="B23" s="15">
        <v>774</v>
      </c>
      <c r="C23" s="15">
        <v>0</v>
      </c>
      <c r="D23" s="15">
        <v>193</v>
      </c>
      <c r="E23" s="15" t="b">
        <v>0</v>
      </c>
      <c r="F23" s="15" t="b">
        <v>0</v>
      </c>
      <c r="G23" s="33" t="s">
        <v>206</v>
      </c>
      <c r="H23" s="15" t="s">
        <v>4360</v>
      </c>
      <c r="I23" s="33" t="s">
        <v>208</v>
      </c>
      <c r="J23" s="15"/>
      <c r="K23" s="15"/>
      <c r="L23" s="15" t="s">
        <v>220</v>
      </c>
      <c r="M23" s="15" t="s">
        <v>1833</v>
      </c>
      <c r="N23" s="15" t="s">
        <v>1834</v>
      </c>
      <c r="O23" s="15"/>
      <c r="P23" s="15" t="b">
        <v>0</v>
      </c>
      <c r="R23">
        <f t="shared" si="0"/>
        <v>1</v>
      </c>
    </row>
    <row r="24" spans="1:18" ht="15" customHeight="1">
      <c r="A24" s="15">
        <v>3695</v>
      </c>
      <c r="B24" s="15">
        <v>775</v>
      </c>
      <c r="C24" s="15">
        <v>0</v>
      </c>
      <c r="D24" s="15">
        <v>193</v>
      </c>
      <c r="E24" s="15" t="b">
        <v>0</v>
      </c>
      <c r="F24" s="15" t="b">
        <v>0</v>
      </c>
      <c r="G24" s="33" t="s">
        <v>206</v>
      </c>
      <c r="H24" s="15" t="s">
        <v>4360</v>
      </c>
      <c r="I24" s="33" t="s">
        <v>213</v>
      </c>
      <c r="J24" s="15"/>
      <c r="K24" s="15"/>
      <c r="L24" s="15" t="s">
        <v>220</v>
      </c>
      <c r="M24" s="15" t="s">
        <v>1835</v>
      </c>
      <c r="N24" s="15" t="s">
        <v>1836</v>
      </c>
      <c r="O24" s="15"/>
      <c r="P24" s="15" t="b">
        <v>0</v>
      </c>
      <c r="R24">
        <f t="shared" si="0"/>
        <v>1</v>
      </c>
    </row>
    <row r="25" spans="1:18" ht="15" customHeight="1">
      <c r="A25" s="15">
        <v>3696</v>
      </c>
      <c r="B25" s="15">
        <v>776</v>
      </c>
      <c r="C25" s="15">
        <v>0</v>
      </c>
      <c r="D25" s="15">
        <v>193</v>
      </c>
      <c r="E25" s="15" t="b">
        <v>0</v>
      </c>
      <c r="F25" s="15" t="b">
        <v>0</v>
      </c>
      <c r="G25" s="33" t="s">
        <v>206</v>
      </c>
      <c r="H25" s="15" t="s">
        <v>4360</v>
      </c>
      <c r="I25" s="33" t="s">
        <v>216</v>
      </c>
      <c r="J25" s="15"/>
      <c r="K25" s="15"/>
      <c r="L25" s="15" t="s">
        <v>220</v>
      </c>
      <c r="M25" s="15" t="s">
        <v>1837</v>
      </c>
      <c r="N25" s="15" t="s">
        <v>1838</v>
      </c>
      <c r="O25" s="15"/>
      <c r="P25" s="15" t="b">
        <v>0</v>
      </c>
      <c r="R25">
        <f t="shared" si="0"/>
        <v>1</v>
      </c>
    </row>
    <row r="26" spans="1:18" ht="15" customHeight="1">
      <c r="A26" s="15">
        <v>3697</v>
      </c>
      <c r="B26" s="15">
        <v>777</v>
      </c>
      <c r="C26" s="15">
        <v>0</v>
      </c>
      <c r="D26" s="15">
        <v>193</v>
      </c>
      <c r="E26" s="15" t="b">
        <v>1</v>
      </c>
      <c r="F26" s="15" t="b">
        <v>0</v>
      </c>
      <c r="G26" s="33" t="s">
        <v>206</v>
      </c>
      <c r="H26" s="15" t="s">
        <v>4361</v>
      </c>
      <c r="I26" s="33" t="s">
        <v>208</v>
      </c>
      <c r="J26" s="15"/>
      <c r="K26" s="15"/>
      <c r="L26" s="15" t="s">
        <v>220</v>
      </c>
      <c r="M26" s="15" t="s">
        <v>1840</v>
      </c>
      <c r="N26" s="15" t="s">
        <v>1841</v>
      </c>
      <c r="O26" s="15"/>
      <c r="P26" s="15" t="b">
        <v>0</v>
      </c>
      <c r="R26">
        <f t="shared" si="0"/>
        <v>1</v>
      </c>
    </row>
    <row r="27" spans="1:18" ht="15" customHeight="1">
      <c r="A27" s="15">
        <v>3698</v>
      </c>
      <c r="B27" s="15">
        <v>778</v>
      </c>
      <c r="C27" s="15">
        <v>0</v>
      </c>
      <c r="D27" s="15">
        <v>193</v>
      </c>
      <c r="E27" s="15" t="b">
        <v>1</v>
      </c>
      <c r="F27" s="15" t="b">
        <v>0</v>
      </c>
      <c r="G27" s="33" t="s">
        <v>206</v>
      </c>
      <c r="H27" s="15" t="s">
        <v>4361</v>
      </c>
      <c r="I27" s="33" t="s">
        <v>213</v>
      </c>
      <c r="J27" s="15"/>
      <c r="K27" s="15"/>
      <c r="L27" s="15" t="s">
        <v>220</v>
      </c>
      <c r="M27" s="15" t="s">
        <v>1842</v>
      </c>
      <c r="N27" s="15" t="s">
        <v>1843</v>
      </c>
      <c r="O27" s="15"/>
      <c r="P27" s="15" t="b">
        <v>0</v>
      </c>
      <c r="R27">
        <f t="shared" si="0"/>
        <v>1</v>
      </c>
    </row>
    <row r="28" spans="1:18" ht="15" customHeight="1">
      <c r="A28" s="15">
        <v>3699</v>
      </c>
      <c r="B28" s="15">
        <v>779</v>
      </c>
      <c r="C28" s="15">
        <v>0</v>
      </c>
      <c r="D28" s="15">
        <v>193</v>
      </c>
      <c r="E28" s="15" t="b">
        <v>1</v>
      </c>
      <c r="F28" s="15" t="b">
        <v>0</v>
      </c>
      <c r="G28" s="33" t="s">
        <v>206</v>
      </c>
      <c r="H28" s="15" t="s">
        <v>4361</v>
      </c>
      <c r="I28" s="33" t="s">
        <v>216</v>
      </c>
      <c r="J28" s="15"/>
      <c r="K28" s="15"/>
      <c r="L28" s="15" t="s">
        <v>220</v>
      </c>
      <c r="M28" s="15" t="s">
        <v>1844</v>
      </c>
      <c r="N28" s="15" t="s">
        <v>1845</v>
      </c>
      <c r="O28" s="15"/>
      <c r="P28" s="15" t="b">
        <v>0</v>
      </c>
      <c r="R28">
        <f t="shared" si="0"/>
        <v>1</v>
      </c>
    </row>
    <row r="29" spans="1:18" ht="15" customHeight="1">
      <c r="A29" s="15">
        <v>3700</v>
      </c>
      <c r="B29" s="15">
        <v>780</v>
      </c>
      <c r="C29" s="15">
        <v>0</v>
      </c>
      <c r="D29" s="15">
        <v>193</v>
      </c>
      <c r="E29" s="15" t="b">
        <v>0</v>
      </c>
      <c r="F29" s="15" t="b">
        <v>0</v>
      </c>
      <c r="G29" s="33" t="s">
        <v>206</v>
      </c>
      <c r="H29" s="15" t="s">
        <v>4362</v>
      </c>
      <c r="I29" s="33" t="s">
        <v>208</v>
      </c>
      <c r="J29" s="15"/>
      <c r="K29" s="15"/>
      <c r="L29" s="15" t="s">
        <v>220</v>
      </c>
      <c r="M29" s="15" t="s">
        <v>1847</v>
      </c>
      <c r="N29" s="15" t="s">
        <v>1848</v>
      </c>
      <c r="O29" s="15"/>
      <c r="P29" s="15" t="b">
        <v>0</v>
      </c>
      <c r="R29">
        <f t="shared" si="0"/>
        <v>1</v>
      </c>
    </row>
    <row r="30" spans="1:18" ht="15" customHeight="1">
      <c r="A30" s="15">
        <v>3701</v>
      </c>
      <c r="B30" s="15">
        <v>781</v>
      </c>
      <c r="C30" s="15">
        <v>0</v>
      </c>
      <c r="D30" s="15">
        <v>193</v>
      </c>
      <c r="E30" s="15" t="b">
        <v>0</v>
      </c>
      <c r="F30" s="15" t="b">
        <v>0</v>
      </c>
      <c r="G30" s="33" t="s">
        <v>206</v>
      </c>
      <c r="H30" s="15" t="s">
        <v>4362</v>
      </c>
      <c r="I30" s="33" t="s">
        <v>213</v>
      </c>
      <c r="J30" s="15"/>
      <c r="K30" s="15"/>
      <c r="L30" s="15" t="s">
        <v>220</v>
      </c>
      <c r="M30" s="15" t="s">
        <v>1849</v>
      </c>
      <c r="N30" s="15" t="s">
        <v>1850</v>
      </c>
      <c r="O30" s="15"/>
      <c r="P30" s="15" t="b">
        <v>0</v>
      </c>
      <c r="R30">
        <f t="shared" si="0"/>
        <v>1</v>
      </c>
    </row>
    <row r="31" spans="1:18" ht="15" customHeight="1">
      <c r="A31" s="15">
        <v>3702</v>
      </c>
      <c r="B31" s="15">
        <v>782</v>
      </c>
      <c r="C31" s="15">
        <v>0</v>
      </c>
      <c r="D31" s="15">
        <v>193</v>
      </c>
      <c r="E31" s="15" t="b">
        <v>0</v>
      </c>
      <c r="F31" s="15" t="b">
        <v>0</v>
      </c>
      <c r="G31" s="33" t="s">
        <v>206</v>
      </c>
      <c r="H31" s="15" t="s">
        <v>4362</v>
      </c>
      <c r="I31" s="33" t="s">
        <v>216</v>
      </c>
      <c r="J31" s="15"/>
      <c r="K31" s="15"/>
      <c r="L31" s="15" t="s">
        <v>220</v>
      </c>
      <c r="M31" s="15" t="s">
        <v>1851</v>
      </c>
      <c r="N31" s="15" t="s">
        <v>1852</v>
      </c>
      <c r="O31" s="15"/>
      <c r="P31" s="15" t="b">
        <v>0</v>
      </c>
      <c r="R31">
        <f t="shared" si="0"/>
        <v>1</v>
      </c>
    </row>
    <row r="32" spans="1:18" ht="15" customHeight="1">
      <c r="A32" s="15">
        <v>3703</v>
      </c>
      <c r="B32" s="15">
        <v>783</v>
      </c>
      <c r="C32" s="15">
        <v>0</v>
      </c>
      <c r="D32" s="15">
        <v>193</v>
      </c>
      <c r="E32" s="15" t="b">
        <v>0</v>
      </c>
      <c r="F32" s="15" t="b">
        <v>0</v>
      </c>
      <c r="G32" s="33" t="s">
        <v>206</v>
      </c>
      <c r="H32" s="15" t="s">
        <v>4363</v>
      </c>
      <c r="I32" s="33" t="s">
        <v>208</v>
      </c>
      <c r="J32" s="15"/>
      <c r="K32" s="15"/>
      <c r="L32" s="15" t="s">
        <v>220</v>
      </c>
      <c r="M32" s="15" t="s">
        <v>1854</v>
      </c>
      <c r="N32" s="15" t="s">
        <v>1855</v>
      </c>
      <c r="O32" s="15"/>
      <c r="P32" s="15" t="b">
        <v>0</v>
      </c>
      <c r="R32">
        <f t="shared" si="0"/>
        <v>1</v>
      </c>
    </row>
    <row r="33" spans="1:18" ht="15" customHeight="1">
      <c r="A33" s="15">
        <v>3704</v>
      </c>
      <c r="B33" s="15">
        <v>784</v>
      </c>
      <c r="C33" s="15">
        <v>0</v>
      </c>
      <c r="D33" s="15">
        <v>193</v>
      </c>
      <c r="E33" s="15" t="b">
        <v>0</v>
      </c>
      <c r="F33" s="15" t="b">
        <v>0</v>
      </c>
      <c r="G33" s="33" t="s">
        <v>206</v>
      </c>
      <c r="H33" s="15" t="s">
        <v>4363</v>
      </c>
      <c r="I33" s="33" t="s">
        <v>213</v>
      </c>
      <c r="J33" s="15"/>
      <c r="K33" s="15"/>
      <c r="L33" s="15" t="s">
        <v>220</v>
      </c>
      <c r="M33" s="15" t="s">
        <v>1856</v>
      </c>
      <c r="N33" s="15" t="s">
        <v>1857</v>
      </c>
      <c r="O33" s="15"/>
      <c r="P33" s="15" t="b">
        <v>0</v>
      </c>
      <c r="R33">
        <f t="shared" si="0"/>
        <v>1</v>
      </c>
    </row>
    <row r="34" spans="1:18" ht="15" customHeight="1">
      <c r="A34" s="15">
        <v>3705</v>
      </c>
      <c r="B34" s="15">
        <v>785</v>
      </c>
      <c r="C34" s="15">
        <v>0</v>
      </c>
      <c r="D34" s="15">
        <v>193</v>
      </c>
      <c r="E34" s="15" t="b">
        <v>0</v>
      </c>
      <c r="F34" s="15" t="b">
        <v>0</v>
      </c>
      <c r="G34" s="33" t="s">
        <v>206</v>
      </c>
      <c r="H34" s="15" t="s">
        <v>4363</v>
      </c>
      <c r="I34" s="33" t="s">
        <v>216</v>
      </c>
      <c r="J34" s="15"/>
      <c r="K34" s="15"/>
      <c r="L34" s="15" t="s">
        <v>220</v>
      </c>
      <c r="M34" s="15" t="s">
        <v>1858</v>
      </c>
      <c r="N34" s="15" t="s">
        <v>1859</v>
      </c>
      <c r="O34" s="15"/>
      <c r="P34" s="15" t="b">
        <v>0</v>
      </c>
      <c r="R34">
        <f t="shared" si="0"/>
        <v>1</v>
      </c>
    </row>
    <row r="35" spans="1:18" ht="15" customHeight="1">
      <c r="A35" s="15">
        <v>3706</v>
      </c>
      <c r="B35" s="15">
        <v>786</v>
      </c>
      <c r="C35" s="15">
        <v>0</v>
      </c>
      <c r="D35" s="15">
        <v>193</v>
      </c>
      <c r="E35" s="15" t="b">
        <v>1</v>
      </c>
      <c r="F35" s="15" t="b">
        <v>0</v>
      </c>
      <c r="G35" s="33" t="s">
        <v>206</v>
      </c>
      <c r="H35" s="15" t="s">
        <v>4364</v>
      </c>
      <c r="I35" s="33" t="s">
        <v>208</v>
      </c>
      <c r="J35" s="15"/>
      <c r="K35" s="15"/>
      <c r="L35" s="15" t="s">
        <v>220</v>
      </c>
      <c r="M35" s="15" t="s">
        <v>1861</v>
      </c>
      <c r="N35" s="15" t="s">
        <v>1862</v>
      </c>
      <c r="O35" s="15"/>
      <c r="P35" s="15" t="b">
        <v>0</v>
      </c>
      <c r="R35">
        <f t="shared" si="0"/>
        <v>1</v>
      </c>
    </row>
    <row r="36" spans="1:18" ht="15" customHeight="1">
      <c r="A36" s="15">
        <v>3707</v>
      </c>
      <c r="B36" s="15">
        <v>787</v>
      </c>
      <c r="C36" s="15">
        <v>0</v>
      </c>
      <c r="D36" s="15">
        <v>193</v>
      </c>
      <c r="E36" s="15" t="b">
        <v>1</v>
      </c>
      <c r="F36" s="15" t="b">
        <v>0</v>
      </c>
      <c r="G36" s="33" t="s">
        <v>206</v>
      </c>
      <c r="H36" s="15" t="s">
        <v>4364</v>
      </c>
      <c r="I36" s="33" t="s">
        <v>213</v>
      </c>
      <c r="J36" s="15"/>
      <c r="K36" s="15"/>
      <c r="L36" s="15" t="s">
        <v>220</v>
      </c>
      <c r="M36" s="15" t="s">
        <v>1863</v>
      </c>
      <c r="N36" s="15" t="s">
        <v>1864</v>
      </c>
      <c r="O36" s="15"/>
      <c r="P36" s="15" t="b">
        <v>0</v>
      </c>
      <c r="R36">
        <f t="shared" si="0"/>
        <v>1</v>
      </c>
    </row>
    <row r="37" spans="1:18" ht="15" customHeight="1">
      <c r="A37" s="15">
        <v>3708</v>
      </c>
      <c r="B37" s="15">
        <v>788</v>
      </c>
      <c r="C37" s="15">
        <v>0</v>
      </c>
      <c r="D37" s="15">
        <v>193</v>
      </c>
      <c r="E37" s="15" t="b">
        <v>1</v>
      </c>
      <c r="F37" s="15" t="b">
        <v>0</v>
      </c>
      <c r="G37" s="33" t="s">
        <v>206</v>
      </c>
      <c r="H37" s="15" t="s">
        <v>4364</v>
      </c>
      <c r="I37" s="33" t="s">
        <v>216</v>
      </c>
      <c r="J37" s="15"/>
      <c r="K37" s="15"/>
      <c r="L37" s="15" t="s">
        <v>220</v>
      </c>
      <c r="M37" s="15" t="s">
        <v>1865</v>
      </c>
      <c r="N37" s="15" t="s">
        <v>1866</v>
      </c>
      <c r="O37" s="15"/>
      <c r="P37" s="15" t="b">
        <v>0</v>
      </c>
      <c r="R37">
        <f t="shared" si="0"/>
        <v>1</v>
      </c>
    </row>
    <row r="38" spans="1:18" ht="15" customHeight="1">
      <c r="A38" s="15">
        <v>3709</v>
      </c>
      <c r="B38" s="15">
        <v>789</v>
      </c>
      <c r="C38" s="15">
        <v>0</v>
      </c>
      <c r="D38" s="15">
        <v>193</v>
      </c>
      <c r="E38" s="15" t="b">
        <v>0</v>
      </c>
      <c r="F38" s="15" t="b">
        <v>0</v>
      </c>
      <c r="G38" s="33" t="s">
        <v>206</v>
      </c>
      <c r="H38" s="15" t="s">
        <v>4365</v>
      </c>
      <c r="I38" s="33" t="s">
        <v>208</v>
      </c>
      <c r="J38" s="15"/>
      <c r="K38" s="15"/>
      <c r="L38" s="15" t="s">
        <v>220</v>
      </c>
      <c r="M38" s="15" t="s">
        <v>1868</v>
      </c>
      <c r="N38" s="15" t="s">
        <v>1869</v>
      </c>
      <c r="O38" s="15"/>
      <c r="P38" s="15" t="b">
        <v>0</v>
      </c>
      <c r="R38">
        <f t="shared" si="0"/>
        <v>1</v>
      </c>
    </row>
    <row r="39" spans="1:18" ht="15" customHeight="1">
      <c r="A39" s="15">
        <v>3710</v>
      </c>
      <c r="B39" s="15">
        <v>790</v>
      </c>
      <c r="C39" s="15">
        <v>0</v>
      </c>
      <c r="D39" s="15">
        <v>193</v>
      </c>
      <c r="E39" s="15" t="b">
        <v>0</v>
      </c>
      <c r="F39" s="15" t="b">
        <v>0</v>
      </c>
      <c r="G39" s="33" t="s">
        <v>206</v>
      </c>
      <c r="H39" s="15" t="s">
        <v>4365</v>
      </c>
      <c r="I39" s="33" t="s">
        <v>213</v>
      </c>
      <c r="J39" s="15"/>
      <c r="K39" s="15"/>
      <c r="L39" s="15" t="s">
        <v>220</v>
      </c>
      <c r="M39" s="15" t="s">
        <v>1870</v>
      </c>
      <c r="N39" s="15" t="s">
        <v>1871</v>
      </c>
      <c r="O39" s="15"/>
      <c r="P39" s="15" t="b">
        <v>0</v>
      </c>
      <c r="R39">
        <f t="shared" si="0"/>
        <v>1</v>
      </c>
    </row>
    <row r="40" spans="1:18" ht="15" customHeight="1">
      <c r="A40" s="15">
        <v>3711</v>
      </c>
      <c r="B40" s="15">
        <v>791</v>
      </c>
      <c r="C40" s="15">
        <v>0</v>
      </c>
      <c r="D40" s="15">
        <v>193</v>
      </c>
      <c r="E40" s="15" t="b">
        <v>0</v>
      </c>
      <c r="F40" s="15" t="b">
        <v>0</v>
      </c>
      <c r="G40" s="33" t="s">
        <v>206</v>
      </c>
      <c r="H40" s="15" t="s">
        <v>4365</v>
      </c>
      <c r="I40" s="33" t="s">
        <v>216</v>
      </c>
      <c r="J40" s="15"/>
      <c r="K40" s="15"/>
      <c r="L40" s="15" t="s">
        <v>220</v>
      </c>
      <c r="M40" s="15" t="s">
        <v>1872</v>
      </c>
      <c r="N40" s="15" t="s">
        <v>1873</v>
      </c>
      <c r="O40" s="15"/>
      <c r="P40" s="15" t="b">
        <v>0</v>
      </c>
      <c r="R40">
        <f t="shared" si="0"/>
        <v>1</v>
      </c>
    </row>
    <row r="41" spans="1:18" ht="15" customHeight="1">
      <c r="A41" s="15">
        <v>3712</v>
      </c>
      <c r="B41" s="15">
        <v>792</v>
      </c>
      <c r="C41" s="15">
        <v>0</v>
      </c>
      <c r="D41" s="15">
        <v>193</v>
      </c>
      <c r="E41" s="15" t="b">
        <v>0</v>
      </c>
      <c r="F41" s="15" t="b">
        <v>0</v>
      </c>
      <c r="G41" s="33" t="s">
        <v>206</v>
      </c>
      <c r="H41" s="15" t="s">
        <v>4366</v>
      </c>
      <c r="I41" s="33" t="s">
        <v>208</v>
      </c>
      <c r="J41" s="15"/>
      <c r="K41" s="15"/>
      <c r="L41" s="15" t="s">
        <v>220</v>
      </c>
      <c r="M41" s="15" t="s">
        <v>1875</v>
      </c>
      <c r="N41" s="15" t="s">
        <v>1876</v>
      </c>
      <c r="O41" s="15"/>
      <c r="P41" s="15" t="b">
        <v>0</v>
      </c>
      <c r="R41">
        <f t="shared" si="0"/>
        <v>1</v>
      </c>
    </row>
    <row r="42" spans="1:18" ht="15" customHeight="1">
      <c r="A42" s="15">
        <v>3713</v>
      </c>
      <c r="B42" s="15">
        <v>793</v>
      </c>
      <c r="C42" s="15">
        <v>0</v>
      </c>
      <c r="D42" s="15">
        <v>193</v>
      </c>
      <c r="E42" s="15" t="b">
        <v>0</v>
      </c>
      <c r="F42" s="15" t="b">
        <v>0</v>
      </c>
      <c r="G42" s="33" t="s">
        <v>206</v>
      </c>
      <c r="H42" s="15" t="s">
        <v>4366</v>
      </c>
      <c r="I42" s="33" t="s">
        <v>213</v>
      </c>
      <c r="J42" s="15"/>
      <c r="K42" s="15"/>
      <c r="L42" s="15" t="s">
        <v>220</v>
      </c>
      <c r="M42" s="15" t="s">
        <v>1877</v>
      </c>
      <c r="N42" s="15" t="s">
        <v>1878</v>
      </c>
      <c r="O42" s="15"/>
      <c r="P42" s="15" t="b">
        <v>0</v>
      </c>
      <c r="R42">
        <f t="shared" si="0"/>
        <v>1</v>
      </c>
    </row>
    <row r="43" spans="1:18" ht="15" customHeight="1">
      <c r="A43" s="15">
        <v>3714</v>
      </c>
      <c r="B43" s="15">
        <v>794</v>
      </c>
      <c r="C43" s="15">
        <v>0</v>
      </c>
      <c r="D43" s="15">
        <v>193</v>
      </c>
      <c r="E43" s="15" t="b">
        <v>0</v>
      </c>
      <c r="F43" s="15" t="b">
        <v>0</v>
      </c>
      <c r="G43" s="33" t="s">
        <v>206</v>
      </c>
      <c r="H43" s="15" t="s">
        <v>4366</v>
      </c>
      <c r="I43" s="33" t="s">
        <v>216</v>
      </c>
      <c r="J43" s="15"/>
      <c r="K43" s="15"/>
      <c r="L43" s="15" t="s">
        <v>220</v>
      </c>
      <c r="M43" s="15" t="s">
        <v>1879</v>
      </c>
      <c r="N43" s="15" t="s">
        <v>1880</v>
      </c>
      <c r="O43" s="15"/>
      <c r="P43" s="15" t="b">
        <v>0</v>
      </c>
      <c r="R43">
        <f t="shared" si="0"/>
        <v>1</v>
      </c>
    </row>
    <row r="44" spans="1:18" ht="15" customHeight="1">
      <c r="A44" s="15">
        <v>3715</v>
      </c>
      <c r="B44" s="15">
        <v>795</v>
      </c>
      <c r="C44" s="15">
        <v>0</v>
      </c>
      <c r="D44" s="15">
        <v>193</v>
      </c>
      <c r="E44" s="15" t="b">
        <v>1</v>
      </c>
      <c r="F44" s="15" t="b">
        <v>0</v>
      </c>
      <c r="G44" s="33" t="s">
        <v>206</v>
      </c>
      <c r="H44" s="15" t="s">
        <v>4367</v>
      </c>
      <c r="I44" s="33" t="s">
        <v>208</v>
      </c>
      <c r="J44" s="15"/>
      <c r="K44" s="15"/>
      <c r="L44" s="15" t="s">
        <v>220</v>
      </c>
      <c r="M44" s="15" t="s">
        <v>1882</v>
      </c>
      <c r="N44" s="15" t="s">
        <v>1883</v>
      </c>
      <c r="O44" s="15"/>
      <c r="P44" s="15" t="b">
        <v>0</v>
      </c>
      <c r="R44">
        <f t="shared" si="0"/>
        <v>1</v>
      </c>
    </row>
    <row r="45" spans="1:18" ht="15" customHeight="1">
      <c r="A45" s="15">
        <v>3716</v>
      </c>
      <c r="B45" s="15">
        <v>796</v>
      </c>
      <c r="C45" s="15">
        <v>0</v>
      </c>
      <c r="D45" s="15">
        <v>193</v>
      </c>
      <c r="E45" s="15" t="b">
        <v>1</v>
      </c>
      <c r="F45" s="15" t="b">
        <v>0</v>
      </c>
      <c r="G45" s="33" t="s">
        <v>206</v>
      </c>
      <c r="H45" s="15" t="s">
        <v>4367</v>
      </c>
      <c r="I45" s="33" t="s">
        <v>213</v>
      </c>
      <c r="J45" s="15"/>
      <c r="K45" s="15"/>
      <c r="L45" s="15" t="s">
        <v>220</v>
      </c>
      <c r="M45" s="15" t="s">
        <v>1884</v>
      </c>
      <c r="N45" s="15" t="s">
        <v>1885</v>
      </c>
      <c r="O45" s="15"/>
      <c r="P45" s="15" t="b">
        <v>0</v>
      </c>
      <c r="R45">
        <f t="shared" si="0"/>
        <v>1</v>
      </c>
    </row>
    <row r="46" spans="1:18" ht="15" customHeight="1">
      <c r="A46" s="15">
        <v>3717</v>
      </c>
      <c r="B46" s="15">
        <v>797</v>
      </c>
      <c r="C46" s="15">
        <v>0</v>
      </c>
      <c r="D46" s="15">
        <v>193</v>
      </c>
      <c r="E46" s="15" t="b">
        <v>1</v>
      </c>
      <c r="F46" s="15" t="b">
        <v>0</v>
      </c>
      <c r="G46" s="33" t="s">
        <v>206</v>
      </c>
      <c r="H46" s="15" t="s">
        <v>4367</v>
      </c>
      <c r="I46" s="33" t="s">
        <v>216</v>
      </c>
      <c r="J46" s="15"/>
      <c r="K46" s="15"/>
      <c r="L46" s="15" t="s">
        <v>220</v>
      </c>
      <c r="M46" s="15" t="s">
        <v>1886</v>
      </c>
      <c r="N46" s="15" t="s">
        <v>1887</v>
      </c>
      <c r="O46" s="15"/>
      <c r="P46" s="15" t="b">
        <v>0</v>
      </c>
      <c r="R46">
        <f t="shared" si="0"/>
        <v>1</v>
      </c>
    </row>
    <row r="47" spans="1:18" ht="15" customHeight="1">
      <c r="A47" s="15">
        <v>3718</v>
      </c>
      <c r="B47" s="15">
        <v>798</v>
      </c>
      <c r="C47" s="15">
        <v>0</v>
      </c>
      <c r="D47" s="15">
        <v>193</v>
      </c>
      <c r="E47" s="15" t="b">
        <v>0</v>
      </c>
      <c r="F47" s="15" t="b">
        <v>0</v>
      </c>
      <c r="G47" s="33" t="s">
        <v>206</v>
      </c>
      <c r="H47" s="15" t="s">
        <v>4368</v>
      </c>
      <c r="I47" s="33" t="s">
        <v>208</v>
      </c>
      <c r="J47" s="15"/>
      <c r="K47" s="15"/>
      <c r="L47" s="15" t="s">
        <v>220</v>
      </c>
      <c r="M47" s="15" t="s">
        <v>1889</v>
      </c>
      <c r="N47" s="15" t="s">
        <v>1890</v>
      </c>
      <c r="O47" s="15"/>
      <c r="P47" s="15" t="b">
        <v>0</v>
      </c>
      <c r="R47">
        <f t="shared" si="0"/>
        <v>1</v>
      </c>
    </row>
    <row r="48" spans="1:18" ht="15" customHeight="1">
      <c r="A48" s="15">
        <v>3719</v>
      </c>
      <c r="B48" s="15">
        <v>799</v>
      </c>
      <c r="C48" s="15">
        <v>0</v>
      </c>
      <c r="D48" s="15">
        <v>193</v>
      </c>
      <c r="E48" s="15" t="b">
        <v>0</v>
      </c>
      <c r="F48" s="15" t="b">
        <v>0</v>
      </c>
      <c r="G48" s="33" t="s">
        <v>206</v>
      </c>
      <c r="H48" s="15" t="s">
        <v>4368</v>
      </c>
      <c r="I48" s="33" t="s">
        <v>213</v>
      </c>
      <c r="J48" s="15"/>
      <c r="K48" s="15"/>
      <c r="L48" s="15" t="s">
        <v>220</v>
      </c>
      <c r="M48" s="15" t="s">
        <v>1891</v>
      </c>
      <c r="N48" s="15" t="s">
        <v>1892</v>
      </c>
      <c r="O48" s="15"/>
      <c r="P48" s="15" t="b">
        <v>0</v>
      </c>
      <c r="R48">
        <f t="shared" si="0"/>
        <v>1</v>
      </c>
    </row>
    <row r="49" spans="1:18" ht="15" customHeight="1">
      <c r="A49" s="15">
        <v>3720</v>
      </c>
      <c r="B49" s="15">
        <v>800</v>
      </c>
      <c r="C49" s="15">
        <v>0</v>
      </c>
      <c r="D49" s="15">
        <v>193</v>
      </c>
      <c r="E49" s="15" t="b">
        <v>0</v>
      </c>
      <c r="F49" s="15" t="b">
        <v>0</v>
      </c>
      <c r="G49" s="33" t="s">
        <v>206</v>
      </c>
      <c r="H49" s="15" t="s">
        <v>4368</v>
      </c>
      <c r="I49" s="33" t="s">
        <v>216</v>
      </c>
      <c r="J49" s="15"/>
      <c r="K49" s="15"/>
      <c r="L49" s="15" t="s">
        <v>220</v>
      </c>
      <c r="M49" s="15" t="s">
        <v>1893</v>
      </c>
      <c r="N49" s="15" t="s">
        <v>1894</v>
      </c>
      <c r="O49" s="15"/>
      <c r="P49" s="15" t="b">
        <v>0</v>
      </c>
      <c r="R49">
        <f t="shared" si="0"/>
        <v>1</v>
      </c>
    </row>
    <row r="50" spans="1:18" ht="15" customHeight="1">
      <c r="A50" s="15">
        <v>3721</v>
      </c>
      <c r="B50" s="15">
        <v>801</v>
      </c>
      <c r="C50" s="15">
        <v>0</v>
      </c>
      <c r="D50" s="15">
        <v>193</v>
      </c>
      <c r="E50" s="15" t="b">
        <v>1</v>
      </c>
      <c r="F50" s="15" t="b">
        <v>0</v>
      </c>
      <c r="G50" s="33" t="s">
        <v>206</v>
      </c>
      <c r="H50" s="15" t="s">
        <v>4369</v>
      </c>
      <c r="I50" s="33" t="s">
        <v>208</v>
      </c>
      <c r="J50" s="15"/>
      <c r="K50" s="15"/>
      <c r="L50" s="15" t="s">
        <v>220</v>
      </c>
      <c r="M50" s="15" t="s">
        <v>1896</v>
      </c>
      <c r="N50" s="15" t="s">
        <v>1897</v>
      </c>
      <c r="O50" s="15"/>
      <c r="P50" s="15" t="b">
        <v>0</v>
      </c>
      <c r="R50">
        <f t="shared" si="0"/>
        <v>1</v>
      </c>
    </row>
    <row r="51" spans="1:18" ht="15" customHeight="1">
      <c r="A51" s="15">
        <v>3722</v>
      </c>
      <c r="B51" s="15">
        <v>802</v>
      </c>
      <c r="C51" s="15">
        <v>0</v>
      </c>
      <c r="D51" s="15">
        <v>193</v>
      </c>
      <c r="E51" s="15" t="b">
        <v>1</v>
      </c>
      <c r="F51" s="15" t="b">
        <v>0</v>
      </c>
      <c r="G51" s="33" t="s">
        <v>206</v>
      </c>
      <c r="H51" s="15" t="s">
        <v>4369</v>
      </c>
      <c r="I51" s="33" t="s">
        <v>213</v>
      </c>
      <c r="J51" s="15"/>
      <c r="K51" s="15"/>
      <c r="L51" s="15" t="s">
        <v>220</v>
      </c>
      <c r="M51" s="15" t="s">
        <v>1898</v>
      </c>
      <c r="N51" s="15" t="s">
        <v>1899</v>
      </c>
      <c r="O51" s="15"/>
      <c r="P51" s="15" t="b">
        <v>0</v>
      </c>
      <c r="R51">
        <f t="shared" si="0"/>
        <v>1</v>
      </c>
    </row>
    <row r="52" spans="1:18" ht="15" customHeight="1">
      <c r="A52" s="15">
        <v>3723</v>
      </c>
      <c r="B52" s="15">
        <v>803</v>
      </c>
      <c r="C52" s="15">
        <v>0</v>
      </c>
      <c r="D52" s="15">
        <v>193</v>
      </c>
      <c r="E52" s="15" t="b">
        <v>1</v>
      </c>
      <c r="F52" s="15" t="b">
        <v>0</v>
      </c>
      <c r="G52" s="33" t="s">
        <v>206</v>
      </c>
      <c r="H52" s="15" t="s">
        <v>4369</v>
      </c>
      <c r="I52" s="33" t="s">
        <v>216</v>
      </c>
      <c r="J52" s="15"/>
      <c r="K52" s="15"/>
      <c r="L52" s="15" t="s">
        <v>220</v>
      </c>
      <c r="M52" s="15" t="s">
        <v>1900</v>
      </c>
      <c r="N52" s="15" t="s">
        <v>1901</v>
      </c>
      <c r="O52" s="15"/>
      <c r="P52" s="15" t="b">
        <v>0</v>
      </c>
      <c r="R52">
        <f t="shared" si="0"/>
        <v>1</v>
      </c>
    </row>
    <row r="53" spans="1:18" ht="15" customHeight="1">
      <c r="A53" s="15">
        <v>3724</v>
      </c>
      <c r="B53" s="15">
        <v>804</v>
      </c>
      <c r="C53" s="15">
        <v>0</v>
      </c>
      <c r="D53" s="15">
        <v>193</v>
      </c>
      <c r="E53" s="15" t="b">
        <v>0</v>
      </c>
      <c r="F53" s="15" t="b">
        <v>0</v>
      </c>
      <c r="G53" s="33" t="s">
        <v>206</v>
      </c>
      <c r="H53" s="15" t="s">
        <v>4370</v>
      </c>
      <c r="I53" s="33" t="s">
        <v>208</v>
      </c>
      <c r="J53" s="15"/>
      <c r="K53" s="15"/>
      <c r="L53" s="15" t="s">
        <v>220</v>
      </c>
      <c r="M53" s="15" t="s">
        <v>1903</v>
      </c>
      <c r="N53" s="15" t="s">
        <v>1904</v>
      </c>
      <c r="O53" s="15"/>
      <c r="P53" s="15" t="b">
        <v>0</v>
      </c>
      <c r="R53">
        <f t="shared" si="0"/>
        <v>1</v>
      </c>
    </row>
    <row r="54" spans="1:18" ht="15" customHeight="1">
      <c r="A54" s="15">
        <v>3725</v>
      </c>
      <c r="B54" s="15">
        <v>805</v>
      </c>
      <c r="C54" s="15">
        <v>0</v>
      </c>
      <c r="D54" s="15">
        <v>193</v>
      </c>
      <c r="E54" s="15" t="b">
        <v>0</v>
      </c>
      <c r="F54" s="15" t="b">
        <v>0</v>
      </c>
      <c r="G54" s="33" t="s">
        <v>206</v>
      </c>
      <c r="H54" s="15" t="s">
        <v>4370</v>
      </c>
      <c r="I54" s="33" t="s">
        <v>213</v>
      </c>
      <c r="J54" s="15"/>
      <c r="K54" s="15"/>
      <c r="L54" s="15" t="s">
        <v>220</v>
      </c>
      <c r="M54" s="15" t="s">
        <v>1905</v>
      </c>
      <c r="N54" s="15" t="s">
        <v>1906</v>
      </c>
      <c r="O54" s="15"/>
      <c r="P54" s="15" t="b">
        <v>0</v>
      </c>
      <c r="R54">
        <f t="shared" si="0"/>
        <v>1</v>
      </c>
    </row>
    <row r="55" spans="1:18" ht="15" customHeight="1">
      <c r="A55" s="15">
        <v>3726</v>
      </c>
      <c r="B55" s="15">
        <v>806</v>
      </c>
      <c r="C55" s="15">
        <v>0</v>
      </c>
      <c r="D55" s="15">
        <v>193</v>
      </c>
      <c r="E55" s="15" t="b">
        <v>0</v>
      </c>
      <c r="F55" s="15" t="b">
        <v>0</v>
      </c>
      <c r="G55" s="33" t="s">
        <v>206</v>
      </c>
      <c r="H55" s="15" t="s">
        <v>4370</v>
      </c>
      <c r="I55" s="33" t="s">
        <v>216</v>
      </c>
      <c r="J55" s="15"/>
      <c r="K55" s="15"/>
      <c r="L55" s="15" t="s">
        <v>220</v>
      </c>
      <c r="M55" s="15" t="s">
        <v>1907</v>
      </c>
      <c r="N55" s="15" t="s">
        <v>1908</v>
      </c>
      <c r="O55" s="15"/>
      <c r="P55" s="15" t="b">
        <v>0</v>
      </c>
      <c r="R55">
        <f t="shared" si="0"/>
        <v>1</v>
      </c>
    </row>
    <row r="56" spans="1:18" ht="15" customHeight="1">
      <c r="A56" s="15">
        <v>3727</v>
      </c>
      <c r="B56" s="15">
        <v>807</v>
      </c>
      <c r="C56" s="15">
        <v>0</v>
      </c>
      <c r="D56" s="15">
        <v>193</v>
      </c>
      <c r="E56" s="15" t="b">
        <v>0</v>
      </c>
      <c r="F56" s="15" t="b">
        <v>0</v>
      </c>
      <c r="G56" s="33" t="s">
        <v>206</v>
      </c>
      <c r="H56" s="15" t="s">
        <v>4371</v>
      </c>
      <c r="I56" s="33" t="s">
        <v>208</v>
      </c>
      <c r="J56" s="15"/>
      <c r="K56" s="15"/>
      <c r="L56" s="15" t="s">
        <v>220</v>
      </c>
      <c r="M56" s="15" t="s">
        <v>1910</v>
      </c>
      <c r="N56" s="15" t="s">
        <v>1911</v>
      </c>
      <c r="O56" s="15"/>
      <c r="P56" s="15" t="b">
        <v>0</v>
      </c>
      <c r="R56">
        <f t="shared" si="0"/>
        <v>1</v>
      </c>
    </row>
    <row r="57" spans="1:18" ht="15" customHeight="1">
      <c r="A57" s="15">
        <v>3728</v>
      </c>
      <c r="B57" s="15">
        <v>808</v>
      </c>
      <c r="C57" s="15">
        <v>0</v>
      </c>
      <c r="D57" s="15">
        <v>193</v>
      </c>
      <c r="E57" s="15" t="b">
        <v>0</v>
      </c>
      <c r="F57" s="15" t="b">
        <v>0</v>
      </c>
      <c r="G57" s="33" t="s">
        <v>206</v>
      </c>
      <c r="H57" s="15" t="s">
        <v>4371</v>
      </c>
      <c r="I57" s="33" t="s">
        <v>213</v>
      </c>
      <c r="J57" s="15"/>
      <c r="K57" s="15"/>
      <c r="L57" s="15" t="s">
        <v>220</v>
      </c>
      <c r="M57" s="15" t="s">
        <v>1912</v>
      </c>
      <c r="N57" s="15" t="s">
        <v>1913</v>
      </c>
      <c r="O57" s="15"/>
      <c r="P57" s="15" t="b">
        <v>0</v>
      </c>
      <c r="R57">
        <f t="shared" si="0"/>
        <v>1</v>
      </c>
    </row>
    <row r="58" spans="1:18" ht="15" customHeight="1">
      <c r="A58" s="15">
        <v>3729</v>
      </c>
      <c r="B58" s="15">
        <v>809</v>
      </c>
      <c r="C58" s="15">
        <v>0</v>
      </c>
      <c r="D58" s="15">
        <v>193</v>
      </c>
      <c r="E58" s="15" t="b">
        <v>0</v>
      </c>
      <c r="F58" s="15" t="b">
        <v>0</v>
      </c>
      <c r="G58" s="33" t="s">
        <v>206</v>
      </c>
      <c r="H58" s="15" t="s">
        <v>4371</v>
      </c>
      <c r="I58" s="33" t="s">
        <v>216</v>
      </c>
      <c r="J58" s="15"/>
      <c r="K58" s="15"/>
      <c r="L58" s="15" t="s">
        <v>220</v>
      </c>
      <c r="M58" s="15" t="s">
        <v>1914</v>
      </c>
      <c r="N58" s="15" t="s">
        <v>1915</v>
      </c>
      <c r="O58" s="15"/>
      <c r="P58" s="15" t="b">
        <v>0</v>
      </c>
      <c r="R58">
        <f t="shared" si="0"/>
        <v>1</v>
      </c>
    </row>
    <row r="59" spans="1:18" ht="15" customHeight="1">
      <c r="A59" s="15">
        <v>3730</v>
      </c>
      <c r="B59" s="15">
        <v>810</v>
      </c>
      <c r="C59" s="15">
        <v>0</v>
      </c>
      <c r="D59" s="15">
        <v>193</v>
      </c>
      <c r="E59" s="15" t="b">
        <v>1</v>
      </c>
      <c r="F59" s="15" t="b">
        <v>0</v>
      </c>
      <c r="G59" s="33" t="s">
        <v>206</v>
      </c>
      <c r="H59" s="15" t="s">
        <v>4372</v>
      </c>
      <c r="I59" s="33" t="s">
        <v>208</v>
      </c>
      <c r="J59" s="15"/>
      <c r="K59" s="15"/>
      <c r="L59" s="15" t="s">
        <v>220</v>
      </c>
      <c r="M59" s="15" t="s">
        <v>1917</v>
      </c>
      <c r="N59" s="15" t="s">
        <v>1918</v>
      </c>
      <c r="O59" s="15"/>
      <c r="P59" s="15" t="b">
        <v>0</v>
      </c>
      <c r="R59">
        <f t="shared" si="0"/>
        <v>1</v>
      </c>
    </row>
    <row r="60" spans="1:18" ht="15" customHeight="1">
      <c r="A60" s="15">
        <v>3731</v>
      </c>
      <c r="B60" s="15">
        <v>811</v>
      </c>
      <c r="C60" s="15">
        <v>0</v>
      </c>
      <c r="D60" s="15">
        <v>193</v>
      </c>
      <c r="E60" s="15" t="b">
        <v>1</v>
      </c>
      <c r="F60" s="15" t="b">
        <v>0</v>
      </c>
      <c r="G60" s="33" t="s">
        <v>206</v>
      </c>
      <c r="H60" s="15" t="s">
        <v>4372</v>
      </c>
      <c r="I60" s="33" t="s">
        <v>213</v>
      </c>
      <c r="J60" s="15"/>
      <c r="K60" s="15"/>
      <c r="L60" s="15" t="s">
        <v>220</v>
      </c>
      <c r="M60" s="15" t="s">
        <v>1919</v>
      </c>
      <c r="N60" s="15" t="s">
        <v>1920</v>
      </c>
      <c r="O60" s="15"/>
      <c r="P60" s="15" t="b">
        <v>0</v>
      </c>
      <c r="R60">
        <f t="shared" si="0"/>
        <v>1</v>
      </c>
    </row>
    <row r="61" spans="1:18" ht="15" customHeight="1">
      <c r="A61" s="15">
        <v>3732</v>
      </c>
      <c r="B61" s="15">
        <v>812</v>
      </c>
      <c r="C61" s="15">
        <v>0</v>
      </c>
      <c r="D61" s="15">
        <v>193</v>
      </c>
      <c r="E61" s="15" t="b">
        <v>1</v>
      </c>
      <c r="F61" s="15" t="b">
        <v>0</v>
      </c>
      <c r="G61" s="33" t="s">
        <v>206</v>
      </c>
      <c r="H61" s="15" t="s">
        <v>4372</v>
      </c>
      <c r="I61" s="33" t="s">
        <v>216</v>
      </c>
      <c r="J61" s="15"/>
      <c r="K61" s="15"/>
      <c r="L61" s="15" t="s">
        <v>220</v>
      </c>
      <c r="M61" s="15" t="s">
        <v>1921</v>
      </c>
      <c r="N61" s="15" t="s">
        <v>1922</v>
      </c>
      <c r="O61" s="15"/>
      <c r="P61" s="15" t="b">
        <v>0</v>
      </c>
      <c r="R61">
        <f t="shared" si="0"/>
        <v>1</v>
      </c>
    </row>
    <row r="62" spans="1:18" ht="15" customHeight="1">
      <c r="A62" s="15">
        <v>3733</v>
      </c>
      <c r="B62" s="15">
        <v>813</v>
      </c>
      <c r="C62" s="15">
        <v>0</v>
      </c>
      <c r="D62" s="15">
        <v>193</v>
      </c>
      <c r="E62" s="15" t="b">
        <v>0</v>
      </c>
      <c r="F62" s="15" t="b">
        <v>0</v>
      </c>
      <c r="G62" s="33" t="s">
        <v>206</v>
      </c>
      <c r="H62" s="15" t="s">
        <v>4373</v>
      </c>
      <c r="I62" s="33" t="s">
        <v>208</v>
      </c>
      <c r="J62" s="15"/>
      <c r="K62" s="15"/>
      <c r="L62" s="15" t="s">
        <v>220</v>
      </c>
      <c r="M62" s="15" t="s">
        <v>1924</v>
      </c>
      <c r="N62" s="15" t="s">
        <v>1925</v>
      </c>
      <c r="O62" s="15"/>
      <c r="P62" s="15" t="b">
        <v>0</v>
      </c>
      <c r="R62">
        <f t="shared" si="0"/>
        <v>1</v>
      </c>
    </row>
    <row r="63" spans="1:18" ht="15" customHeight="1">
      <c r="A63" s="15">
        <v>3734</v>
      </c>
      <c r="B63" s="15">
        <v>814</v>
      </c>
      <c r="C63" s="15">
        <v>0</v>
      </c>
      <c r="D63" s="15">
        <v>193</v>
      </c>
      <c r="E63" s="15" t="b">
        <v>0</v>
      </c>
      <c r="F63" s="15" t="b">
        <v>0</v>
      </c>
      <c r="G63" s="33" t="s">
        <v>206</v>
      </c>
      <c r="H63" s="15" t="s">
        <v>4373</v>
      </c>
      <c r="I63" s="33" t="s">
        <v>213</v>
      </c>
      <c r="J63" s="15"/>
      <c r="K63" s="15"/>
      <c r="L63" s="15" t="s">
        <v>220</v>
      </c>
      <c r="M63" s="15" t="s">
        <v>1926</v>
      </c>
      <c r="N63" s="15" t="s">
        <v>1927</v>
      </c>
      <c r="O63" s="15"/>
      <c r="P63" s="15" t="b">
        <v>0</v>
      </c>
      <c r="R63">
        <f t="shared" si="0"/>
        <v>1</v>
      </c>
    </row>
    <row r="64" spans="1:18" ht="15" customHeight="1">
      <c r="A64" s="15">
        <v>3735</v>
      </c>
      <c r="B64" s="15">
        <v>815</v>
      </c>
      <c r="C64" s="15">
        <v>0</v>
      </c>
      <c r="D64" s="15">
        <v>193</v>
      </c>
      <c r="E64" s="15" t="b">
        <v>0</v>
      </c>
      <c r="F64" s="15" t="b">
        <v>0</v>
      </c>
      <c r="G64" s="33" t="s">
        <v>206</v>
      </c>
      <c r="H64" s="15" t="s">
        <v>4373</v>
      </c>
      <c r="I64" s="33" t="s">
        <v>216</v>
      </c>
      <c r="J64" s="15"/>
      <c r="K64" s="15"/>
      <c r="L64" s="15" t="s">
        <v>220</v>
      </c>
      <c r="M64" s="15" t="s">
        <v>1928</v>
      </c>
      <c r="N64" s="15" t="s">
        <v>1929</v>
      </c>
      <c r="O64" s="15"/>
      <c r="P64" s="15" t="b">
        <v>0</v>
      </c>
      <c r="R64">
        <f t="shared" si="0"/>
        <v>1</v>
      </c>
    </row>
    <row r="65" spans="1:18" ht="15" customHeight="1">
      <c r="A65" s="15">
        <v>3736</v>
      </c>
      <c r="B65" s="15">
        <v>816</v>
      </c>
      <c r="C65" s="15">
        <v>0</v>
      </c>
      <c r="D65" s="15">
        <v>193</v>
      </c>
      <c r="E65" s="15" t="b">
        <v>0</v>
      </c>
      <c r="F65" s="15" t="b">
        <v>0</v>
      </c>
      <c r="G65" s="33" t="s">
        <v>206</v>
      </c>
      <c r="H65" s="15" t="s">
        <v>4374</v>
      </c>
      <c r="I65" s="33" t="s">
        <v>208</v>
      </c>
      <c r="J65" s="15"/>
      <c r="K65" s="15"/>
      <c r="L65" s="15" t="s">
        <v>220</v>
      </c>
      <c r="M65" s="15" t="s">
        <v>1931</v>
      </c>
      <c r="N65" s="15" t="s">
        <v>1932</v>
      </c>
      <c r="O65" s="15"/>
      <c r="P65" s="15" t="b">
        <v>0</v>
      </c>
      <c r="R65">
        <f t="shared" si="0"/>
        <v>1</v>
      </c>
    </row>
    <row r="66" spans="1:18" ht="15" customHeight="1">
      <c r="A66" s="15">
        <v>3737</v>
      </c>
      <c r="B66" s="15">
        <v>817</v>
      </c>
      <c r="C66" s="15">
        <v>0</v>
      </c>
      <c r="D66" s="15">
        <v>193</v>
      </c>
      <c r="E66" s="15" t="b">
        <v>0</v>
      </c>
      <c r="F66" s="15" t="b">
        <v>0</v>
      </c>
      <c r="G66" s="33" t="s">
        <v>206</v>
      </c>
      <c r="H66" s="15" t="s">
        <v>4374</v>
      </c>
      <c r="I66" s="33" t="s">
        <v>213</v>
      </c>
      <c r="J66" s="15"/>
      <c r="K66" s="15"/>
      <c r="L66" s="15" t="s">
        <v>220</v>
      </c>
      <c r="M66" s="15" t="s">
        <v>1933</v>
      </c>
      <c r="N66" s="15" t="s">
        <v>1934</v>
      </c>
      <c r="O66" s="15"/>
      <c r="P66" s="15" t="b">
        <v>0</v>
      </c>
      <c r="R66">
        <f t="shared" si="0"/>
        <v>1</v>
      </c>
    </row>
    <row r="67" spans="1:18" ht="15" customHeight="1">
      <c r="A67" s="15">
        <v>3738</v>
      </c>
      <c r="B67" s="15">
        <v>818</v>
      </c>
      <c r="C67" s="15">
        <v>0</v>
      </c>
      <c r="D67" s="15">
        <v>193</v>
      </c>
      <c r="E67" s="15" t="b">
        <v>0</v>
      </c>
      <c r="F67" s="15" t="b">
        <v>0</v>
      </c>
      <c r="G67" s="33" t="s">
        <v>206</v>
      </c>
      <c r="H67" s="15" t="s">
        <v>4374</v>
      </c>
      <c r="I67" s="33" t="s">
        <v>216</v>
      </c>
      <c r="J67" s="15"/>
      <c r="K67" s="15"/>
      <c r="L67" s="15" t="s">
        <v>220</v>
      </c>
      <c r="M67" s="15" t="s">
        <v>1935</v>
      </c>
      <c r="N67" s="15" t="s">
        <v>1936</v>
      </c>
      <c r="O67" s="15"/>
      <c r="P67" s="15" t="b">
        <v>0</v>
      </c>
      <c r="R67">
        <f t="shared" ref="R67:R130" si="1">IF(D67=193,1,0)</f>
        <v>1</v>
      </c>
    </row>
    <row r="68" spans="1:18" ht="15" customHeight="1">
      <c r="A68" s="15">
        <v>3739</v>
      </c>
      <c r="B68" s="15">
        <v>819</v>
      </c>
      <c r="C68" s="15">
        <v>0</v>
      </c>
      <c r="D68" s="15">
        <v>193</v>
      </c>
      <c r="E68" s="15" t="b">
        <v>1</v>
      </c>
      <c r="F68" s="15" t="b">
        <v>0</v>
      </c>
      <c r="G68" s="33" t="s">
        <v>206</v>
      </c>
      <c r="H68" s="15" t="s">
        <v>4375</v>
      </c>
      <c r="I68" s="33" t="s">
        <v>208</v>
      </c>
      <c r="J68" s="15"/>
      <c r="K68" s="15"/>
      <c r="L68" s="15" t="s">
        <v>220</v>
      </c>
      <c r="M68" s="15" t="s">
        <v>1938</v>
      </c>
      <c r="N68" s="15" t="s">
        <v>1939</v>
      </c>
      <c r="O68" s="15"/>
      <c r="P68" s="15" t="b">
        <v>0</v>
      </c>
      <c r="R68">
        <f t="shared" si="1"/>
        <v>1</v>
      </c>
    </row>
    <row r="69" spans="1:18" ht="15" customHeight="1">
      <c r="A69" s="15">
        <v>3740</v>
      </c>
      <c r="B69" s="15">
        <v>820</v>
      </c>
      <c r="C69" s="15">
        <v>0</v>
      </c>
      <c r="D69" s="15">
        <v>193</v>
      </c>
      <c r="E69" s="15" t="b">
        <v>1</v>
      </c>
      <c r="F69" s="15" t="b">
        <v>0</v>
      </c>
      <c r="G69" s="33" t="s">
        <v>206</v>
      </c>
      <c r="H69" s="15" t="s">
        <v>4375</v>
      </c>
      <c r="I69" s="33" t="s">
        <v>213</v>
      </c>
      <c r="J69" s="15"/>
      <c r="K69" s="15"/>
      <c r="L69" s="15" t="s">
        <v>220</v>
      </c>
      <c r="M69" s="15" t="s">
        <v>1940</v>
      </c>
      <c r="N69" s="15" t="s">
        <v>1941</v>
      </c>
      <c r="O69" s="15"/>
      <c r="P69" s="15" t="b">
        <v>0</v>
      </c>
      <c r="R69">
        <f t="shared" si="1"/>
        <v>1</v>
      </c>
    </row>
    <row r="70" spans="1:18" ht="15" customHeight="1">
      <c r="A70" s="15">
        <v>3741</v>
      </c>
      <c r="B70" s="15">
        <v>821</v>
      </c>
      <c r="C70" s="15">
        <v>0</v>
      </c>
      <c r="D70" s="15">
        <v>193</v>
      </c>
      <c r="E70" s="15" t="b">
        <v>1</v>
      </c>
      <c r="F70" s="15" t="b">
        <v>0</v>
      </c>
      <c r="G70" s="33" t="s">
        <v>206</v>
      </c>
      <c r="H70" s="15" t="s">
        <v>4375</v>
      </c>
      <c r="I70" s="33" t="s">
        <v>216</v>
      </c>
      <c r="J70" s="15"/>
      <c r="K70" s="15"/>
      <c r="L70" s="15" t="s">
        <v>220</v>
      </c>
      <c r="M70" s="15" t="s">
        <v>1942</v>
      </c>
      <c r="N70" s="15" t="s">
        <v>1943</v>
      </c>
      <c r="O70" s="15"/>
      <c r="P70" s="15" t="b">
        <v>0</v>
      </c>
      <c r="R70">
        <f t="shared" si="1"/>
        <v>1</v>
      </c>
    </row>
    <row r="71" spans="1:18" ht="15" customHeight="1">
      <c r="A71" s="15">
        <v>3742</v>
      </c>
      <c r="B71" s="15">
        <v>822</v>
      </c>
      <c r="C71" s="15">
        <v>0</v>
      </c>
      <c r="D71" s="15">
        <v>193</v>
      </c>
      <c r="E71" s="15" t="b">
        <v>0</v>
      </c>
      <c r="F71" s="15" t="b">
        <v>0</v>
      </c>
      <c r="G71" s="33" t="s">
        <v>206</v>
      </c>
      <c r="H71" s="15" t="s">
        <v>4376</v>
      </c>
      <c r="I71" s="33" t="s">
        <v>208</v>
      </c>
      <c r="J71" s="15"/>
      <c r="K71" s="15"/>
      <c r="L71" s="15" t="s">
        <v>220</v>
      </c>
      <c r="M71" s="15" t="s">
        <v>1945</v>
      </c>
      <c r="N71" s="15" t="s">
        <v>1946</v>
      </c>
      <c r="O71" s="15"/>
      <c r="P71" s="15" t="b">
        <v>0</v>
      </c>
      <c r="R71">
        <f t="shared" si="1"/>
        <v>1</v>
      </c>
    </row>
    <row r="72" spans="1:18" ht="15" customHeight="1">
      <c r="A72" s="15">
        <v>3743</v>
      </c>
      <c r="B72" s="15">
        <v>823</v>
      </c>
      <c r="C72" s="15">
        <v>0</v>
      </c>
      <c r="D72" s="15">
        <v>193</v>
      </c>
      <c r="E72" s="15" t="b">
        <v>0</v>
      </c>
      <c r="F72" s="15" t="b">
        <v>0</v>
      </c>
      <c r="G72" s="33" t="s">
        <v>206</v>
      </c>
      <c r="H72" s="15" t="s">
        <v>4376</v>
      </c>
      <c r="I72" s="33" t="s">
        <v>213</v>
      </c>
      <c r="J72" s="15"/>
      <c r="K72" s="15"/>
      <c r="L72" s="15" t="s">
        <v>220</v>
      </c>
      <c r="M72" s="15" t="s">
        <v>1947</v>
      </c>
      <c r="N72" s="15" t="s">
        <v>1948</v>
      </c>
      <c r="O72" s="15"/>
      <c r="P72" s="15" t="b">
        <v>0</v>
      </c>
      <c r="R72">
        <f t="shared" si="1"/>
        <v>1</v>
      </c>
    </row>
    <row r="73" spans="1:18" ht="15" customHeight="1">
      <c r="A73" s="15">
        <v>3744</v>
      </c>
      <c r="B73" s="15">
        <v>824</v>
      </c>
      <c r="C73" s="15">
        <v>0</v>
      </c>
      <c r="D73" s="15">
        <v>193</v>
      </c>
      <c r="E73" s="15" t="b">
        <v>0</v>
      </c>
      <c r="F73" s="15" t="b">
        <v>0</v>
      </c>
      <c r="G73" s="33" t="s">
        <v>206</v>
      </c>
      <c r="H73" s="15" t="s">
        <v>4376</v>
      </c>
      <c r="I73" s="33" t="s">
        <v>216</v>
      </c>
      <c r="J73" s="15"/>
      <c r="K73" s="15"/>
      <c r="L73" s="15" t="s">
        <v>220</v>
      </c>
      <c r="M73" s="15" t="s">
        <v>1949</v>
      </c>
      <c r="N73" s="15" t="s">
        <v>1950</v>
      </c>
      <c r="O73" s="15"/>
      <c r="P73" s="15" t="b">
        <v>0</v>
      </c>
      <c r="R73">
        <f t="shared" si="1"/>
        <v>1</v>
      </c>
    </row>
    <row r="74" spans="1:18" ht="15" customHeight="1">
      <c r="A74" s="15">
        <v>3745</v>
      </c>
      <c r="B74" s="15">
        <v>825</v>
      </c>
      <c r="C74" s="15">
        <v>0</v>
      </c>
      <c r="D74" s="15">
        <v>193</v>
      </c>
      <c r="E74" s="15" t="b">
        <v>1</v>
      </c>
      <c r="F74" s="15" t="b">
        <v>0</v>
      </c>
      <c r="G74" s="33" t="s">
        <v>206</v>
      </c>
      <c r="H74" s="15" t="s">
        <v>4377</v>
      </c>
      <c r="I74" s="33" t="s">
        <v>208</v>
      </c>
      <c r="J74" s="15"/>
      <c r="K74" s="15"/>
      <c r="L74" s="15" t="s">
        <v>220</v>
      </c>
      <c r="M74" s="15" t="s">
        <v>1952</v>
      </c>
      <c r="N74" s="15" t="s">
        <v>1953</v>
      </c>
      <c r="O74" s="15"/>
      <c r="P74" s="15" t="b">
        <v>0</v>
      </c>
      <c r="R74">
        <f t="shared" si="1"/>
        <v>1</v>
      </c>
    </row>
    <row r="75" spans="1:18" ht="15" customHeight="1">
      <c r="A75" s="15">
        <v>3746</v>
      </c>
      <c r="B75" s="15">
        <v>826</v>
      </c>
      <c r="C75" s="15">
        <v>0</v>
      </c>
      <c r="D75" s="15">
        <v>193</v>
      </c>
      <c r="E75" s="15" t="b">
        <v>1</v>
      </c>
      <c r="F75" s="15" t="b">
        <v>0</v>
      </c>
      <c r="G75" s="33" t="s">
        <v>206</v>
      </c>
      <c r="H75" s="15" t="s">
        <v>4377</v>
      </c>
      <c r="I75" s="33" t="s">
        <v>213</v>
      </c>
      <c r="J75" s="15"/>
      <c r="K75" s="15"/>
      <c r="L75" s="15" t="s">
        <v>220</v>
      </c>
      <c r="M75" s="15" t="s">
        <v>1954</v>
      </c>
      <c r="N75" s="15" t="s">
        <v>1955</v>
      </c>
      <c r="O75" s="15"/>
      <c r="P75" s="15" t="b">
        <v>0</v>
      </c>
      <c r="R75">
        <f t="shared" si="1"/>
        <v>1</v>
      </c>
    </row>
    <row r="76" spans="1:18" ht="15" customHeight="1">
      <c r="A76" s="15">
        <v>3747</v>
      </c>
      <c r="B76" s="15">
        <v>827</v>
      </c>
      <c r="C76" s="15">
        <v>0</v>
      </c>
      <c r="D76" s="15">
        <v>193</v>
      </c>
      <c r="E76" s="15" t="b">
        <v>1</v>
      </c>
      <c r="F76" s="15" t="b">
        <v>0</v>
      </c>
      <c r="G76" s="33" t="s">
        <v>206</v>
      </c>
      <c r="H76" s="15" t="s">
        <v>4377</v>
      </c>
      <c r="I76" s="33" t="s">
        <v>216</v>
      </c>
      <c r="J76" s="15"/>
      <c r="K76" s="15"/>
      <c r="L76" s="15" t="s">
        <v>220</v>
      </c>
      <c r="M76" s="15" t="s">
        <v>1956</v>
      </c>
      <c r="N76" s="15" t="s">
        <v>1957</v>
      </c>
      <c r="O76" s="15"/>
      <c r="P76" s="15" t="b">
        <v>0</v>
      </c>
      <c r="R76">
        <f t="shared" si="1"/>
        <v>1</v>
      </c>
    </row>
    <row r="77" spans="1:18" ht="15" customHeight="1">
      <c r="A77" s="15">
        <v>3748</v>
      </c>
      <c r="B77" s="15">
        <v>828</v>
      </c>
      <c r="C77" s="15">
        <v>0</v>
      </c>
      <c r="D77" s="15">
        <v>193</v>
      </c>
      <c r="E77" s="15" t="b">
        <v>0</v>
      </c>
      <c r="F77" s="15" t="b">
        <v>0</v>
      </c>
      <c r="G77" s="33" t="s">
        <v>206</v>
      </c>
      <c r="H77" s="15" t="s">
        <v>4378</v>
      </c>
      <c r="I77" s="33" t="s">
        <v>208</v>
      </c>
      <c r="J77" s="15"/>
      <c r="K77" s="15"/>
      <c r="L77" s="15" t="s">
        <v>220</v>
      </c>
      <c r="M77" s="15" t="s">
        <v>1959</v>
      </c>
      <c r="N77" s="15" t="s">
        <v>1960</v>
      </c>
      <c r="O77" s="15"/>
      <c r="P77" s="15" t="b">
        <v>0</v>
      </c>
      <c r="R77">
        <f t="shared" si="1"/>
        <v>1</v>
      </c>
    </row>
    <row r="78" spans="1:18" ht="15" customHeight="1">
      <c r="A78" s="15">
        <v>3749</v>
      </c>
      <c r="B78" s="15">
        <v>829</v>
      </c>
      <c r="C78" s="15">
        <v>0</v>
      </c>
      <c r="D78" s="15">
        <v>193</v>
      </c>
      <c r="E78" s="15" t="b">
        <v>0</v>
      </c>
      <c r="F78" s="15" t="b">
        <v>0</v>
      </c>
      <c r="G78" s="33" t="s">
        <v>206</v>
      </c>
      <c r="H78" s="15" t="s">
        <v>4378</v>
      </c>
      <c r="I78" s="33" t="s">
        <v>213</v>
      </c>
      <c r="J78" s="15"/>
      <c r="K78" s="15"/>
      <c r="L78" s="15" t="s">
        <v>220</v>
      </c>
      <c r="M78" s="15" t="s">
        <v>1961</v>
      </c>
      <c r="N78" s="15" t="s">
        <v>1962</v>
      </c>
      <c r="O78" s="15"/>
      <c r="P78" s="15" t="b">
        <v>0</v>
      </c>
      <c r="R78">
        <f t="shared" si="1"/>
        <v>1</v>
      </c>
    </row>
    <row r="79" spans="1:18" ht="15" customHeight="1">
      <c r="A79" s="15">
        <v>3750</v>
      </c>
      <c r="B79" s="15">
        <v>830</v>
      </c>
      <c r="C79" s="15">
        <v>0</v>
      </c>
      <c r="D79" s="15">
        <v>193</v>
      </c>
      <c r="E79" s="15" t="b">
        <v>0</v>
      </c>
      <c r="F79" s="15" t="b">
        <v>0</v>
      </c>
      <c r="G79" s="33" t="s">
        <v>206</v>
      </c>
      <c r="H79" s="15" t="s">
        <v>4378</v>
      </c>
      <c r="I79" s="33" t="s">
        <v>216</v>
      </c>
      <c r="J79" s="15"/>
      <c r="K79" s="15"/>
      <c r="L79" s="15" t="s">
        <v>220</v>
      </c>
      <c r="M79" s="15" t="s">
        <v>1963</v>
      </c>
      <c r="N79" s="15" t="s">
        <v>1964</v>
      </c>
      <c r="O79" s="15"/>
      <c r="P79" s="15" t="b">
        <v>0</v>
      </c>
      <c r="R79">
        <f t="shared" si="1"/>
        <v>1</v>
      </c>
    </row>
    <row r="80" spans="1:18" ht="15" customHeight="1">
      <c r="A80" s="15">
        <v>3751</v>
      </c>
      <c r="B80" s="15">
        <v>831</v>
      </c>
      <c r="C80" s="15">
        <v>0</v>
      </c>
      <c r="D80" s="15">
        <v>193</v>
      </c>
      <c r="E80" s="15" t="b">
        <v>0</v>
      </c>
      <c r="F80" s="15" t="b">
        <v>0</v>
      </c>
      <c r="G80" s="33" t="s">
        <v>206</v>
      </c>
      <c r="H80" s="15" t="s">
        <v>4379</v>
      </c>
      <c r="I80" s="33" t="s">
        <v>208</v>
      </c>
      <c r="J80" s="15"/>
      <c r="K80" s="15"/>
      <c r="L80" s="15" t="s">
        <v>220</v>
      </c>
      <c r="M80" s="15" t="s">
        <v>1966</v>
      </c>
      <c r="N80" s="15" t="s">
        <v>1967</v>
      </c>
      <c r="O80" s="15"/>
      <c r="P80" s="15" t="b">
        <v>0</v>
      </c>
      <c r="R80">
        <f t="shared" si="1"/>
        <v>1</v>
      </c>
    </row>
    <row r="81" spans="1:18" ht="15" customHeight="1">
      <c r="A81" s="15">
        <v>3752</v>
      </c>
      <c r="B81" s="15">
        <v>832</v>
      </c>
      <c r="C81" s="15">
        <v>0</v>
      </c>
      <c r="D81" s="15">
        <v>193</v>
      </c>
      <c r="E81" s="15" t="b">
        <v>0</v>
      </c>
      <c r="F81" s="15" t="b">
        <v>0</v>
      </c>
      <c r="G81" s="33" t="s">
        <v>206</v>
      </c>
      <c r="H81" s="15" t="s">
        <v>4379</v>
      </c>
      <c r="I81" s="33" t="s">
        <v>213</v>
      </c>
      <c r="J81" s="15"/>
      <c r="K81" s="15"/>
      <c r="L81" s="15" t="s">
        <v>220</v>
      </c>
      <c r="M81" s="15" t="s">
        <v>1968</v>
      </c>
      <c r="N81" s="15" t="s">
        <v>1969</v>
      </c>
      <c r="O81" s="15"/>
      <c r="P81" s="15" t="b">
        <v>0</v>
      </c>
      <c r="R81">
        <f t="shared" si="1"/>
        <v>1</v>
      </c>
    </row>
    <row r="82" spans="1:18" ht="15" customHeight="1">
      <c r="A82" s="15">
        <v>3753</v>
      </c>
      <c r="B82" s="15">
        <v>833</v>
      </c>
      <c r="C82" s="15">
        <v>0</v>
      </c>
      <c r="D82" s="15">
        <v>193</v>
      </c>
      <c r="E82" s="15" t="b">
        <v>0</v>
      </c>
      <c r="F82" s="15" t="b">
        <v>0</v>
      </c>
      <c r="G82" s="33" t="s">
        <v>206</v>
      </c>
      <c r="H82" s="15" t="s">
        <v>4379</v>
      </c>
      <c r="I82" s="33" t="s">
        <v>216</v>
      </c>
      <c r="J82" s="15"/>
      <c r="K82" s="15"/>
      <c r="L82" s="15" t="s">
        <v>220</v>
      </c>
      <c r="M82" s="15" t="s">
        <v>1970</v>
      </c>
      <c r="N82" s="15" t="s">
        <v>1971</v>
      </c>
      <c r="O82" s="15"/>
      <c r="P82" s="15" t="b">
        <v>0</v>
      </c>
      <c r="R82">
        <f t="shared" si="1"/>
        <v>1</v>
      </c>
    </row>
    <row r="83" spans="1:18" ht="15" customHeight="1">
      <c r="A83" s="15">
        <v>3754</v>
      </c>
      <c r="B83" s="15">
        <v>834</v>
      </c>
      <c r="C83" s="15">
        <v>0</v>
      </c>
      <c r="D83" s="15">
        <v>193</v>
      </c>
      <c r="E83" s="15" t="b">
        <v>1</v>
      </c>
      <c r="F83" s="15" t="b">
        <v>0</v>
      </c>
      <c r="G83" s="33" t="s">
        <v>206</v>
      </c>
      <c r="H83" s="15" t="s">
        <v>4380</v>
      </c>
      <c r="I83" s="33" t="s">
        <v>208</v>
      </c>
      <c r="J83" s="15"/>
      <c r="K83" s="15"/>
      <c r="L83" s="15" t="s">
        <v>220</v>
      </c>
      <c r="M83" s="15" t="s">
        <v>1973</v>
      </c>
      <c r="N83" s="15" t="s">
        <v>1974</v>
      </c>
      <c r="O83" s="15"/>
      <c r="P83" s="15" t="b">
        <v>0</v>
      </c>
      <c r="R83">
        <f t="shared" si="1"/>
        <v>1</v>
      </c>
    </row>
    <row r="84" spans="1:18" ht="15" customHeight="1">
      <c r="A84" s="15">
        <v>3755</v>
      </c>
      <c r="B84" s="15">
        <v>835</v>
      </c>
      <c r="C84" s="15">
        <v>0</v>
      </c>
      <c r="D84" s="15">
        <v>193</v>
      </c>
      <c r="E84" s="15" t="b">
        <v>1</v>
      </c>
      <c r="F84" s="15" t="b">
        <v>0</v>
      </c>
      <c r="G84" s="33" t="s">
        <v>206</v>
      </c>
      <c r="H84" s="15" t="s">
        <v>4380</v>
      </c>
      <c r="I84" s="33" t="s">
        <v>213</v>
      </c>
      <c r="J84" s="15"/>
      <c r="K84" s="15"/>
      <c r="L84" s="15" t="s">
        <v>220</v>
      </c>
      <c r="M84" s="15" t="s">
        <v>1975</v>
      </c>
      <c r="N84" s="15" t="s">
        <v>1976</v>
      </c>
      <c r="O84" s="15"/>
      <c r="P84" s="15" t="b">
        <v>0</v>
      </c>
      <c r="R84">
        <f t="shared" si="1"/>
        <v>1</v>
      </c>
    </row>
    <row r="85" spans="1:18" ht="15" customHeight="1">
      <c r="A85" s="15">
        <v>3756</v>
      </c>
      <c r="B85" s="15">
        <v>836</v>
      </c>
      <c r="C85" s="15">
        <v>0</v>
      </c>
      <c r="D85" s="15">
        <v>193</v>
      </c>
      <c r="E85" s="15" t="b">
        <v>1</v>
      </c>
      <c r="F85" s="15" t="b">
        <v>0</v>
      </c>
      <c r="G85" s="33" t="s">
        <v>206</v>
      </c>
      <c r="H85" s="15" t="s">
        <v>4380</v>
      </c>
      <c r="I85" s="33" t="s">
        <v>216</v>
      </c>
      <c r="J85" s="15"/>
      <c r="K85" s="15"/>
      <c r="L85" s="15" t="s">
        <v>220</v>
      </c>
      <c r="M85" s="15" t="s">
        <v>1977</v>
      </c>
      <c r="N85" s="15" t="s">
        <v>1978</v>
      </c>
      <c r="O85" s="15"/>
      <c r="P85" s="15" t="b">
        <v>0</v>
      </c>
      <c r="R85">
        <f t="shared" si="1"/>
        <v>1</v>
      </c>
    </row>
    <row r="86" spans="1:18" ht="15" customHeight="1">
      <c r="A86" s="15">
        <v>3757</v>
      </c>
      <c r="B86" s="15">
        <v>837</v>
      </c>
      <c r="C86" s="15">
        <v>0</v>
      </c>
      <c r="D86" s="15">
        <v>193</v>
      </c>
      <c r="E86" s="15" t="b">
        <v>0</v>
      </c>
      <c r="F86" s="15" t="b">
        <v>0</v>
      </c>
      <c r="G86" s="33" t="s">
        <v>206</v>
      </c>
      <c r="H86" s="15" t="s">
        <v>4381</v>
      </c>
      <c r="I86" s="33" t="s">
        <v>208</v>
      </c>
      <c r="J86" s="15"/>
      <c r="K86" s="15"/>
      <c r="L86" s="15" t="s">
        <v>220</v>
      </c>
      <c r="M86" s="15" t="s">
        <v>1980</v>
      </c>
      <c r="N86" s="15" t="s">
        <v>1981</v>
      </c>
      <c r="O86" s="15"/>
      <c r="P86" s="15" t="b">
        <v>0</v>
      </c>
      <c r="R86">
        <f t="shared" si="1"/>
        <v>1</v>
      </c>
    </row>
    <row r="87" spans="1:18" ht="15" customHeight="1">
      <c r="A87" s="15">
        <v>3758</v>
      </c>
      <c r="B87" s="15">
        <v>838</v>
      </c>
      <c r="C87" s="15">
        <v>0</v>
      </c>
      <c r="D87" s="15">
        <v>193</v>
      </c>
      <c r="E87" s="15" t="b">
        <v>0</v>
      </c>
      <c r="F87" s="15" t="b">
        <v>0</v>
      </c>
      <c r="G87" s="33" t="s">
        <v>206</v>
      </c>
      <c r="H87" s="15" t="s">
        <v>4381</v>
      </c>
      <c r="I87" s="33" t="s">
        <v>213</v>
      </c>
      <c r="J87" s="15"/>
      <c r="K87" s="15"/>
      <c r="L87" s="15" t="s">
        <v>220</v>
      </c>
      <c r="M87" s="15" t="s">
        <v>1982</v>
      </c>
      <c r="N87" s="15" t="s">
        <v>1983</v>
      </c>
      <c r="O87" s="15"/>
      <c r="P87" s="15" t="b">
        <v>0</v>
      </c>
      <c r="R87">
        <f t="shared" si="1"/>
        <v>1</v>
      </c>
    </row>
    <row r="88" spans="1:18" ht="15" customHeight="1">
      <c r="A88" s="15">
        <v>3759</v>
      </c>
      <c r="B88" s="15">
        <v>839</v>
      </c>
      <c r="C88" s="15">
        <v>0</v>
      </c>
      <c r="D88" s="15">
        <v>193</v>
      </c>
      <c r="E88" s="15" t="b">
        <v>0</v>
      </c>
      <c r="F88" s="15" t="b">
        <v>0</v>
      </c>
      <c r="G88" s="33" t="s">
        <v>206</v>
      </c>
      <c r="H88" s="15" t="s">
        <v>4381</v>
      </c>
      <c r="I88" s="33" t="s">
        <v>216</v>
      </c>
      <c r="J88" s="15"/>
      <c r="K88" s="15"/>
      <c r="L88" s="15" t="s">
        <v>220</v>
      </c>
      <c r="M88" s="15" t="s">
        <v>1984</v>
      </c>
      <c r="N88" s="15" t="s">
        <v>1985</v>
      </c>
      <c r="O88" s="15"/>
      <c r="P88" s="15" t="b">
        <v>0</v>
      </c>
      <c r="R88">
        <f t="shared" si="1"/>
        <v>1</v>
      </c>
    </row>
    <row r="89" spans="1:18" ht="15" customHeight="1">
      <c r="A89" s="15">
        <v>3760</v>
      </c>
      <c r="B89" s="15">
        <v>840</v>
      </c>
      <c r="C89" s="15">
        <v>0</v>
      </c>
      <c r="D89" s="15">
        <v>193</v>
      </c>
      <c r="E89" s="15" t="b">
        <v>0</v>
      </c>
      <c r="F89" s="15" t="b">
        <v>0</v>
      </c>
      <c r="G89" s="33" t="s">
        <v>206</v>
      </c>
      <c r="H89" s="15" t="s">
        <v>4382</v>
      </c>
      <c r="I89" s="33" t="s">
        <v>208</v>
      </c>
      <c r="J89" s="15"/>
      <c r="K89" s="15"/>
      <c r="L89" s="15" t="s">
        <v>220</v>
      </c>
      <c r="M89" s="15" t="s">
        <v>1987</v>
      </c>
      <c r="N89" s="15" t="s">
        <v>1988</v>
      </c>
      <c r="O89" s="15"/>
      <c r="P89" s="15" t="b">
        <v>0</v>
      </c>
      <c r="R89">
        <f t="shared" si="1"/>
        <v>1</v>
      </c>
    </row>
    <row r="90" spans="1:18" ht="15" customHeight="1">
      <c r="A90" s="15">
        <v>3761</v>
      </c>
      <c r="B90" s="15">
        <v>841</v>
      </c>
      <c r="C90" s="15">
        <v>0</v>
      </c>
      <c r="D90" s="15">
        <v>193</v>
      </c>
      <c r="E90" s="15" t="b">
        <v>0</v>
      </c>
      <c r="F90" s="15" t="b">
        <v>0</v>
      </c>
      <c r="G90" s="33" t="s">
        <v>206</v>
      </c>
      <c r="H90" s="15" t="s">
        <v>4382</v>
      </c>
      <c r="I90" s="33" t="s">
        <v>213</v>
      </c>
      <c r="J90" s="15"/>
      <c r="K90" s="15"/>
      <c r="L90" s="15" t="s">
        <v>220</v>
      </c>
      <c r="M90" s="15" t="s">
        <v>1989</v>
      </c>
      <c r="N90" s="15" t="s">
        <v>1990</v>
      </c>
      <c r="O90" s="15"/>
      <c r="P90" s="15" t="b">
        <v>0</v>
      </c>
      <c r="R90">
        <f t="shared" si="1"/>
        <v>1</v>
      </c>
    </row>
    <row r="91" spans="1:18" ht="15" customHeight="1">
      <c r="A91" s="15">
        <v>3762</v>
      </c>
      <c r="B91" s="15">
        <v>842</v>
      </c>
      <c r="C91" s="15">
        <v>0</v>
      </c>
      <c r="D91" s="15">
        <v>193</v>
      </c>
      <c r="E91" s="15" t="b">
        <v>0</v>
      </c>
      <c r="F91" s="15" t="b">
        <v>0</v>
      </c>
      <c r="G91" s="33" t="s">
        <v>206</v>
      </c>
      <c r="H91" s="15" t="s">
        <v>4382</v>
      </c>
      <c r="I91" s="33" t="s">
        <v>216</v>
      </c>
      <c r="J91" s="15"/>
      <c r="K91" s="15"/>
      <c r="L91" s="15" t="s">
        <v>220</v>
      </c>
      <c r="M91" s="15" t="s">
        <v>1991</v>
      </c>
      <c r="N91" s="15" t="s">
        <v>1992</v>
      </c>
      <c r="O91" s="15"/>
      <c r="P91" s="15" t="b">
        <v>0</v>
      </c>
      <c r="R91">
        <f t="shared" si="1"/>
        <v>1</v>
      </c>
    </row>
    <row r="92" spans="1:18" ht="15" customHeight="1">
      <c r="A92" s="15">
        <v>3763</v>
      </c>
      <c r="B92" s="15">
        <v>843</v>
      </c>
      <c r="C92" s="15">
        <v>0</v>
      </c>
      <c r="D92" s="15">
        <v>193</v>
      </c>
      <c r="E92" s="15" t="b">
        <v>1</v>
      </c>
      <c r="F92" s="15" t="b">
        <v>0</v>
      </c>
      <c r="G92" s="33" t="s">
        <v>206</v>
      </c>
      <c r="H92" s="15" t="s">
        <v>4383</v>
      </c>
      <c r="I92" s="33" t="s">
        <v>208</v>
      </c>
      <c r="J92" s="15"/>
      <c r="K92" s="15"/>
      <c r="L92" s="15" t="s">
        <v>220</v>
      </c>
      <c r="M92" s="15" t="s">
        <v>1994</v>
      </c>
      <c r="N92" s="15" t="s">
        <v>1995</v>
      </c>
      <c r="O92" s="15"/>
      <c r="P92" s="15" t="b">
        <v>0</v>
      </c>
      <c r="R92">
        <f t="shared" si="1"/>
        <v>1</v>
      </c>
    </row>
    <row r="93" spans="1:18" ht="15" customHeight="1">
      <c r="A93" s="15">
        <v>3764</v>
      </c>
      <c r="B93" s="15">
        <v>844</v>
      </c>
      <c r="C93" s="15">
        <v>0</v>
      </c>
      <c r="D93" s="15">
        <v>193</v>
      </c>
      <c r="E93" s="15" t="b">
        <v>1</v>
      </c>
      <c r="F93" s="15" t="b">
        <v>0</v>
      </c>
      <c r="G93" s="33" t="s">
        <v>206</v>
      </c>
      <c r="H93" s="15" t="s">
        <v>4383</v>
      </c>
      <c r="I93" s="33" t="s">
        <v>213</v>
      </c>
      <c r="J93" s="15"/>
      <c r="K93" s="15"/>
      <c r="L93" s="15" t="s">
        <v>220</v>
      </c>
      <c r="M93" s="15" t="s">
        <v>1996</v>
      </c>
      <c r="N93" s="15" t="s">
        <v>1997</v>
      </c>
      <c r="O93" s="15"/>
      <c r="P93" s="15" t="b">
        <v>0</v>
      </c>
      <c r="R93">
        <f t="shared" si="1"/>
        <v>1</v>
      </c>
    </row>
    <row r="94" spans="1:18" ht="15" customHeight="1">
      <c r="A94" s="15">
        <v>3765</v>
      </c>
      <c r="B94" s="15">
        <v>845</v>
      </c>
      <c r="C94" s="15">
        <v>0</v>
      </c>
      <c r="D94" s="15">
        <v>193</v>
      </c>
      <c r="E94" s="15" t="b">
        <v>1</v>
      </c>
      <c r="F94" s="15" t="b">
        <v>0</v>
      </c>
      <c r="G94" s="33" t="s">
        <v>206</v>
      </c>
      <c r="H94" s="15" t="s">
        <v>4383</v>
      </c>
      <c r="I94" s="33" t="s">
        <v>216</v>
      </c>
      <c r="J94" s="15"/>
      <c r="K94" s="15"/>
      <c r="L94" s="15" t="s">
        <v>220</v>
      </c>
      <c r="M94" s="15" t="s">
        <v>1998</v>
      </c>
      <c r="N94" s="15" t="s">
        <v>1999</v>
      </c>
      <c r="O94" s="15"/>
      <c r="P94" s="15" t="b">
        <v>0</v>
      </c>
      <c r="R94">
        <f t="shared" si="1"/>
        <v>1</v>
      </c>
    </row>
    <row r="95" spans="1:18" ht="15" customHeight="1">
      <c r="A95" s="15">
        <v>3766</v>
      </c>
      <c r="B95" s="15">
        <v>846</v>
      </c>
      <c r="C95" s="15">
        <v>0</v>
      </c>
      <c r="D95" s="15">
        <v>193</v>
      </c>
      <c r="E95" s="15" t="b">
        <v>0</v>
      </c>
      <c r="F95" s="15" t="b">
        <v>0</v>
      </c>
      <c r="G95" s="33" t="s">
        <v>206</v>
      </c>
      <c r="H95" s="15" t="s">
        <v>4384</v>
      </c>
      <c r="I95" s="33" t="s">
        <v>208</v>
      </c>
      <c r="J95" s="15"/>
      <c r="K95" s="15"/>
      <c r="L95" s="15" t="s">
        <v>220</v>
      </c>
      <c r="M95" s="15" t="s">
        <v>2001</v>
      </c>
      <c r="N95" s="15" t="s">
        <v>2002</v>
      </c>
      <c r="O95" s="15"/>
      <c r="P95" s="15" t="b">
        <v>0</v>
      </c>
      <c r="R95">
        <f t="shared" si="1"/>
        <v>1</v>
      </c>
    </row>
    <row r="96" spans="1:18" ht="15" customHeight="1">
      <c r="A96" s="15">
        <v>3767</v>
      </c>
      <c r="B96" s="15">
        <v>847</v>
      </c>
      <c r="C96" s="15">
        <v>0</v>
      </c>
      <c r="D96" s="15">
        <v>193</v>
      </c>
      <c r="E96" s="15" t="b">
        <v>0</v>
      </c>
      <c r="F96" s="15" t="b">
        <v>0</v>
      </c>
      <c r="G96" s="33" t="s">
        <v>206</v>
      </c>
      <c r="H96" s="15" t="s">
        <v>4384</v>
      </c>
      <c r="I96" s="33" t="s">
        <v>213</v>
      </c>
      <c r="J96" s="15"/>
      <c r="K96" s="15"/>
      <c r="L96" s="15" t="s">
        <v>220</v>
      </c>
      <c r="M96" s="15" t="s">
        <v>2003</v>
      </c>
      <c r="N96" s="15" t="s">
        <v>2004</v>
      </c>
      <c r="O96" s="15"/>
      <c r="P96" s="15" t="b">
        <v>0</v>
      </c>
      <c r="R96">
        <f t="shared" si="1"/>
        <v>1</v>
      </c>
    </row>
    <row r="97" spans="1:18" ht="15" customHeight="1">
      <c r="A97" s="15">
        <v>3768</v>
      </c>
      <c r="B97" s="15">
        <v>848</v>
      </c>
      <c r="C97" s="15">
        <v>0</v>
      </c>
      <c r="D97" s="15">
        <v>193</v>
      </c>
      <c r="E97" s="15" t="b">
        <v>0</v>
      </c>
      <c r="F97" s="15" t="b">
        <v>0</v>
      </c>
      <c r="G97" s="33" t="s">
        <v>206</v>
      </c>
      <c r="H97" s="15" t="s">
        <v>4384</v>
      </c>
      <c r="I97" s="33" t="s">
        <v>216</v>
      </c>
      <c r="J97" s="15"/>
      <c r="K97" s="15"/>
      <c r="L97" s="15" t="s">
        <v>220</v>
      </c>
      <c r="M97" s="15" t="s">
        <v>2005</v>
      </c>
      <c r="N97" s="15" t="s">
        <v>2006</v>
      </c>
      <c r="O97" s="15"/>
      <c r="P97" s="15" t="b">
        <v>0</v>
      </c>
      <c r="R97">
        <f t="shared" si="1"/>
        <v>1</v>
      </c>
    </row>
    <row r="98" spans="1:18" ht="15" customHeight="1">
      <c r="A98" s="15">
        <v>3769</v>
      </c>
      <c r="B98" s="15">
        <v>849</v>
      </c>
      <c r="C98" s="15">
        <v>0</v>
      </c>
      <c r="D98" s="15">
        <v>193</v>
      </c>
      <c r="E98" s="15" t="b">
        <v>1</v>
      </c>
      <c r="F98" s="15" t="b">
        <v>0</v>
      </c>
      <c r="G98" s="33" t="s">
        <v>206</v>
      </c>
      <c r="H98" s="15" t="s">
        <v>4385</v>
      </c>
      <c r="I98" s="33" t="s">
        <v>208</v>
      </c>
      <c r="J98" s="15"/>
      <c r="K98" s="15"/>
      <c r="L98" s="15" t="s">
        <v>220</v>
      </c>
      <c r="M98" s="15" t="s">
        <v>2008</v>
      </c>
      <c r="N98" s="15" t="s">
        <v>2009</v>
      </c>
      <c r="O98" s="15"/>
      <c r="P98" s="15" t="b">
        <v>0</v>
      </c>
      <c r="R98">
        <f t="shared" si="1"/>
        <v>1</v>
      </c>
    </row>
    <row r="99" spans="1:18" ht="15" customHeight="1">
      <c r="A99" s="15">
        <v>3770</v>
      </c>
      <c r="B99" s="15">
        <v>850</v>
      </c>
      <c r="C99" s="15">
        <v>0</v>
      </c>
      <c r="D99" s="15">
        <v>193</v>
      </c>
      <c r="E99" s="15" t="b">
        <v>1</v>
      </c>
      <c r="F99" s="15" t="b">
        <v>0</v>
      </c>
      <c r="G99" s="33" t="s">
        <v>206</v>
      </c>
      <c r="H99" s="15" t="s">
        <v>4385</v>
      </c>
      <c r="I99" s="33" t="s">
        <v>272</v>
      </c>
      <c r="J99" s="15"/>
      <c r="K99" s="15"/>
      <c r="L99" s="15" t="s">
        <v>220</v>
      </c>
      <c r="M99" s="15" t="s">
        <v>2010</v>
      </c>
      <c r="N99" s="15" t="s">
        <v>2011</v>
      </c>
      <c r="O99" s="15"/>
      <c r="P99" s="15" t="b">
        <v>0</v>
      </c>
      <c r="R99">
        <f t="shared" si="1"/>
        <v>1</v>
      </c>
    </row>
    <row r="100" spans="1:18" ht="15" customHeight="1">
      <c r="A100" s="15">
        <v>3771</v>
      </c>
      <c r="B100" s="15">
        <v>851</v>
      </c>
      <c r="C100" s="15">
        <v>0</v>
      </c>
      <c r="D100" s="15">
        <v>193</v>
      </c>
      <c r="E100" s="15" t="b">
        <v>1</v>
      </c>
      <c r="F100" s="15" t="b">
        <v>0</v>
      </c>
      <c r="G100" s="33" t="s">
        <v>206</v>
      </c>
      <c r="H100" s="15" t="s">
        <v>4385</v>
      </c>
      <c r="I100" s="33" t="s">
        <v>216</v>
      </c>
      <c r="J100" s="15"/>
      <c r="K100" s="15"/>
      <c r="L100" s="15" t="s">
        <v>220</v>
      </c>
      <c r="M100" s="15" t="s">
        <v>2012</v>
      </c>
      <c r="N100" s="15" t="s">
        <v>2013</v>
      </c>
      <c r="O100" s="15"/>
      <c r="P100" s="15" t="b">
        <v>0</v>
      </c>
      <c r="R100">
        <f t="shared" si="1"/>
        <v>1</v>
      </c>
    </row>
    <row r="101" spans="1:18" ht="15" customHeight="1">
      <c r="A101" s="15">
        <v>3772</v>
      </c>
      <c r="B101" s="15">
        <v>852</v>
      </c>
      <c r="C101" s="15">
        <v>0</v>
      </c>
      <c r="D101" s="15">
        <v>193</v>
      </c>
      <c r="E101" s="15" t="b">
        <v>0</v>
      </c>
      <c r="F101" s="15" t="b">
        <v>0</v>
      </c>
      <c r="G101" s="33" t="s">
        <v>206</v>
      </c>
      <c r="H101" s="15" t="s">
        <v>4386</v>
      </c>
      <c r="I101" s="33" t="s">
        <v>208</v>
      </c>
      <c r="J101" s="15"/>
      <c r="K101" s="15"/>
      <c r="L101" s="15" t="s">
        <v>220</v>
      </c>
      <c r="M101" s="15" t="s">
        <v>2015</v>
      </c>
      <c r="N101" s="15" t="s">
        <v>2016</v>
      </c>
      <c r="O101" s="15"/>
      <c r="P101" s="15" t="b">
        <v>0</v>
      </c>
      <c r="R101">
        <f t="shared" si="1"/>
        <v>1</v>
      </c>
    </row>
    <row r="102" spans="1:18" ht="15" customHeight="1">
      <c r="A102" s="15">
        <v>3773</v>
      </c>
      <c r="B102" s="15">
        <v>853</v>
      </c>
      <c r="C102" s="15">
        <v>0</v>
      </c>
      <c r="D102" s="15">
        <v>193</v>
      </c>
      <c r="E102" s="15" t="b">
        <v>0</v>
      </c>
      <c r="F102" s="15" t="b">
        <v>0</v>
      </c>
      <c r="G102" s="33" t="s">
        <v>206</v>
      </c>
      <c r="H102" s="15" t="s">
        <v>4386</v>
      </c>
      <c r="I102" s="33" t="s">
        <v>504</v>
      </c>
      <c r="J102" s="15"/>
      <c r="K102" s="15"/>
      <c r="L102" s="15" t="s">
        <v>220</v>
      </c>
      <c r="M102" s="15" t="s">
        <v>2017</v>
      </c>
      <c r="N102" s="15" t="s">
        <v>2018</v>
      </c>
      <c r="O102" s="15"/>
      <c r="P102" s="15" t="b">
        <v>0</v>
      </c>
      <c r="R102">
        <f t="shared" si="1"/>
        <v>1</v>
      </c>
    </row>
    <row r="103" spans="1:18" ht="15" customHeight="1">
      <c r="A103" s="15">
        <v>3774</v>
      </c>
      <c r="B103" s="15">
        <v>854</v>
      </c>
      <c r="C103" s="15">
        <v>0</v>
      </c>
      <c r="D103" s="15">
        <v>193</v>
      </c>
      <c r="E103" s="15" t="b">
        <v>0</v>
      </c>
      <c r="F103" s="15" t="b">
        <v>0</v>
      </c>
      <c r="G103" s="33" t="s">
        <v>206</v>
      </c>
      <c r="H103" s="15" t="s">
        <v>4386</v>
      </c>
      <c r="I103" s="33" t="s">
        <v>216</v>
      </c>
      <c r="J103" s="15"/>
      <c r="K103" s="15"/>
      <c r="L103" s="15" t="s">
        <v>220</v>
      </c>
      <c r="M103" s="15" t="s">
        <v>2019</v>
      </c>
      <c r="N103" s="15" t="s">
        <v>2020</v>
      </c>
      <c r="O103" s="15"/>
      <c r="P103" s="15" t="b">
        <v>0</v>
      </c>
      <c r="R103">
        <f t="shared" si="1"/>
        <v>1</v>
      </c>
    </row>
    <row r="104" spans="1:18" ht="15" customHeight="1">
      <c r="A104" s="15">
        <v>3775</v>
      </c>
      <c r="B104" s="15">
        <v>855</v>
      </c>
      <c r="C104" s="15">
        <v>0</v>
      </c>
      <c r="D104" s="15">
        <v>193</v>
      </c>
      <c r="E104" s="15" t="b">
        <v>0</v>
      </c>
      <c r="F104" s="15" t="b">
        <v>0</v>
      </c>
      <c r="G104" s="33" t="s">
        <v>206</v>
      </c>
      <c r="H104" s="15" t="s">
        <v>4387</v>
      </c>
      <c r="I104" s="33" t="s">
        <v>208</v>
      </c>
      <c r="J104" s="15"/>
      <c r="K104" s="15"/>
      <c r="L104" s="15" t="s">
        <v>220</v>
      </c>
      <c r="M104" s="15" t="s">
        <v>2022</v>
      </c>
      <c r="N104" s="15" t="s">
        <v>2023</v>
      </c>
      <c r="O104" s="15"/>
      <c r="P104" s="15" t="b">
        <v>0</v>
      </c>
      <c r="R104">
        <f t="shared" si="1"/>
        <v>1</v>
      </c>
    </row>
    <row r="105" spans="1:18" ht="15" customHeight="1">
      <c r="A105" s="15">
        <v>3776</v>
      </c>
      <c r="B105" s="15">
        <v>856</v>
      </c>
      <c r="C105" s="15">
        <v>0</v>
      </c>
      <c r="D105" s="15">
        <v>193</v>
      </c>
      <c r="E105" s="15" t="b">
        <v>0</v>
      </c>
      <c r="F105" s="15" t="b">
        <v>0</v>
      </c>
      <c r="G105" s="33" t="s">
        <v>206</v>
      </c>
      <c r="H105" s="15" t="s">
        <v>4387</v>
      </c>
      <c r="I105" s="33" t="s">
        <v>504</v>
      </c>
      <c r="J105" s="15"/>
      <c r="K105" s="15"/>
      <c r="L105" s="15" t="s">
        <v>220</v>
      </c>
      <c r="M105" s="15" t="s">
        <v>2024</v>
      </c>
      <c r="N105" s="15" t="s">
        <v>2025</v>
      </c>
      <c r="O105" s="15"/>
      <c r="P105" s="15" t="b">
        <v>0</v>
      </c>
      <c r="R105">
        <f t="shared" si="1"/>
        <v>1</v>
      </c>
    </row>
    <row r="106" spans="1:18" ht="15" customHeight="1">
      <c r="A106" s="15">
        <v>3777</v>
      </c>
      <c r="B106" s="15">
        <v>857</v>
      </c>
      <c r="C106" s="15">
        <v>0</v>
      </c>
      <c r="D106" s="15">
        <v>193</v>
      </c>
      <c r="E106" s="15" t="b">
        <v>0</v>
      </c>
      <c r="F106" s="15" t="b">
        <v>0</v>
      </c>
      <c r="G106" s="33" t="s">
        <v>206</v>
      </c>
      <c r="H106" s="15" t="s">
        <v>4387</v>
      </c>
      <c r="I106" s="33" t="s">
        <v>216</v>
      </c>
      <c r="J106" s="15"/>
      <c r="K106" s="15"/>
      <c r="L106" s="15" t="s">
        <v>220</v>
      </c>
      <c r="M106" s="15" t="s">
        <v>2026</v>
      </c>
      <c r="N106" s="15" t="s">
        <v>2027</v>
      </c>
      <c r="O106" s="15"/>
      <c r="P106" s="15" t="b">
        <v>0</v>
      </c>
      <c r="R106">
        <f t="shared" si="1"/>
        <v>1</v>
      </c>
    </row>
    <row r="107" spans="1:18" ht="15" customHeight="1">
      <c r="A107" s="15">
        <v>3778</v>
      </c>
      <c r="B107" s="15">
        <v>858</v>
      </c>
      <c r="C107" s="15">
        <v>0</v>
      </c>
      <c r="D107" s="15">
        <v>193</v>
      </c>
      <c r="E107" s="15" t="b">
        <v>1</v>
      </c>
      <c r="F107" s="15" t="b">
        <v>0</v>
      </c>
      <c r="G107" s="33" t="s">
        <v>206</v>
      </c>
      <c r="H107" s="15" t="s">
        <v>4388</v>
      </c>
      <c r="I107" s="33" t="s">
        <v>208</v>
      </c>
      <c r="J107" s="15"/>
      <c r="K107" s="15"/>
      <c r="L107" s="15" t="s">
        <v>220</v>
      </c>
      <c r="M107" s="15" t="s">
        <v>2029</v>
      </c>
      <c r="N107" s="15" t="s">
        <v>2030</v>
      </c>
      <c r="O107" s="15"/>
      <c r="P107" s="15" t="b">
        <v>0</v>
      </c>
      <c r="R107">
        <f t="shared" si="1"/>
        <v>1</v>
      </c>
    </row>
    <row r="108" spans="1:18" ht="15" customHeight="1">
      <c r="A108" s="15">
        <v>3779</v>
      </c>
      <c r="B108" s="15">
        <v>859</v>
      </c>
      <c r="C108" s="15">
        <v>0</v>
      </c>
      <c r="D108" s="15">
        <v>193</v>
      </c>
      <c r="E108" s="15" t="b">
        <v>1</v>
      </c>
      <c r="F108" s="15" t="b">
        <v>0</v>
      </c>
      <c r="G108" s="33" t="s">
        <v>206</v>
      </c>
      <c r="H108" s="15" t="s">
        <v>4388</v>
      </c>
      <c r="I108" s="33" t="s">
        <v>272</v>
      </c>
      <c r="J108" s="15"/>
      <c r="K108" s="15"/>
      <c r="L108" s="15" t="s">
        <v>220</v>
      </c>
      <c r="M108" s="15" t="s">
        <v>2031</v>
      </c>
      <c r="N108" s="15" t="s">
        <v>2032</v>
      </c>
      <c r="O108" s="15"/>
      <c r="P108" s="15" t="b">
        <v>0</v>
      </c>
      <c r="R108">
        <f t="shared" si="1"/>
        <v>1</v>
      </c>
    </row>
    <row r="109" spans="1:18" ht="15" customHeight="1">
      <c r="A109" s="15">
        <v>3780</v>
      </c>
      <c r="B109" s="15">
        <v>860</v>
      </c>
      <c r="C109" s="15">
        <v>0</v>
      </c>
      <c r="D109" s="15">
        <v>193</v>
      </c>
      <c r="E109" s="15" t="b">
        <v>1</v>
      </c>
      <c r="F109" s="15" t="b">
        <v>0</v>
      </c>
      <c r="G109" s="33" t="s">
        <v>206</v>
      </c>
      <c r="H109" s="15" t="s">
        <v>4388</v>
      </c>
      <c r="I109" s="33" t="s">
        <v>216</v>
      </c>
      <c r="J109" s="15"/>
      <c r="K109" s="15"/>
      <c r="L109" s="15" t="s">
        <v>220</v>
      </c>
      <c r="M109" s="15" t="s">
        <v>2033</v>
      </c>
      <c r="N109" s="15" t="s">
        <v>2034</v>
      </c>
      <c r="O109" s="15"/>
      <c r="P109" s="15" t="b">
        <v>0</v>
      </c>
      <c r="R109">
        <f t="shared" si="1"/>
        <v>1</v>
      </c>
    </row>
    <row r="110" spans="1:18" ht="15" customHeight="1">
      <c r="A110" s="15">
        <v>3781</v>
      </c>
      <c r="B110" s="15">
        <v>861</v>
      </c>
      <c r="C110" s="15">
        <v>0</v>
      </c>
      <c r="D110" s="15">
        <v>193</v>
      </c>
      <c r="E110" s="15" t="b">
        <v>0</v>
      </c>
      <c r="F110" s="15" t="b">
        <v>0</v>
      </c>
      <c r="G110" s="33" t="s">
        <v>206</v>
      </c>
      <c r="H110" s="15" t="s">
        <v>4389</v>
      </c>
      <c r="I110" s="33" t="s">
        <v>208</v>
      </c>
      <c r="J110" s="15"/>
      <c r="K110" s="15"/>
      <c r="L110" s="15" t="s">
        <v>220</v>
      </c>
      <c r="M110" s="15" t="s">
        <v>2036</v>
      </c>
      <c r="N110" s="15" t="s">
        <v>2037</v>
      </c>
      <c r="O110" s="15"/>
      <c r="P110" s="15" t="b">
        <v>0</v>
      </c>
      <c r="R110">
        <f t="shared" si="1"/>
        <v>1</v>
      </c>
    </row>
    <row r="111" spans="1:18" ht="15" customHeight="1">
      <c r="A111" s="15">
        <v>3782</v>
      </c>
      <c r="B111" s="15">
        <v>862</v>
      </c>
      <c r="C111" s="15">
        <v>0</v>
      </c>
      <c r="D111" s="15">
        <v>193</v>
      </c>
      <c r="E111" s="15" t="b">
        <v>0</v>
      </c>
      <c r="F111" s="15" t="b">
        <v>0</v>
      </c>
      <c r="G111" s="33" t="s">
        <v>206</v>
      </c>
      <c r="H111" s="15" t="s">
        <v>4389</v>
      </c>
      <c r="I111" s="33" t="s">
        <v>504</v>
      </c>
      <c r="J111" s="15"/>
      <c r="K111" s="15"/>
      <c r="L111" s="15" t="s">
        <v>220</v>
      </c>
      <c r="M111" s="15" t="s">
        <v>2038</v>
      </c>
      <c r="N111" s="15" t="s">
        <v>2039</v>
      </c>
      <c r="O111" s="15"/>
      <c r="P111" s="15" t="b">
        <v>0</v>
      </c>
      <c r="R111">
        <f t="shared" si="1"/>
        <v>1</v>
      </c>
    </row>
    <row r="112" spans="1:18" ht="15" customHeight="1">
      <c r="A112" s="15">
        <v>3783</v>
      </c>
      <c r="B112" s="15">
        <v>863</v>
      </c>
      <c r="C112" s="15">
        <v>0</v>
      </c>
      <c r="D112" s="15">
        <v>193</v>
      </c>
      <c r="E112" s="15" t="b">
        <v>0</v>
      </c>
      <c r="F112" s="15" t="b">
        <v>0</v>
      </c>
      <c r="G112" s="33" t="s">
        <v>206</v>
      </c>
      <c r="H112" s="15" t="s">
        <v>4389</v>
      </c>
      <c r="I112" s="33" t="s">
        <v>216</v>
      </c>
      <c r="J112" s="15"/>
      <c r="K112" s="15"/>
      <c r="L112" s="15" t="s">
        <v>220</v>
      </c>
      <c r="M112" s="15" t="s">
        <v>2040</v>
      </c>
      <c r="N112" s="15" t="s">
        <v>2041</v>
      </c>
      <c r="O112" s="15"/>
      <c r="P112" s="15" t="b">
        <v>0</v>
      </c>
      <c r="R112">
        <f t="shared" si="1"/>
        <v>1</v>
      </c>
    </row>
    <row r="113" spans="1:18" ht="15" customHeight="1">
      <c r="A113" s="15">
        <v>3784</v>
      </c>
      <c r="B113" s="15">
        <v>864</v>
      </c>
      <c r="C113" s="15">
        <v>0</v>
      </c>
      <c r="D113" s="15">
        <v>193</v>
      </c>
      <c r="E113" s="15" t="b">
        <v>0</v>
      </c>
      <c r="F113" s="15" t="b">
        <v>0</v>
      </c>
      <c r="G113" s="33" t="s">
        <v>206</v>
      </c>
      <c r="H113" s="15" t="s">
        <v>4390</v>
      </c>
      <c r="I113" s="33" t="s">
        <v>208</v>
      </c>
      <c r="J113" s="15"/>
      <c r="K113" s="15"/>
      <c r="L113" s="15" t="s">
        <v>220</v>
      </c>
      <c r="M113" s="15" t="s">
        <v>2043</v>
      </c>
      <c r="N113" s="15" t="s">
        <v>2044</v>
      </c>
      <c r="O113" s="15"/>
      <c r="P113" s="15" t="b">
        <v>0</v>
      </c>
      <c r="R113">
        <f t="shared" si="1"/>
        <v>1</v>
      </c>
    </row>
    <row r="114" spans="1:18" ht="15" customHeight="1">
      <c r="A114" s="15">
        <v>3785</v>
      </c>
      <c r="B114" s="15">
        <v>865</v>
      </c>
      <c r="C114" s="15">
        <v>0</v>
      </c>
      <c r="D114" s="15">
        <v>193</v>
      </c>
      <c r="E114" s="15" t="b">
        <v>0</v>
      </c>
      <c r="F114" s="15" t="b">
        <v>0</v>
      </c>
      <c r="G114" s="33" t="s">
        <v>206</v>
      </c>
      <c r="H114" s="15" t="s">
        <v>4390</v>
      </c>
      <c r="I114" s="33" t="s">
        <v>504</v>
      </c>
      <c r="J114" s="15"/>
      <c r="K114" s="15"/>
      <c r="L114" s="15" t="s">
        <v>220</v>
      </c>
      <c r="M114" s="15" t="s">
        <v>2045</v>
      </c>
      <c r="N114" s="15" t="s">
        <v>2046</v>
      </c>
      <c r="O114" s="15"/>
      <c r="P114" s="15" t="b">
        <v>0</v>
      </c>
      <c r="R114">
        <f t="shared" si="1"/>
        <v>1</v>
      </c>
    </row>
    <row r="115" spans="1:18" ht="15" customHeight="1">
      <c r="A115" s="15">
        <v>3786</v>
      </c>
      <c r="B115" s="15">
        <v>866</v>
      </c>
      <c r="C115" s="15">
        <v>0</v>
      </c>
      <c r="D115" s="15">
        <v>193</v>
      </c>
      <c r="E115" s="15" t="b">
        <v>0</v>
      </c>
      <c r="F115" s="15" t="b">
        <v>0</v>
      </c>
      <c r="G115" s="33" t="s">
        <v>206</v>
      </c>
      <c r="H115" s="15" t="s">
        <v>4390</v>
      </c>
      <c r="I115" s="33" t="s">
        <v>216</v>
      </c>
      <c r="J115" s="15"/>
      <c r="K115" s="15"/>
      <c r="L115" s="15" t="s">
        <v>220</v>
      </c>
      <c r="M115" s="15" t="s">
        <v>2047</v>
      </c>
      <c r="N115" s="15" t="s">
        <v>2048</v>
      </c>
      <c r="O115" s="15"/>
      <c r="P115" s="15" t="b">
        <v>0</v>
      </c>
      <c r="R115">
        <f t="shared" si="1"/>
        <v>1</v>
      </c>
    </row>
    <row r="116" spans="1:18" ht="15" customHeight="1">
      <c r="A116" s="15">
        <v>3787</v>
      </c>
      <c r="B116" s="15">
        <v>867</v>
      </c>
      <c r="C116" s="15">
        <v>0</v>
      </c>
      <c r="D116" s="15">
        <v>193</v>
      </c>
      <c r="E116" s="15" t="b">
        <v>1</v>
      </c>
      <c r="F116" s="15" t="b">
        <v>0</v>
      </c>
      <c r="G116" s="33" t="s">
        <v>206</v>
      </c>
      <c r="H116" s="15" t="s">
        <v>4391</v>
      </c>
      <c r="I116" s="33" t="s">
        <v>208</v>
      </c>
      <c r="J116" s="15"/>
      <c r="K116" s="15"/>
      <c r="L116" s="15" t="s">
        <v>220</v>
      </c>
      <c r="M116" s="15" t="s">
        <v>2050</v>
      </c>
      <c r="N116" s="15" t="s">
        <v>2051</v>
      </c>
      <c r="O116" s="15"/>
      <c r="P116" s="15" t="b">
        <v>0</v>
      </c>
      <c r="R116">
        <f t="shared" si="1"/>
        <v>1</v>
      </c>
    </row>
    <row r="117" spans="1:18" ht="15" customHeight="1">
      <c r="A117" s="15">
        <v>3788</v>
      </c>
      <c r="B117" s="15">
        <v>868</v>
      </c>
      <c r="C117" s="15">
        <v>0</v>
      </c>
      <c r="D117" s="15">
        <v>193</v>
      </c>
      <c r="E117" s="15" t="b">
        <v>1</v>
      </c>
      <c r="F117" s="15" t="b">
        <v>0</v>
      </c>
      <c r="G117" s="33" t="s">
        <v>206</v>
      </c>
      <c r="H117" s="15" t="s">
        <v>4391</v>
      </c>
      <c r="I117" s="33" t="s">
        <v>272</v>
      </c>
      <c r="J117" s="15"/>
      <c r="K117" s="15"/>
      <c r="L117" s="15" t="s">
        <v>220</v>
      </c>
      <c r="M117" s="15" t="s">
        <v>2052</v>
      </c>
      <c r="N117" s="15" t="s">
        <v>2053</v>
      </c>
      <c r="O117" s="15"/>
      <c r="P117" s="15" t="b">
        <v>0</v>
      </c>
      <c r="R117">
        <f t="shared" si="1"/>
        <v>1</v>
      </c>
    </row>
    <row r="118" spans="1:18" ht="15" customHeight="1">
      <c r="A118" s="15">
        <v>3789</v>
      </c>
      <c r="B118" s="15">
        <v>869</v>
      </c>
      <c r="C118" s="15">
        <v>0</v>
      </c>
      <c r="D118" s="15">
        <v>193</v>
      </c>
      <c r="E118" s="15" t="b">
        <v>1</v>
      </c>
      <c r="F118" s="15" t="b">
        <v>0</v>
      </c>
      <c r="G118" s="33" t="s">
        <v>206</v>
      </c>
      <c r="H118" s="15" t="s">
        <v>4391</v>
      </c>
      <c r="I118" s="33" t="s">
        <v>216</v>
      </c>
      <c r="J118" s="15"/>
      <c r="K118" s="15"/>
      <c r="L118" s="15" t="s">
        <v>220</v>
      </c>
      <c r="M118" s="15" t="s">
        <v>2054</v>
      </c>
      <c r="N118" s="15" t="s">
        <v>2055</v>
      </c>
      <c r="O118" s="15"/>
      <c r="P118" s="15" t="b">
        <v>0</v>
      </c>
      <c r="R118">
        <f t="shared" si="1"/>
        <v>1</v>
      </c>
    </row>
    <row r="119" spans="1:18" ht="15" customHeight="1">
      <c r="A119" s="15">
        <v>3790</v>
      </c>
      <c r="B119" s="15">
        <v>870</v>
      </c>
      <c r="C119" s="15">
        <v>0</v>
      </c>
      <c r="D119" s="15">
        <v>193</v>
      </c>
      <c r="E119" s="15" t="b">
        <v>0</v>
      </c>
      <c r="F119" s="15" t="b">
        <v>0</v>
      </c>
      <c r="G119" s="33" t="s">
        <v>206</v>
      </c>
      <c r="H119" s="15" t="s">
        <v>4392</v>
      </c>
      <c r="I119" s="33" t="s">
        <v>208</v>
      </c>
      <c r="J119" s="15"/>
      <c r="K119" s="15"/>
      <c r="L119" s="15" t="s">
        <v>220</v>
      </c>
      <c r="M119" s="15" t="s">
        <v>2057</v>
      </c>
      <c r="N119" s="15" t="s">
        <v>2058</v>
      </c>
      <c r="O119" s="15"/>
      <c r="P119" s="15" t="b">
        <v>0</v>
      </c>
      <c r="R119">
        <f t="shared" si="1"/>
        <v>1</v>
      </c>
    </row>
    <row r="120" spans="1:18" ht="15" customHeight="1">
      <c r="A120" s="15">
        <v>3791</v>
      </c>
      <c r="B120" s="15">
        <v>871</v>
      </c>
      <c r="C120" s="15">
        <v>0</v>
      </c>
      <c r="D120" s="15">
        <v>193</v>
      </c>
      <c r="E120" s="15" t="b">
        <v>0</v>
      </c>
      <c r="F120" s="15" t="b">
        <v>0</v>
      </c>
      <c r="G120" s="33" t="s">
        <v>206</v>
      </c>
      <c r="H120" s="15" t="s">
        <v>4392</v>
      </c>
      <c r="I120" s="33" t="s">
        <v>504</v>
      </c>
      <c r="J120" s="15"/>
      <c r="K120" s="15"/>
      <c r="L120" s="15" t="s">
        <v>220</v>
      </c>
      <c r="M120" s="15" t="s">
        <v>2059</v>
      </c>
      <c r="N120" s="15" t="s">
        <v>2060</v>
      </c>
      <c r="O120" s="15"/>
      <c r="P120" s="15" t="b">
        <v>0</v>
      </c>
      <c r="R120">
        <f t="shared" si="1"/>
        <v>1</v>
      </c>
    </row>
    <row r="121" spans="1:18" ht="15" customHeight="1">
      <c r="A121" s="15">
        <v>3792</v>
      </c>
      <c r="B121" s="15">
        <v>872</v>
      </c>
      <c r="C121" s="15">
        <v>0</v>
      </c>
      <c r="D121" s="15">
        <v>193</v>
      </c>
      <c r="E121" s="15" t="b">
        <v>0</v>
      </c>
      <c r="F121" s="15" t="b">
        <v>0</v>
      </c>
      <c r="G121" s="33" t="s">
        <v>206</v>
      </c>
      <c r="H121" s="15" t="s">
        <v>4392</v>
      </c>
      <c r="I121" s="33" t="s">
        <v>216</v>
      </c>
      <c r="J121" s="15"/>
      <c r="K121" s="15"/>
      <c r="L121" s="15" t="s">
        <v>220</v>
      </c>
      <c r="M121" s="15" t="s">
        <v>2061</v>
      </c>
      <c r="N121" s="15" t="s">
        <v>2062</v>
      </c>
      <c r="O121" s="15"/>
      <c r="P121" s="15" t="b">
        <v>0</v>
      </c>
      <c r="R121">
        <f t="shared" si="1"/>
        <v>1</v>
      </c>
    </row>
    <row r="122" spans="1:18" ht="15" customHeight="1">
      <c r="A122" s="15">
        <v>3793</v>
      </c>
      <c r="B122" s="15">
        <v>873</v>
      </c>
      <c r="C122" s="15">
        <v>0</v>
      </c>
      <c r="D122" s="15">
        <v>193</v>
      </c>
      <c r="E122" s="15" t="b">
        <v>1</v>
      </c>
      <c r="F122" s="15" t="b">
        <v>0</v>
      </c>
      <c r="G122" s="33" t="s">
        <v>206</v>
      </c>
      <c r="H122" s="15" t="s">
        <v>4393</v>
      </c>
      <c r="I122" s="33" t="s">
        <v>208</v>
      </c>
      <c r="J122" s="15"/>
      <c r="K122" s="15"/>
      <c r="L122" s="15" t="s">
        <v>220</v>
      </c>
      <c r="M122" s="15" t="s">
        <v>2064</v>
      </c>
      <c r="N122" s="15" t="s">
        <v>2065</v>
      </c>
      <c r="O122" s="15"/>
      <c r="P122" s="15" t="b">
        <v>0</v>
      </c>
      <c r="R122">
        <f t="shared" si="1"/>
        <v>1</v>
      </c>
    </row>
    <row r="123" spans="1:18" ht="15" customHeight="1">
      <c r="A123" s="15">
        <v>3794</v>
      </c>
      <c r="B123" s="15">
        <v>874</v>
      </c>
      <c r="C123" s="15">
        <v>0</v>
      </c>
      <c r="D123" s="15">
        <v>193</v>
      </c>
      <c r="E123" s="15" t="b">
        <v>1</v>
      </c>
      <c r="F123" s="15" t="b">
        <v>0</v>
      </c>
      <c r="G123" s="33" t="s">
        <v>206</v>
      </c>
      <c r="H123" s="15" t="s">
        <v>4393</v>
      </c>
      <c r="I123" s="33" t="s">
        <v>213</v>
      </c>
      <c r="J123" s="15"/>
      <c r="K123" s="15"/>
      <c r="L123" s="15" t="s">
        <v>220</v>
      </c>
      <c r="M123" s="15" t="s">
        <v>2066</v>
      </c>
      <c r="N123" s="15" t="s">
        <v>2067</v>
      </c>
      <c r="O123" s="15"/>
      <c r="P123" s="15" t="b">
        <v>0</v>
      </c>
      <c r="R123">
        <f t="shared" si="1"/>
        <v>1</v>
      </c>
    </row>
    <row r="124" spans="1:18" ht="15" customHeight="1">
      <c r="A124" s="15">
        <v>3795</v>
      </c>
      <c r="B124" s="15">
        <v>875</v>
      </c>
      <c r="C124" s="15">
        <v>0</v>
      </c>
      <c r="D124" s="15">
        <v>193</v>
      </c>
      <c r="E124" s="15" t="b">
        <v>1</v>
      </c>
      <c r="F124" s="15" t="b">
        <v>0</v>
      </c>
      <c r="G124" s="33" t="s">
        <v>206</v>
      </c>
      <c r="H124" s="15" t="s">
        <v>4393</v>
      </c>
      <c r="I124" s="33" t="s">
        <v>216</v>
      </c>
      <c r="J124" s="15"/>
      <c r="K124" s="15"/>
      <c r="L124" s="15" t="s">
        <v>220</v>
      </c>
      <c r="M124" s="15" t="s">
        <v>2068</v>
      </c>
      <c r="N124" s="15" t="s">
        <v>2069</v>
      </c>
      <c r="O124" s="15"/>
      <c r="P124" s="15" t="b">
        <v>0</v>
      </c>
      <c r="R124">
        <f t="shared" si="1"/>
        <v>1</v>
      </c>
    </row>
    <row r="125" spans="1:18" ht="15" customHeight="1">
      <c r="A125" s="15">
        <v>3796</v>
      </c>
      <c r="B125" s="15">
        <v>876</v>
      </c>
      <c r="C125" s="15">
        <v>0</v>
      </c>
      <c r="D125" s="15">
        <v>193</v>
      </c>
      <c r="E125" s="15" t="b">
        <v>0</v>
      </c>
      <c r="F125" s="15" t="b">
        <v>0</v>
      </c>
      <c r="G125" s="33" t="s">
        <v>206</v>
      </c>
      <c r="H125" s="15" t="s">
        <v>4394</v>
      </c>
      <c r="I125" s="33" t="s">
        <v>208</v>
      </c>
      <c r="J125" s="15"/>
      <c r="K125" s="15"/>
      <c r="L125" s="15" t="s">
        <v>220</v>
      </c>
      <c r="M125" s="15" t="s">
        <v>2071</v>
      </c>
      <c r="N125" s="15" t="s">
        <v>2072</v>
      </c>
      <c r="O125" s="15"/>
      <c r="P125" s="15" t="b">
        <v>0</v>
      </c>
      <c r="R125">
        <f t="shared" si="1"/>
        <v>1</v>
      </c>
    </row>
    <row r="126" spans="1:18" ht="15" customHeight="1">
      <c r="A126" s="15">
        <v>3797</v>
      </c>
      <c r="B126" s="15">
        <v>877</v>
      </c>
      <c r="C126" s="15">
        <v>0</v>
      </c>
      <c r="D126" s="15">
        <v>193</v>
      </c>
      <c r="E126" s="15" t="b">
        <v>0</v>
      </c>
      <c r="F126" s="15" t="b">
        <v>0</v>
      </c>
      <c r="G126" s="33" t="s">
        <v>206</v>
      </c>
      <c r="H126" s="15" t="s">
        <v>4394</v>
      </c>
      <c r="I126" s="33" t="s">
        <v>213</v>
      </c>
      <c r="J126" s="15"/>
      <c r="K126" s="15"/>
      <c r="L126" s="15" t="s">
        <v>220</v>
      </c>
      <c r="M126" s="15" t="s">
        <v>2073</v>
      </c>
      <c r="N126" s="15" t="s">
        <v>2074</v>
      </c>
      <c r="O126" s="15"/>
      <c r="P126" s="15" t="b">
        <v>0</v>
      </c>
      <c r="R126">
        <f t="shared" si="1"/>
        <v>1</v>
      </c>
    </row>
    <row r="127" spans="1:18" ht="15" customHeight="1">
      <c r="A127" s="15">
        <v>3798</v>
      </c>
      <c r="B127" s="15">
        <v>878</v>
      </c>
      <c r="C127" s="15">
        <v>0</v>
      </c>
      <c r="D127" s="15">
        <v>193</v>
      </c>
      <c r="E127" s="15" t="b">
        <v>0</v>
      </c>
      <c r="F127" s="15" t="b">
        <v>0</v>
      </c>
      <c r="G127" s="33" t="s">
        <v>206</v>
      </c>
      <c r="H127" s="15" t="s">
        <v>4394</v>
      </c>
      <c r="I127" s="33" t="s">
        <v>216</v>
      </c>
      <c r="J127" s="15"/>
      <c r="K127" s="15"/>
      <c r="L127" s="15" t="s">
        <v>220</v>
      </c>
      <c r="M127" s="15" t="s">
        <v>2075</v>
      </c>
      <c r="N127" s="15" t="s">
        <v>2076</v>
      </c>
      <c r="O127" s="15"/>
      <c r="P127" s="15" t="b">
        <v>0</v>
      </c>
      <c r="R127">
        <f t="shared" si="1"/>
        <v>1</v>
      </c>
    </row>
    <row r="128" spans="1:18" ht="15" customHeight="1">
      <c r="A128" s="15">
        <v>3799</v>
      </c>
      <c r="B128" s="15">
        <v>879</v>
      </c>
      <c r="C128" s="15">
        <v>0</v>
      </c>
      <c r="D128" s="15">
        <v>193</v>
      </c>
      <c r="E128" s="15" t="b">
        <v>0</v>
      </c>
      <c r="F128" s="15" t="b">
        <v>0</v>
      </c>
      <c r="G128" s="33" t="s">
        <v>206</v>
      </c>
      <c r="H128" s="15" t="s">
        <v>4395</v>
      </c>
      <c r="I128" s="33" t="s">
        <v>208</v>
      </c>
      <c r="J128" s="15"/>
      <c r="K128" s="15"/>
      <c r="L128" s="15" t="s">
        <v>220</v>
      </c>
      <c r="M128" s="15" t="s">
        <v>2078</v>
      </c>
      <c r="N128" s="15" t="s">
        <v>2079</v>
      </c>
      <c r="O128" s="15"/>
      <c r="P128" s="15" t="b">
        <v>0</v>
      </c>
      <c r="R128">
        <f t="shared" si="1"/>
        <v>1</v>
      </c>
    </row>
    <row r="129" spans="1:18" ht="15" customHeight="1">
      <c r="A129" s="15">
        <v>3800</v>
      </c>
      <c r="B129" s="15">
        <v>880</v>
      </c>
      <c r="C129" s="15">
        <v>0</v>
      </c>
      <c r="D129" s="15">
        <v>193</v>
      </c>
      <c r="E129" s="15" t="b">
        <v>0</v>
      </c>
      <c r="F129" s="15" t="b">
        <v>0</v>
      </c>
      <c r="G129" s="33" t="s">
        <v>206</v>
      </c>
      <c r="H129" s="15" t="s">
        <v>4395</v>
      </c>
      <c r="I129" s="33" t="s">
        <v>213</v>
      </c>
      <c r="J129" s="15"/>
      <c r="K129" s="15"/>
      <c r="L129" s="15" t="s">
        <v>220</v>
      </c>
      <c r="M129" s="15" t="s">
        <v>2080</v>
      </c>
      <c r="N129" s="15" t="s">
        <v>2081</v>
      </c>
      <c r="O129" s="15"/>
      <c r="P129" s="15" t="b">
        <v>0</v>
      </c>
      <c r="R129">
        <f t="shared" si="1"/>
        <v>1</v>
      </c>
    </row>
    <row r="130" spans="1:18" ht="15" customHeight="1">
      <c r="A130" s="15">
        <v>3801</v>
      </c>
      <c r="B130" s="15">
        <v>881</v>
      </c>
      <c r="C130" s="15">
        <v>0</v>
      </c>
      <c r="D130" s="15">
        <v>193</v>
      </c>
      <c r="E130" s="15" t="b">
        <v>0</v>
      </c>
      <c r="F130" s="15" t="b">
        <v>0</v>
      </c>
      <c r="G130" s="33" t="s">
        <v>206</v>
      </c>
      <c r="H130" s="15" t="s">
        <v>4395</v>
      </c>
      <c r="I130" s="33" t="s">
        <v>216</v>
      </c>
      <c r="J130" s="15"/>
      <c r="K130" s="15"/>
      <c r="L130" s="15" t="s">
        <v>220</v>
      </c>
      <c r="M130" s="15" t="s">
        <v>2082</v>
      </c>
      <c r="N130" s="15" t="s">
        <v>2083</v>
      </c>
      <c r="O130" s="15"/>
      <c r="P130" s="15" t="b">
        <v>0</v>
      </c>
      <c r="R130">
        <f t="shared" si="1"/>
        <v>1</v>
      </c>
    </row>
    <row r="131" spans="1:18" ht="15" customHeight="1">
      <c r="A131" s="15">
        <v>3802</v>
      </c>
      <c r="B131" s="15">
        <v>882</v>
      </c>
      <c r="C131" s="15">
        <v>0</v>
      </c>
      <c r="D131" s="15">
        <v>193</v>
      </c>
      <c r="E131" s="15" t="b">
        <v>1</v>
      </c>
      <c r="F131" s="15" t="b">
        <v>0</v>
      </c>
      <c r="G131" s="33" t="s">
        <v>206</v>
      </c>
      <c r="H131" s="15" t="s">
        <v>4396</v>
      </c>
      <c r="I131" s="33" t="s">
        <v>208</v>
      </c>
      <c r="J131" s="15"/>
      <c r="K131" s="15"/>
      <c r="L131" s="15" t="s">
        <v>220</v>
      </c>
      <c r="M131" s="15" t="s">
        <v>2085</v>
      </c>
      <c r="N131" s="15" t="s">
        <v>2086</v>
      </c>
      <c r="O131" s="15"/>
      <c r="P131" s="15" t="b">
        <v>0</v>
      </c>
      <c r="R131">
        <f t="shared" ref="R131:R194" si="2">IF(D131=193,1,0)</f>
        <v>1</v>
      </c>
    </row>
    <row r="132" spans="1:18" ht="15" customHeight="1">
      <c r="A132" s="15">
        <v>3803</v>
      </c>
      <c r="B132" s="15">
        <v>883</v>
      </c>
      <c r="C132" s="15">
        <v>0</v>
      </c>
      <c r="D132" s="15">
        <v>193</v>
      </c>
      <c r="E132" s="15" t="b">
        <v>1</v>
      </c>
      <c r="F132" s="15" t="b">
        <v>0</v>
      </c>
      <c r="G132" s="33" t="s">
        <v>206</v>
      </c>
      <c r="H132" s="15" t="s">
        <v>4396</v>
      </c>
      <c r="I132" s="33" t="s">
        <v>213</v>
      </c>
      <c r="J132" s="15"/>
      <c r="K132" s="15"/>
      <c r="L132" s="15" t="s">
        <v>220</v>
      </c>
      <c r="M132" s="15" t="s">
        <v>2087</v>
      </c>
      <c r="N132" s="15" t="s">
        <v>2088</v>
      </c>
      <c r="O132" s="15"/>
      <c r="P132" s="15" t="b">
        <v>0</v>
      </c>
      <c r="R132">
        <f t="shared" si="2"/>
        <v>1</v>
      </c>
    </row>
    <row r="133" spans="1:18" ht="15" customHeight="1">
      <c r="A133" s="15">
        <v>3804</v>
      </c>
      <c r="B133" s="15">
        <v>884</v>
      </c>
      <c r="C133" s="15">
        <v>0</v>
      </c>
      <c r="D133" s="15">
        <v>193</v>
      </c>
      <c r="E133" s="15" t="b">
        <v>1</v>
      </c>
      <c r="F133" s="15" t="b">
        <v>0</v>
      </c>
      <c r="G133" s="33" t="s">
        <v>206</v>
      </c>
      <c r="H133" s="15" t="s">
        <v>4396</v>
      </c>
      <c r="I133" s="33" t="s">
        <v>216</v>
      </c>
      <c r="J133" s="15"/>
      <c r="K133" s="15"/>
      <c r="L133" s="15" t="s">
        <v>220</v>
      </c>
      <c r="M133" s="15" t="s">
        <v>2089</v>
      </c>
      <c r="N133" s="15" t="s">
        <v>2090</v>
      </c>
      <c r="O133" s="15"/>
      <c r="P133" s="15" t="b">
        <v>0</v>
      </c>
      <c r="R133">
        <f t="shared" si="2"/>
        <v>1</v>
      </c>
    </row>
    <row r="134" spans="1:18" ht="15" customHeight="1">
      <c r="A134" s="15">
        <v>3805</v>
      </c>
      <c r="B134" s="15">
        <v>885</v>
      </c>
      <c r="C134" s="15">
        <v>0</v>
      </c>
      <c r="D134" s="15">
        <v>193</v>
      </c>
      <c r="E134" s="15" t="b">
        <v>0</v>
      </c>
      <c r="F134" s="15" t="b">
        <v>0</v>
      </c>
      <c r="G134" s="33" t="s">
        <v>206</v>
      </c>
      <c r="H134" s="15" t="s">
        <v>4397</v>
      </c>
      <c r="I134" s="33" t="s">
        <v>208</v>
      </c>
      <c r="J134" s="15"/>
      <c r="K134" s="15"/>
      <c r="L134" s="15" t="s">
        <v>220</v>
      </c>
      <c r="M134" s="15" t="s">
        <v>2092</v>
      </c>
      <c r="N134" s="15" t="s">
        <v>2093</v>
      </c>
      <c r="O134" s="15"/>
      <c r="P134" s="15" t="b">
        <v>0</v>
      </c>
      <c r="R134">
        <f t="shared" si="2"/>
        <v>1</v>
      </c>
    </row>
    <row r="135" spans="1:18" ht="15" customHeight="1">
      <c r="A135" s="15">
        <v>3806</v>
      </c>
      <c r="B135" s="15">
        <v>886</v>
      </c>
      <c r="C135" s="15">
        <v>0</v>
      </c>
      <c r="D135" s="15">
        <v>193</v>
      </c>
      <c r="E135" s="15" t="b">
        <v>0</v>
      </c>
      <c r="F135" s="15" t="b">
        <v>0</v>
      </c>
      <c r="G135" s="33" t="s">
        <v>206</v>
      </c>
      <c r="H135" s="15" t="s">
        <v>4397</v>
      </c>
      <c r="I135" s="33" t="s">
        <v>213</v>
      </c>
      <c r="J135" s="15"/>
      <c r="K135" s="15"/>
      <c r="L135" s="15" t="s">
        <v>220</v>
      </c>
      <c r="M135" s="15" t="s">
        <v>2094</v>
      </c>
      <c r="N135" s="15" t="s">
        <v>2095</v>
      </c>
      <c r="O135" s="15"/>
      <c r="P135" s="15" t="b">
        <v>0</v>
      </c>
      <c r="R135">
        <f t="shared" si="2"/>
        <v>1</v>
      </c>
    </row>
    <row r="136" spans="1:18" ht="15" customHeight="1">
      <c r="A136" s="15">
        <v>3807</v>
      </c>
      <c r="B136" s="15">
        <v>887</v>
      </c>
      <c r="C136" s="15">
        <v>0</v>
      </c>
      <c r="D136" s="15">
        <v>193</v>
      </c>
      <c r="E136" s="15" t="b">
        <v>0</v>
      </c>
      <c r="F136" s="15" t="b">
        <v>0</v>
      </c>
      <c r="G136" s="33" t="s">
        <v>206</v>
      </c>
      <c r="H136" s="15" t="s">
        <v>4397</v>
      </c>
      <c r="I136" s="33" t="s">
        <v>216</v>
      </c>
      <c r="J136" s="15"/>
      <c r="K136" s="15"/>
      <c r="L136" s="15" t="s">
        <v>220</v>
      </c>
      <c r="M136" s="15" t="s">
        <v>2096</v>
      </c>
      <c r="N136" s="15" t="s">
        <v>2097</v>
      </c>
      <c r="O136" s="15"/>
      <c r="P136" s="15" t="b">
        <v>0</v>
      </c>
      <c r="R136">
        <f t="shared" si="2"/>
        <v>1</v>
      </c>
    </row>
    <row r="137" spans="1:18" ht="15" customHeight="1">
      <c r="A137" s="15">
        <v>3808</v>
      </c>
      <c r="B137" s="15">
        <v>888</v>
      </c>
      <c r="C137" s="15">
        <v>0</v>
      </c>
      <c r="D137" s="15">
        <v>193</v>
      </c>
      <c r="E137" s="15" t="b">
        <v>0</v>
      </c>
      <c r="F137" s="15" t="b">
        <v>0</v>
      </c>
      <c r="G137" s="33" t="s">
        <v>206</v>
      </c>
      <c r="H137" s="15" t="s">
        <v>4398</v>
      </c>
      <c r="I137" s="33" t="s">
        <v>208</v>
      </c>
      <c r="J137" s="15"/>
      <c r="K137" s="15"/>
      <c r="L137" s="15" t="s">
        <v>220</v>
      </c>
      <c r="M137" s="15" t="s">
        <v>2099</v>
      </c>
      <c r="N137" s="15" t="s">
        <v>2100</v>
      </c>
      <c r="O137" s="15"/>
      <c r="P137" s="15" t="b">
        <v>0</v>
      </c>
      <c r="R137">
        <f t="shared" si="2"/>
        <v>1</v>
      </c>
    </row>
    <row r="138" spans="1:18" ht="15" customHeight="1">
      <c r="A138" s="15">
        <v>3809</v>
      </c>
      <c r="B138" s="15">
        <v>889</v>
      </c>
      <c r="C138" s="15">
        <v>0</v>
      </c>
      <c r="D138" s="15">
        <v>193</v>
      </c>
      <c r="E138" s="15" t="b">
        <v>0</v>
      </c>
      <c r="F138" s="15" t="b">
        <v>0</v>
      </c>
      <c r="G138" s="33" t="s">
        <v>206</v>
      </c>
      <c r="H138" s="15" t="s">
        <v>4398</v>
      </c>
      <c r="I138" s="33" t="s">
        <v>213</v>
      </c>
      <c r="J138" s="15"/>
      <c r="K138" s="15"/>
      <c r="L138" s="15" t="s">
        <v>220</v>
      </c>
      <c r="M138" s="15" t="s">
        <v>2101</v>
      </c>
      <c r="N138" s="15" t="s">
        <v>2102</v>
      </c>
      <c r="O138" s="15"/>
      <c r="P138" s="15" t="b">
        <v>0</v>
      </c>
      <c r="R138">
        <f t="shared" si="2"/>
        <v>1</v>
      </c>
    </row>
    <row r="139" spans="1:18" ht="15" customHeight="1">
      <c r="A139" s="15">
        <v>3810</v>
      </c>
      <c r="B139" s="15">
        <v>890</v>
      </c>
      <c r="C139" s="15">
        <v>0</v>
      </c>
      <c r="D139" s="15">
        <v>193</v>
      </c>
      <c r="E139" s="15" t="b">
        <v>0</v>
      </c>
      <c r="F139" s="15" t="b">
        <v>0</v>
      </c>
      <c r="G139" s="33" t="s">
        <v>206</v>
      </c>
      <c r="H139" s="15" t="s">
        <v>4398</v>
      </c>
      <c r="I139" s="33" t="s">
        <v>216</v>
      </c>
      <c r="J139" s="15"/>
      <c r="K139" s="15"/>
      <c r="L139" s="15" t="s">
        <v>220</v>
      </c>
      <c r="M139" s="15" t="s">
        <v>2103</v>
      </c>
      <c r="N139" s="15" t="s">
        <v>2104</v>
      </c>
      <c r="O139" s="15"/>
      <c r="P139" s="15" t="b">
        <v>0</v>
      </c>
      <c r="R139">
        <f t="shared" si="2"/>
        <v>1</v>
      </c>
    </row>
    <row r="140" spans="1:18" ht="15" customHeight="1">
      <c r="A140" s="15">
        <v>3811</v>
      </c>
      <c r="B140" s="15">
        <v>891</v>
      </c>
      <c r="C140" s="15">
        <v>0</v>
      </c>
      <c r="D140" s="15">
        <v>193</v>
      </c>
      <c r="E140" s="15" t="b">
        <v>1</v>
      </c>
      <c r="F140" s="15" t="b">
        <v>0</v>
      </c>
      <c r="G140" s="33" t="s">
        <v>206</v>
      </c>
      <c r="H140" s="15" t="s">
        <v>4399</v>
      </c>
      <c r="I140" s="33" t="s">
        <v>208</v>
      </c>
      <c r="J140" s="15"/>
      <c r="K140" s="15"/>
      <c r="L140" s="15" t="s">
        <v>220</v>
      </c>
      <c r="M140" s="15" t="s">
        <v>2106</v>
      </c>
      <c r="N140" s="15" t="s">
        <v>2107</v>
      </c>
      <c r="O140" s="15"/>
      <c r="P140" s="15" t="b">
        <v>0</v>
      </c>
      <c r="R140">
        <f t="shared" si="2"/>
        <v>1</v>
      </c>
    </row>
    <row r="141" spans="1:18" ht="15" customHeight="1">
      <c r="A141" s="15">
        <v>3812</v>
      </c>
      <c r="B141" s="15">
        <v>892</v>
      </c>
      <c r="C141" s="15">
        <v>0</v>
      </c>
      <c r="D141" s="15">
        <v>193</v>
      </c>
      <c r="E141" s="15" t="b">
        <v>1</v>
      </c>
      <c r="F141" s="15" t="b">
        <v>0</v>
      </c>
      <c r="G141" s="33" t="s">
        <v>206</v>
      </c>
      <c r="H141" s="15" t="s">
        <v>4399</v>
      </c>
      <c r="I141" s="33" t="s">
        <v>213</v>
      </c>
      <c r="J141" s="15"/>
      <c r="K141" s="15"/>
      <c r="L141" s="15" t="s">
        <v>220</v>
      </c>
      <c r="M141" s="15" t="s">
        <v>2108</v>
      </c>
      <c r="N141" s="15" t="s">
        <v>2109</v>
      </c>
      <c r="O141" s="15"/>
      <c r="P141" s="15" t="b">
        <v>0</v>
      </c>
      <c r="R141">
        <f t="shared" si="2"/>
        <v>1</v>
      </c>
    </row>
    <row r="142" spans="1:18" ht="15" customHeight="1">
      <c r="A142" s="15">
        <v>3813</v>
      </c>
      <c r="B142" s="15">
        <v>893</v>
      </c>
      <c r="C142" s="15">
        <v>0</v>
      </c>
      <c r="D142" s="15">
        <v>193</v>
      </c>
      <c r="E142" s="15" t="b">
        <v>1</v>
      </c>
      <c r="F142" s="15" t="b">
        <v>0</v>
      </c>
      <c r="G142" s="33" t="s">
        <v>206</v>
      </c>
      <c r="H142" s="15" t="s">
        <v>4399</v>
      </c>
      <c r="I142" s="33" t="s">
        <v>216</v>
      </c>
      <c r="J142" s="15"/>
      <c r="K142" s="15"/>
      <c r="L142" s="15" t="s">
        <v>220</v>
      </c>
      <c r="M142" s="15" t="s">
        <v>2110</v>
      </c>
      <c r="N142" s="15" t="s">
        <v>2111</v>
      </c>
      <c r="O142" s="15"/>
      <c r="P142" s="15" t="b">
        <v>0</v>
      </c>
      <c r="R142">
        <f t="shared" si="2"/>
        <v>1</v>
      </c>
    </row>
    <row r="143" spans="1:18" ht="15" customHeight="1">
      <c r="A143" s="15">
        <v>3814</v>
      </c>
      <c r="B143" s="15">
        <v>894</v>
      </c>
      <c r="C143" s="15">
        <v>0</v>
      </c>
      <c r="D143" s="15">
        <v>193</v>
      </c>
      <c r="E143" s="15" t="b">
        <v>0</v>
      </c>
      <c r="F143" s="15" t="b">
        <v>0</v>
      </c>
      <c r="G143" s="33" t="s">
        <v>206</v>
      </c>
      <c r="H143" s="15" t="s">
        <v>4400</v>
      </c>
      <c r="I143" s="33" t="s">
        <v>208</v>
      </c>
      <c r="J143" s="15"/>
      <c r="K143" s="15"/>
      <c r="L143" s="15" t="s">
        <v>220</v>
      </c>
      <c r="M143" s="15" t="s">
        <v>2113</v>
      </c>
      <c r="N143" s="15" t="s">
        <v>2114</v>
      </c>
      <c r="O143" s="15"/>
      <c r="P143" s="15" t="b">
        <v>0</v>
      </c>
      <c r="R143">
        <f t="shared" si="2"/>
        <v>1</v>
      </c>
    </row>
    <row r="144" spans="1:18" ht="15" customHeight="1">
      <c r="A144" s="15">
        <v>3815</v>
      </c>
      <c r="B144" s="15">
        <v>895</v>
      </c>
      <c r="C144" s="15">
        <v>0</v>
      </c>
      <c r="D144" s="15">
        <v>193</v>
      </c>
      <c r="E144" s="15" t="b">
        <v>0</v>
      </c>
      <c r="F144" s="15" t="b">
        <v>0</v>
      </c>
      <c r="G144" s="33" t="s">
        <v>206</v>
      </c>
      <c r="H144" s="15" t="s">
        <v>4400</v>
      </c>
      <c r="I144" s="33" t="s">
        <v>213</v>
      </c>
      <c r="J144" s="15"/>
      <c r="K144" s="15"/>
      <c r="L144" s="15" t="s">
        <v>220</v>
      </c>
      <c r="M144" s="15" t="s">
        <v>2115</v>
      </c>
      <c r="N144" s="15" t="s">
        <v>2116</v>
      </c>
      <c r="O144" s="15"/>
      <c r="P144" s="15" t="b">
        <v>0</v>
      </c>
      <c r="R144">
        <f t="shared" si="2"/>
        <v>1</v>
      </c>
    </row>
    <row r="145" spans="1:18" ht="15" customHeight="1">
      <c r="A145" s="15">
        <v>3816</v>
      </c>
      <c r="B145" s="15">
        <v>896</v>
      </c>
      <c r="C145" s="15">
        <v>0</v>
      </c>
      <c r="D145" s="15">
        <v>193</v>
      </c>
      <c r="E145" s="15" t="b">
        <v>0</v>
      </c>
      <c r="F145" s="15" t="b">
        <v>0</v>
      </c>
      <c r="G145" s="33" t="s">
        <v>206</v>
      </c>
      <c r="H145" s="15" t="s">
        <v>4400</v>
      </c>
      <c r="I145" s="33" t="s">
        <v>216</v>
      </c>
      <c r="J145" s="15"/>
      <c r="K145" s="15"/>
      <c r="L145" s="15" t="s">
        <v>220</v>
      </c>
      <c r="M145" s="15" t="s">
        <v>2117</v>
      </c>
      <c r="N145" s="15" t="s">
        <v>2118</v>
      </c>
      <c r="O145" s="15"/>
      <c r="P145" s="15" t="b">
        <v>0</v>
      </c>
      <c r="R145">
        <f t="shared" si="2"/>
        <v>1</v>
      </c>
    </row>
    <row r="146" spans="1:18" ht="15" customHeight="1">
      <c r="A146" s="15">
        <v>3817</v>
      </c>
      <c r="B146" s="15">
        <v>897</v>
      </c>
      <c r="C146" s="15">
        <v>0</v>
      </c>
      <c r="D146" s="15">
        <v>193</v>
      </c>
      <c r="E146" s="15" t="b">
        <v>1</v>
      </c>
      <c r="F146" s="15" t="b">
        <v>0</v>
      </c>
      <c r="G146" s="33" t="s">
        <v>206</v>
      </c>
      <c r="H146" s="15" t="s">
        <v>4401</v>
      </c>
      <c r="I146" s="33" t="s">
        <v>208</v>
      </c>
      <c r="J146" s="15"/>
      <c r="K146" s="15"/>
      <c r="L146" s="15" t="s">
        <v>220</v>
      </c>
      <c r="M146" s="15" t="s">
        <v>2120</v>
      </c>
      <c r="N146" s="15" t="s">
        <v>2121</v>
      </c>
      <c r="O146" s="15"/>
      <c r="P146" s="15" t="b">
        <v>0</v>
      </c>
      <c r="R146">
        <f t="shared" si="2"/>
        <v>1</v>
      </c>
    </row>
    <row r="147" spans="1:18" ht="15" customHeight="1">
      <c r="A147" s="15">
        <v>3818</v>
      </c>
      <c r="B147" s="15">
        <v>898</v>
      </c>
      <c r="C147" s="15">
        <v>0</v>
      </c>
      <c r="D147" s="15">
        <v>193</v>
      </c>
      <c r="E147" s="15" t="b">
        <v>1</v>
      </c>
      <c r="F147" s="15" t="b">
        <v>0</v>
      </c>
      <c r="G147" s="33" t="s">
        <v>206</v>
      </c>
      <c r="H147" s="15" t="s">
        <v>4401</v>
      </c>
      <c r="I147" s="33" t="s">
        <v>213</v>
      </c>
      <c r="J147" s="15"/>
      <c r="K147" s="15"/>
      <c r="L147" s="15" t="s">
        <v>220</v>
      </c>
      <c r="M147" s="15" t="s">
        <v>2122</v>
      </c>
      <c r="N147" s="15" t="s">
        <v>2123</v>
      </c>
      <c r="O147" s="15"/>
      <c r="P147" s="15" t="b">
        <v>0</v>
      </c>
      <c r="R147">
        <f t="shared" si="2"/>
        <v>1</v>
      </c>
    </row>
    <row r="148" spans="1:18" ht="15" customHeight="1">
      <c r="A148" s="15">
        <v>3819</v>
      </c>
      <c r="B148" s="15">
        <v>899</v>
      </c>
      <c r="C148" s="15">
        <v>0</v>
      </c>
      <c r="D148" s="15">
        <v>193</v>
      </c>
      <c r="E148" s="15" t="b">
        <v>1</v>
      </c>
      <c r="F148" s="15" t="b">
        <v>0</v>
      </c>
      <c r="G148" s="33" t="s">
        <v>206</v>
      </c>
      <c r="H148" s="15" t="s">
        <v>4401</v>
      </c>
      <c r="I148" s="33" t="s">
        <v>216</v>
      </c>
      <c r="J148" s="15"/>
      <c r="K148" s="15"/>
      <c r="L148" s="15" t="s">
        <v>220</v>
      </c>
      <c r="M148" s="15" t="s">
        <v>2124</v>
      </c>
      <c r="N148" s="15" t="s">
        <v>2125</v>
      </c>
      <c r="O148" s="15"/>
      <c r="P148" s="15" t="b">
        <v>0</v>
      </c>
      <c r="R148">
        <f t="shared" si="2"/>
        <v>1</v>
      </c>
    </row>
    <row r="149" spans="1:18" ht="15" customHeight="1">
      <c r="A149" s="15">
        <v>3820</v>
      </c>
      <c r="B149" s="15">
        <v>900</v>
      </c>
      <c r="C149" s="15">
        <v>0</v>
      </c>
      <c r="D149" s="15">
        <v>193</v>
      </c>
      <c r="E149" s="15" t="b">
        <v>0</v>
      </c>
      <c r="F149" s="15" t="b">
        <v>0</v>
      </c>
      <c r="G149" s="33" t="s">
        <v>206</v>
      </c>
      <c r="H149" s="15" t="s">
        <v>4402</v>
      </c>
      <c r="I149" s="33" t="s">
        <v>208</v>
      </c>
      <c r="J149" s="15"/>
      <c r="K149" s="15"/>
      <c r="L149" s="15" t="s">
        <v>220</v>
      </c>
      <c r="M149" s="15" t="s">
        <v>2127</v>
      </c>
      <c r="N149" s="15" t="s">
        <v>2128</v>
      </c>
      <c r="O149" s="15"/>
      <c r="P149" s="15" t="b">
        <v>0</v>
      </c>
      <c r="R149">
        <f t="shared" si="2"/>
        <v>1</v>
      </c>
    </row>
    <row r="150" spans="1:18" ht="15" customHeight="1">
      <c r="A150" s="15">
        <v>3821</v>
      </c>
      <c r="B150" s="15">
        <v>901</v>
      </c>
      <c r="C150" s="15">
        <v>0</v>
      </c>
      <c r="D150" s="15">
        <v>193</v>
      </c>
      <c r="E150" s="15" t="b">
        <v>0</v>
      </c>
      <c r="F150" s="15" t="b">
        <v>0</v>
      </c>
      <c r="G150" s="33" t="s">
        <v>206</v>
      </c>
      <c r="H150" s="15" t="s">
        <v>4402</v>
      </c>
      <c r="I150" s="33" t="s">
        <v>213</v>
      </c>
      <c r="J150" s="15"/>
      <c r="K150" s="15"/>
      <c r="L150" s="15" t="s">
        <v>220</v>
      </c>
      <c r="M150" s="15" t="s">
        <v>2129</v>
      </c>
      <c r="N150" s="15" t="s">
        <v>2130</v>
      </c>
      <c r="O150" s="15"/>
      <c r="P150" s="15" t="b">
        <v>0</v>
      </c>
      <c r="R150">
        <f t="shared" si="2"/>
        <v>1</v>
      </c>
    </row>
    <row r="151" spans="1:18" ht="15" customHeight="1">
      <c r="A151" s="15">
        <v>3822</v>
      </c>
      <c r="B151" s="15">
        <v>902</v>
      </c>
      <c r="C151" s="15">
        <v>0</v>
      </c>
      <c r="D151" s="15">
        <v>193</v>
      </c>
      <c r="E151" s="15" t="b">
        <v>0</v>
      </c>
      <c r="F151" s="15" t="b">
        <v>0</v>
      </c>
      <c r="G151" s="33" t="s">
        <v>206</v>
      </c>
      <c r="H151" s="15" t="s">
        <v>4402</v>
      </c>
      <c r="I151" s="33" t="s">
        <v>216</v>
      </c>
      <c r="J151" s="15"/>
      <c r="K151" s="15"/>
      <c r="L151" s="15" t="s">
        <v>220</v>
      </c>
      <c r="M151" s="15" t="s">
        <v>2131</v>
      </c>
      <c r="N151" s="15" t="s">
        <v>2132</v>
      </c>
      <c r="O151" s="15"/>
      <c r="P151" s="15" t="b">
        <v>0</v>
      </c>
      <c r="R151">
        <f t="shared" si="2"/>
        <v>1</v>
      </c>
    </row>
    <row r="152" spans="1:18" ht="15" customHeight="1">
      <c r="A152" s="15">
        <v>3823</v>
      </c>
      <c r="B152" s="15">
        <v>903</v>
      </c>
      <c r="C152" s="15">
        <v>0</v>
      </c>
      <c r="D152" s="15">
        <v>193</v>
      </c>
      <c r="E152" s="15" t="b">
        <v>0</v>
      </c>
      <c r="F152" s="15" t="b">
        <v>0</v>
      </c>
      <c r="G152" s="33" t="s">
        <v>206</v>
      </c>
      <c r="H152" s="15" t="s">
        <v>4403</v>
      </c>
      <c r="I152" s="33" t="s">
        <v>208</v>
      </c>
      <c r="J152" s="15"/>
      <c r="K152" s="15"/>
      <c r="L152" s="15" t="s">
        <v>220</v>
      </c>
      <c r="M152" s="15" t="s">
        <v>2134</v>
      </c>
      <c r="N152" s="15" t="s">
        <v>2135</v>
      </c>
      <c r="O152" s="15"/>
      <c r="P152" s="15" t="b">
        <v>0</v>
      </c>
      <c r="R152">
        <f t="shared" si="2"/>
        <v>1</v>
      </c>
    </row>
    <row r="153" spans="1:18" ht="15" customHeight="1">
      <c r="A153" s="15">
        <v>3824</v>
      </c>
      <c r="B153" s="15">
        <v>904</v>
      </c>
      <c r="C153" s="15">
        <v>0</v>
      </c>
      <c r="D153" s="15">
        <v>193</v>
      </c>
      <c r="E153" s="15" t="b">
        <v>0</v>
      </c>
      <c r="F153" s="15" t="b">
        <v>0</v>
      </c>
      <c r="G153" s="33" t="s">
        <v>206</v>
      </c>
      <c r="H153" s="15" t="s">
        <v>4403</v>
      </c>
      <c r="I153" s="33" t="s">
        <v>213</v>
      </c>
      <c r="J153" s="15"/>
      <c r="K153" s="15"/>
      <c r="L153" s="15" t="s">
        <v>220</v>
      </c>
      <c r="M153" s="15" t="s">
        <v>2136</v>
      </c>
      <c r="N153" s="15" t="s">
        <v>2137</v>
      </c>
      <c r="O153" s="15"/>
      <c r="P153" s="15" t="b">
        <v>0</v>
      </c>
      <c r="R153">
        <f t="shared" si="2"/>
        <v>1</v>
      </c>
    </row>
    <row r="154" spans="1:18" ht="15" customHeight="1">
      <c r="A154" s="15">
        <v>3825</v>
      </c>
      <c r="B154" s="15">
        <v>905</v>
      </c>
      <c r="C154" s="15">
        <v>0</v>
      </c>
      <c r="D154" s="15">
        <v>193</v>
      </c>
      <c r="E154" s="15" t="b">
        <v>0</v>
      </c>
      <c r="F154" s="15" t="b">
        <v>0</v>
      </c>
      <c r="G154" s="33" t="s">
        <v>206</v>
      </c>
      <c r="H154" s="15" t="s">
        <v>4403</v>
      </c>
      <c r="I154" s="33" t="s">
        <v>216</v>
      </c>
      <c r="J154" s="15"/>
      <c r="K154" s="15"/>
      <c r="L154" s="15" t="s">
        <v>220</v>
      </c>
      <c r="M154" s="15" t="s">
        <v>2138</v>
      </c>
      <c r="N154" s="15" t="s">
        <v>2139</v>
      </c>
      <c r="O154" s="15"/>
      <c r="P154" s="15" t="b">
        <v>0</v>
      </c>
      <c r="R154">
        <f t="shared" si="2"/>
        <v>1</v>
      </c>
    </row>
    <row r="155" spans="1:18" ht="15" customHeight="1">
      <c r="A155" s="15">
        <v>3826</v>
      </c>
      <c r="B155" s="15">
        <v>906</v>
      </c>
      <c r="C155" s="15">
        <v>0</v>
      </c>
      <c r="D155" s="15">
        <v>193</v>
      </c>
      <c r="E155" s="15" t="b">
        <v>1</v>
      </c>
      <c r="F155" s="15" t="b">
        <v>0</v>
      </c>
      <c r="G155" s="33" t="s">
        <v>206</v>
      </c>
      <c r="H155" s="15" t="s">
        <v>4404</v>
      </c>
      <c r="I155" s="33" t="s">
        <v>208</v>
      </c>
      <c r="J155" s="15"/>
      <c r="K155" s="15"/>
      <c r="L155" s="15" t="s">
        <v>220</v>
      </c>
      <c r="M155" s="15" t="s">
        <v>2141</v>
      </c>
      <c r="N155" s="15" t="s">
        <v>2142</v>
      </c>
      <c r="O155" s="15"/>
      <c r="P155" s="15" t="b">
        <v>0</v>
      </c>
      <c r="R155">
        <f t="shared" si="2"/>
        <v>1</v>
      </c>
    </row>
    <row r="156" spans="1:18" ht="15" customHeight="1">
      <c r="A156" s="15">
        <v>3827</v>
      </c>
      <c r="B156" s="15">
        <v>907</v>
      </c>
      <c r="C156" s="15">
        <v>0</v>
      </c>
      <c r="D156" s="15">
        <v>193</v>
      </c>
      <c r="E156" s="15" t="b">
        <v>1</v>
      </c>
      <c r="F156" s="15" t="b">
        <v>0</v>
      </c>
      <c r="G156" s="33" t="s">
        <v>206</v>
      </c>
      <c r="H156" s="15" t="s">
        <v>4404</v>
      </c>
      <c r="I156" s="33" t="s">
        <v>213</v>
      </c>
      <c r="J156" s="15"/>
      <c r="K156" s="15"/>
      <c r="L156" s="15" t="s">
        <v>220</v>
      </c>
      <c r="M156" s="15" t="s">
        <v>2143</v>
      </c>
      <c r="N156" s="15" t="s">
        <v>2144</v>
      </c>
      <c r="O156" s="15"/>
      <c r="P156" s="15" t="b">
        <v>0</v>
      </c>
      <c r="R156">
        <f t="shared" si="2"/>
        <v>1</v>
      </c>
    </row>
    <row r="157" spans="1:18" ht="15" customHeight="1">
      <c r="A157" s="15">
        <v>3828</v>
      </c>
      <c r="B157" s="15">
        <v>908</v>
      </c>
      <c r="C157" s="15">
        <v>0</v>
      </c>
      <c r="D157" s="15">
        <v>193</v>
      </c>
      <c r="E157" s="15" t="b">
        <v>1</v>
      </c>
      <c r="F157" s="15" t="b">
        <v>0</v>
      </c>
      <c r="G157" s="33" t="s">
        <v>206</v>
      </c>
      <c r="H157" s="15" t="s">
        <v>4404</v>
      </c>
      <c r="I157" s="33" t="s">
        <v>216</v>
      </c>
      <c r="J157" s="15"/>
      <c r="K157" s="15"/>
      <c r="L157" s="15" t="s">
        <v>220</v>
      </c>
      <c r="M157" s="15" t="s">
        <v>2145</v>
      </c>
      <c r="N157" s="15" t="s">
        <v>2146</v>
      </c>
      <c r="O157" s="15"/>
      <c r="P157" s="15" t="b">
        <v>0</v>
      </c>
      <c r="R157">
        <f t="shared" si="2"/>
        <v>1</v>
      </c>
    </row>
    <row r="158" spans="1:18" ht="15" customHeight="1">
      <c r="A158" s="15">
        <v>3829</v>
      </c>
      <c r="B158" s="15">
        <v>909</v>
      </c>
      <c r="C158" s="15">
        <v>0</v>
      </c>
      <c r="D158" s="15">
        <v>193</v>
      </c>
      <c r="E158" s="15" t="b">
        <v>0</v>
      </c>
      <c r="F158" s="15" t="b">
        <v>0</v>
      </c>
      <c r="G158" s="33" t="s">
        <v>206</v>
      </c>
      <c r="H158" s="15" t="s">
        <v>4405</v>
      </c>
      <c r="I158" s="33" t="s">
        <v>208</v>
      </c>
      <c r="J158" s="15"/>
      <c r="K158" s="15"/>
      <c r="L158" s="15" t="s">
        <v>220</v>
      </c>
      <c r="M158" s="15" t="s">
        <v>2148</v>
      </c>
      <c r="N158" s="15" t="s">
        <v>2149</v>
      </c>
      <c r="O158" s="15"/>
      <c r="P158" s="15" t="b">
        <v>0</v>
      </c>
      <c r="R158">
        <f t="shared" si="2"/>
        <v>1</v>
      </c>
    </row>
    <row r="159" spans="1:18" ht="15" customHeight="1">
      <c r="A159" s="15">
        <v>3830</v>
      </c>
      <c r="B159" s="15">
        <v>910</v>
      </c>
      <c r="C159" s="15">
        <v>0</v>
      </c>
      <c r="D159" s="15">
        <v>193</v>
      </c>
      <c r="E159" s="15" t="b">
        <v>0</v>
      </c>
      <c r="F159" s="15" t="b">
        <v>0</v>
      </c>
      <c r="G159" s="33" t="s">
        <v>206</v>
      </c>
      <c r="H159" s="15" t="s">
        <v>4405</v>
      </c>
      <c r="I159" s="33" t="s">
        <v>213</v>
      </c>
      <c r="J159" s="15"/>
      <c r="K159" s="15"/>
      <c r="L159" s="15" t="s">
        <v>220</v>
      </c>
      <c r="M159" s="15" t="s">
        <v>2150</v>
      </c>
      <c r="N159" s="15" t="s">
        <v>2151</v>
      </c>
      <c r="O159" s="15"/>
      <c r="P159" s="15" t="b">
        <v>0</v>
      </c>
      <c r="R159">
        <f t="shared" si="2"/>
        <v>1</v>
      </c>
    </row>
    <row r="160" spans="1:18" ht="15" customHeight="1">
      <c r="A160" s="15">
        <v>3831</v>
      </c>
      <c r="B160" s="15">
        <v>911</v>
      </c>
      <c r="C160" s="15">
        <v>0</v>
      </c>
      <c r="D160" s="15">
        <v>193</v>
      </c>
      <c r="E160" s="15" t="b">
        <v>0</v>
      </c>
      <c r="F160" s="15" t="b">
        <v>0</v>
      </c>
      <c r="G160" s="33" t="s">
        <v>206</v>
      </c>
      <c r="H160" s="15" t="s">
        <v>4405</v>
      </c>
      <c r="I160" s="33" t="s">
        <v>216</v>
      </c>
      <c r="J160" s="15"/>
      <c r="K160" s="15"/>
      <c r="L160" s="15" t="s">
        <v>220</v>
      </c>
      <c r="M160" s="15" t="s">
        <v>2152</v>
      </c>
      <c r="N160" s="15" t="s">
        <v>2153</v>
      </c>
      <c r="O160" s="15"/>
      <c r="P160" s="15" t="b">
        <v>0</v>
      </c>
      <c r="R160">
        <f t="shared" si="2"/>
        <v>1</v>
      </c>
    </row>
    <row r="161" spans="1:18" ht="15" customHeight="1">
      <c r="A161" s="15">
        <v>3832</v>
      </c>
      <c r="B161" s="15">
        <v>912</v>
      </c>
      <c r="C161" s="15">
        <v>0</v>
      </c>
      <c r="D161" s="15">
        <v>193</v>
      </c>
      <c r="E161" s="15" t="b">
        <v>0</v>
      </c>
      <c r="F161" s="15" t="b">
        <v>0</v>
      </c>
      <c r="G161" s="33" t="s">
        <v>206</v>
      </c>
      <c r="H161" s="15" t="s">
        <v>4406</v>
      </c>
      <c r="I161" s="33" t="s">
        <v>208</v>
      </c>
      <c r="J161" s="15"/>
      <c r="K161" s="15"/>
      <c r="L161" s="15" t="s">
        <v>220</v>
      </c>
      <c r="M161" s="15" t="s">
        <v>2155</v>
      </c>
      <c r="N161" s="15" t="s">
        <v>2156</v>
      </c>
      <c r="O161" s="15"/>
      <c r="P161" s="15" t="b">
        <v>0</v>
      </c>
      <c r="R161">
        <f t="shared" si="2"/>
        <v>1</v>
      </c>
    </row>
    <row r="162" spans="1:18" ht="15" customHeight="1">
      <c r="A162" s="15">
        <v>3833</v>
      </c>
      <c r="B162" s="15">
        <v>913</v>
      </c>
      <c r="C162" s="15">
        <v>0</v>
      </c>
      <c r="D162" s="15">
        <v>193</v>
      </c>
      <c r="E162" s="15" t="b">
        <v>0</v>
      </c>
      <c r="F162" s="15" t="b">
        <v>0</v>
      </c>
      <c r="G162" s="33" t="s">
        <v>206</v>
      </c>
      <c r="H162" s="15" t="s">
        <v>4406</v>
      </c>
      <c r="I162" s="33" t="s">
        <v>213</v>
      </c>
      <c r="J162" s="15"/>
      <c r="K162" s="15"/>
      <c r="L162" s="15" t="s">
        <v>220</v>
      </c>
      <c r="M162" s="15" t="s">
        <v>2157</v>
      </c>
      <c r="N162" s="15" t="s">
        <v>2158</v>
      </c>
      <c r="O162" s="15"/>
      <c r="P162" s="15" t="b">
        <v>0</v>
      </c>
      <c r="R162">
        <f t="shared" si="2"/>
        <v>1</v>
      </c>
    </row>
    <row r="163" spans="1:18" ht="15" customHeight="1">
      <c r="A163" s="15">
        <v>3834</v>
      </c>
      <c r="B163" s="15">
        <v>914</v>
      </c>
      <c r="C163" s="15">
        <v>0</v>
      </c>
      <c r="D163" s="15">
        <v>193</v>
      </c>
      <c r="E163" s="15" t="b">
        <v>0</v>
      </c>
      <c r="F163" s="15" t="b">
        <v>0</v>
      </c>
      <c r="G163" s="33" t="s">
        <v>206</v>
      </c>
      <c r="H163" s="15" t="s">
        <v>4406</v>
      </c>
      <c r="I163" s="33" t="s">
        <v>216</v>
      </c>
      <c r="J163" s="15"/>
      <c r="K163" s="15"/>
      <c r="L163" s="15" t="s">
        <v>220</v>
      </c>
      <c r="M163" s="15" t="s">
        <v>2159</v>
      </c>
      <c r="N163" s="15" t="s">
        <v>2160</v>
      </c>
      <c r="O163" s="15"/>
      <c r="P163" s="15" t="b">
        <v>0</v>
      </c>
      <c r="R163">
        <f t="shared" si="2"/>
        <v>1</v>
      </c>
    </row>
    <row r="164" spans="1:18" ht="15" customHeight="1">
      <c r="A164" s="15">
        <v>3835</v>
      </c>
      <c r="B164" s="15">
        <v>915</v>
      </c>
      <c r="C164" s="15">
        <v>0</v>
      </c>
      <c r="D164" s="15">
        <v>193</v>
      </c>
      <c r="E164" s="15" t="b">
        <v>1</v>
      </c>
      <c r="F164" s="15" t="b">
        <v>0</v>
      </c>
      <c r="G164" s="33" t="s">
        <v>206</v>
      </c>
      <c r="H164" s="15" t="s">
        <v>4407</v>
      </c>
      <c r="I164" s="33" t="s">
        <v>208</v>
      </c>
      <c r="J164" s="15"/>
      <c r="K164" s="15"/>
      <c r="L164" s="15" t="s">
        <v>220</v>
      </c>
      <c r="M164" s="15" t="s">
        <v>2162</v>
      </c>
      <c r="N164" s="15" t="s">
        <v>2163</v>
      </c>
      <c r="O164" s="15"/>
      <c r="P164" s="15" t="b">
        <v>0</v>
      </c>
      <c r="R164">
        <f t="shared" si="2"/>
        <v>1</v>
      </c>
    </row>
    <row r="165" spans="1:18" ht="15" customHeight="1">
      <c r="A165" s="15">
        <v>3836</v>
      </c>
      <c r="B165" s="15">
        <v>916</v>
      </c>
      <c r="C165" s="15">
        <v>0</v>
      </c>
      <c r="D165" s="15">
        <v>193</v>
      </c>
      <c r="E165" s="15" t="b">
        <v>1</v>
      </c>
      <c r="F165" s="15" t="b">
        <v>0</v>
      </c>
      <c r="G165" s="33" t="s">
        <v>206</v>
      </c>
      <c r="H165" s="15" t="s">
        <v>4407</v>
      </c>
      <c r="I165" s="33" t="s">
        <v>213</v>
      </c>
      <c r="J165" s="15"/>
      <c r="K165" s="15"/>
      <c r="L165" s="15" t="s">
        <v>220</v>
      </c>
      <c r="M165" s="15" t="s">
        <v>2164</v>
      </c>
      <c r="N165" s="15" t="s">
        <v>2165</v>
      </c>
      <c r="O165" s="15"/>
      <c r="P165" s="15" t="b">
        <v>0</v>
      </c>
      <c r="R165">
        <f t="shared" si="2"/>
        <v>1</v>
      </c>
    </row>
    <row r="166" spans="1:18" ht="15" customHeight="1">
      <c r="A166" s="15">
        <v>3837</v>
      </c>
      <c r="B166" s="15">
        <v>917</v>
      </c>
      <c r="C166" s="15">
        <v>0</v>
      </c>
      <c r="D166" s="15">
        <v>193</v>
      </c>
      <c r="E166" s="15" t="b">
        <v>1</v>
      </c>
      <c r="F166" s="15" t="b">
        <v>0</v>
      </c>
      <c r="G166" s="33" t="s">
        <v>206</v>
      </c>
      <c r="H166" s="15" t="s">
        <v>4407</v>
      </c>
      <c r="I166" s="33" t="s">
        <v>216</v>
      </c>
      <c r="J166" s="15"/>
      <c r="K166" s="15"/>
      <c r="L166" s="15" t="s">
        <v>220</v>
      </c>
      <c r="M166" s="15" t="s">
        <v>2166</v>
      </c>
      <c r="N166" s="15" t="s">
        <v>2167</v>
      </c>
      <c r="O166" s="15"/>
      <c r="P166" s="15" t="b">
        <v>0</v>
      </c>
      <c r="R166">
        <f t="shared" si="2"/>
        <v>1</v>
      </c>
    </row>
    <row r="167" spans="1:18" ht="15" customHeight="1">
      <c r="A167" s="15">
        <v>3838</v>
      </c>
      <c r="B167" s="15">
        <v>918</v>
      </c>
      <c r="C167" s="15">
        <v>0</v>
      </c>
      <c r="D167" s="15">
        <v>193</v>
      </c>
      <c r="E167" s="15" t="b">
        <v>0</v>
      </c>
      <c r="F167" s="15" t="b">
        <v>0</v>
      </c>
      <c r="G167" s="33" t="s">
        <v>206</v>
      </c>
      <c r="H167" s="15" t="s">
        <v>4408</v>
      </c>
      <c r="I167" s="33" t="s">
        <v>208</v>
      </c>
      <c r="J167" s="15"/>
      <c r="K167" s="15"/>
      <c r="L167" s="15" t="s">
        <v>220</v>
      </c>
      <c r="M167" s="15" t="s">
        <v>2169</v>
      </c>
      <c r="N167" s="15" t="s">
        <v>2170</v>
      </c>
      <c r="O167" s="15"/>
      <c r="P167" s="15" t="b">
        <v>0</v>
      </c>
      <c r="R167">
        <f t="shared" si="2"/>
        <v>1</v>
      </c>
    </row>
    <row r="168" spans="1:18" ht="15" customHeight="1">
      <c r="A168" s="15">
        <v>3839</v>
      </c>
      <c r="B168" s="15">
        <v>919</v>
      </c>
      <c r="C168" s="15">
        <v>0</v>
      </c>
      <c r="D168" s="15">
        <v>193</v>
      </c>
      <c r="E168" s="15" t="b">
        <v>0</v>
      </c>
      <c r="F168" s="15" t="b">
        <v>0</v>
      </c>
      <c r="G168" s="33" t="s">
        <v>206</v>
      </c>
      <c r="H168" s="15" t="s">
        <v>4408</v>
      </c>
      <c r="I168" s="33" t="s">
        <v>213</v>
      </c>
      <c r="J168" s="15"/>
      <c r="K168" s="15"/>
      <c r="L168" s="15" t="s">
        <v>220</v>
      </c>
      <c r="M168" s="15" t="s">
        <v>2171</v>
      </c>
      <c r="N168" s="15" t="s">
        <v>2172</v>
      </c>
      <c r="O168" s="15"/>
      <c r="P168" s="15" t="b">
        <v>0</v>
      </c>
      <c r="R168">
        <f t="shared" si="2"/>
        <v>1</v>
      </c>
    </row>
    <row r="169" spans="1:18" ht="15" customHeight="1">
      <c r="A169" s="15">
        <v>3840</v>
      </c>
      <c r="B169" s="15">
        <v>920</v>
      </c>
      <c r="C169" s="15">
        <v>0</v>
      </c>
      <c r="D169" s="15">
        <v>193</v>
      </c>
      <c r="E169" s="15" t="b">
        <v>0</v>
      </c>
      <c r="F169" s="15" t="b">
        <v>0</v>
      </c>
      <c r="G169" s="33" t="s">
        <v>206</v>
      </c>
      <c r="H169" s="15" t="s">
        <v>4408</v>
      </c>
      <c r="I169" s="33" t="s">
        <v>216</v>
      </c>
      <c r="J169" s="15"/>
      <c r="K169" s="15"/>
      <c r="L169" s="15" t="s">
        <v>220</v>
      </c>
      <c r="M169" s="15" t="s">
        <v>2173</v>
      </c>
      <c r="N169" s="15" t="s">
        <v>2174</v>
      </c>
      <c r="O169" s="15"/>
      <c r="P169" s="15" t="b">
        <v>0</v>
      </c>
      <c r="R169">
        <f t="shared" si="2"/>
        <v>1</v>
      </c>
    </row>
    <row r="170" spans="1:18" ht="15" customHeight="1">
      <c r="A170" s="15">
        <v>3841</v>
      </c>
      <c r="B170" s="15">
        <v>921</v>
      </c>
      <c r="C170" s="15">
        <v>0</v>
      </c>
      <c r="D170" s="15">
        <v>193</v>
      </c>
      <c r="E170" s="15" t="b">
        <v>1</v>
      </c>
      <c r="F170" s="15" t="b">
        <v>0</v>
      </c>
      <c r="G170" s="33" t="s">
        <v>206</v>
      </c>
      <c r="H170" s="15" t="s">
        <v>4409</v>
      </c>
      <c r="I170" s="33" t="s">
        <v>208</v>
      </c>
      <c r="J170" s="15"/>
      <c r="K170" s="15"/>
      <c r="L170" s="15" t="s">
        <v>220</v>
      </c>
      <c r="M170" s="15" t="s">
        <v>2176</v>
      </c>
      <c r="N170" s="15" t="s">
        <v>2177</v>
      </c>
      <c r="O170" s="15"/>
      <c r="P170" s="15" t="b">
        <v>0</v>
      </c>
      <c r="R170">
        <f t="shared" si="2"/>
        <v>1</v>
      </c>
    </row>
    <row r="171" spans="1:18" ht="15" customHeight="1">
      <c r="A171" s="15">
        <v>3842</v>
      </c>
      <c r="B171" s="15">
        <v>922</v>
      </c>
      <c r="C171" s="15">
        <v>0</v>
      </c>
      <c r="D171" s="15">
        <v>193</v>
      </c>
      <c r="E171" s="15" t="b">
        <v>1</v>
      </c>
      <c r="F171" s="15" t="b">
        <v>0</v>
      </c>
      <c r="G171" s="33" t="s">
        <v>206</v>
      </c>
      <c r="H171" s="15" t="s">
        <v>4409</v>
      </c>
      <c r="I171" s="33" t="s">
        <v>213</v>
      </c>
      <c r="J171" s="15"/>
      <c r="K171" s="15"/>
      <c r="L171" s="15" t="s">
        <v>220</v>
      </c>
      <c r="M171" s="15" t="s">
        <v>2178</v>
      </c>
      <c r="N171" s="15" t="s">
        <v>2179</v>
      </c>
      <c r="O171" s="15"/>
      <c r="P171" s="15" t="b">
        <v>0</v>
      </c>
      <c r="R171">
        <f t="shared" si="2"/>
        <v>1</v>
      </c>
    </row>
    <row r="172" spans="1:18" ht="15" customHeight="1">
      <c r="A172" s="15">
        <v>3843</v>
      </c>
      <c r="B172" s="15">
        <v>923</v>
      </c>
      <c r="C172" s="15">
        <v>0</v>
      </c>
      <c r="D172" s="15">
        <v>193</v>
      </c>
      <c r="E172" s="15" t="b">
        <v>1</v>
      </c>
      <c r="F172" s="15" t="b">
        <v>0</v>
      </c>
      <c r="G172" s="33" t="s">
        <v>206</v>
      </c>
      <c r="H172" s="15" t="s">
        <v>4409</v>
      </c>
      <c r="I172" s="33" t="s">
        <v>216</v>
      </c>
      <c r="J172" s="15"/>
      <c r="K172" s="15"/>
      <c r="L172" s="15" t="s">
        <v>220</v>
      </c>
      <c r="M172" s="15" t="s">
        <v>2180</v>
      </c>
      <c r="N172" s="15" t="s">
        <v>2181</v>
      </c>
      <c r="O172" s="15"/>
      <c r="P172" s="15" t="b">
        <v>0</v>
      </c>
      <c r="R172">
        <f t="shared" si="2"/>
        <v>1</v>
      </c>
    </row>
    <row r="173" spans="1:18" ht="15" customHeight="1">
      <c r="A173" s="15">
        <v>3844</v>
      </c>
      <c r="B173" s="15">
        <v>924</v>
      </c>
      <c r="C173" s="15">
        <v>0</v>
      </c>
      <c r="D173" s="15">
        <v>193</v>
      </c>
      <c r="E173" s="15" t="b">
        <v>0</v>
      </c>
      <c r="F173" s="15" t="b">
        <v>0</v>
      </c>
      <c r="G173" s="33" t="s">
        <v>206</v>
      </c>
      <c r="H173" s="15" t="s">
        <v>4410</v>
      </c>
      <c r="I173" s="33" t="s">
        <v>208</v>
      </c>
      <c r="J173" s="15"/>
      <c r="K173" s="15"/>
      <c r="L173" s="15" t="s">
        <v>220</v>
      </c>
      <c r="M173" s="15" t="s">
        <v>2183</v>
      </c>
      <c r="N173" s="15" t="s">
        <v>2184</v>
      </c>
      <c r="O173" s="15"/>
      <c r="P173" s="15" t="b">
        <v>0</v>
      </c>
      <c r="R173">
        <f t="shared" si="2"/>
        <v>1</v>
      </c>
    </row>
    <row r="174" spans="1:18" ht="15" customHeight="1">
      <c r="A174" s="15">
        <v>3845</v>
      </c>
      <c r="B174" s="15">
        <v>925</v>
      </c>
      <c r="C174" s="15">
        <v>0</v>
      </c>
      <c r="D174" s="15">
        <v>193</v>
      </c>
      <c r="E174" s="15" t="b">
        <v>0</v>
      </c>
      <c r="F174" s="15" t="b">
        <v>0</v>
      </c>
      <c r="G174" s="33" t="s">
        <v>206</v>
      </c>
      <c r="H174" s="15" t="s">
        <v>4410</v>
      </c>
      <c r="I174" s="33" t="s">
        <v>213</v>
      </c>
      <c r="J174" s="15"/>
      <c r="K174" s="15"/>
      <c r="L174" s="15" t="s">
        <v>220</v>
      </c>
      <c r="M174" s="15" t="s">
        <v>2185</v>
      </c>
      <c r="N174" s="15" t="s">
        <v>2186</v>
      </c>
      <c r="O174" s="15"/>
      <c r="P174" s="15" t="b">
        <v>0</v>
      </c>
      <c r="R174">
        <f t="shared" si="2"/>
        <v>1</v>
      </c>
    </row>
    <row r="175" spans="1:18" ht="15" customHeight="1">
      <c r="A175" s="15">
        <v>3846</v>
      </c>
      <c r="B175" s="15">
        <v>926</v>
      </c>
      <c r="C175" s="15">
        <v>0</v>
      </c>
      <c r="D175" s="15">
        <v>193</v>
      </c>
      <c r="E175" s="15" t="b">
        <v>0</v>
      </c>
      <c r="F175" s="15" t="b">
        <v>0</v>
      </c>
      <c r="G175" s="33" t="s">
        <v>206</v>
      </c>
      <c r="H175" s="15" t="s">
        <v>4410</v>
      </c>
      <c r="I175" s="33" t="s">
        <v>216</v>
      </c>
      <c r="J175" s="15"/>
      <c r="K175" s="15"/>
      <c r="L175" s="15" t="s">
        <v>220</v>
      </c>
      <c r="M175" s="15" t="s">
        <v>2187</v>
      </c>
      <c r="N175" s="15" t="s">
        <v>2188</v>
      </c>
      <c r="O175" s="15"/>
      <c r="P175" s="15" t="b">
        <v>0</v>
      </c>
      <c r="R175">
        <f t="shared" si="2"/>
        <v>1</v>
      </c>
    </row>
    <row r="176" spans="1:18" ht="15" customHeight="1">
      <c r="A176" s="15">
        <v>3847</v>
      </c>
      <c r="B176" s="15">
        <v>927</v>
      </c>
      <c r="C176" s="15">
        <v>0</v>
      </c>
      <c r="D176" s="15">
        <v>193</v>
      </c>
      <c r="E176" s="15" t="b">
        <v>0</v>
      </c>
      <c r="F176" s="15" t="b">
        <v>0</v>
      </c>
      <c r="G176" s="33" t="s">
        <v>206</v>
      </c>
      <c r="H176" s="15" t="s">
        <v>4411</v>
      </c>
      <c r="I176" s="33" t="s">
        <v>208</v>
      </c>
      <c r="J176" s="15"/>
      <c r="K176" s="15"/>
      <c r="L176" s="15" t="s">
        <v>220</v>
      </c>
      <c r="M176" s="15" t="s">
        <v>2190</v>
      </c>
      <c r="N176" s="15" t="s">
        <v>2191</v>
      </c>
      <c r="O176" s="15"/>
      <c r="P176" s="15" t="b">
        <v>0</v>
      </c>
      <c r="R176">
        <f t="shared" si="2"/>
        <v>1</v>
      </c>
    </row>
    <row r="177" spans="1:18" ht="15" customHeight="1">
      <c r="A177" s="15">
        <v>3848</v>
      </c>
      <c r="B177" s="15">
        <v>928</v>
      </c>
      <c r="C177" s="15">
        <v>0</v>
      </c>
      <c r="D177" s="15">
        <v>193</v>
      </c>
      <c r="E177" s="15" t="b">
        <v>0</v>
      </c>
      <c r="F177" s="15" t="b">
        <v>0</v>
      </c>
      <c r="G177" s="33" t="s">
        <v>206</v>
      </c>
      <c r="H177" s="15" t="s">
        <v>4411</v>
      </c>
      <c r="I177" s="33" t="s">
        <v>213</v>
      </c>
      <c r="J177" s="15"/>
      <c r="K177" s="15"/>
      <c r="L177" s="15" t="s">
        <v>220</v>
      </c>
      <c r="M177" s="15" t="s">
        <v>2192</v>
      </c>
      <c r="N177" s="15" t="s">
        <v>2193</v>
      </c>
      <c r="O177" s="15"/>
      <c r="P177" s="15" t="b">
        <v>0</v>
      </c>
      <c r="R177">
        <f t="shared" si="2"/>
        <v>1</v>
      </c>
    </row>
    <row r="178" spans="1:18" ht="15" customHeight="1">
      <c r="A178" s="15">
        <v>3849</v>
      </c>
      <c r="B178" s="15">
        <v>929</v>
      </c>
      <c r="C178" s="15">
        <v>0</v>
      </c>
      <c r="D178" s="15">
        <v>193</v>
      </c>
      <c r="E178" s="15" t="b">
        <v>0</v>
      </c>
      <c r="F178" s="15" t="b">
        <v>0</v>
      </c>
      <c r="G178" s="33" t="s">
        <v>206</v>
      </c>
      <c r="H178" s="15" t="s">
        <v>4411</v>
      </c>
      <c r="I178" s="33" t="s">
        <v>216</v>
      </c>
      <c r="J178" s="15"/>
      <c r="K178" s="15"/>
      <c r="L178" s="15" t="s">
        <v>220</v>
      </c>
      <c r="M178" s="15" t="s">
        <v>2194</v>
      </c>
      <c r="N178" s="15" t="s">
        <v>2195</v>
      </c>
      <c r="O178" s="15"/>
      <c r="P178" s="15" t="b">
        <v>0</v>
      </c>
      <c r="R178">
        <f t="shared" si="2"/>
        <v>1</v>
      </c>
    </row>
    <row r="179" spans="1:18" ht="15" customHeight="1">
      <c r="A179" s="15">
        <v>3850</v>
      </c>
      <c r="B179" s="15">
        <v>930</v>
      </c>
      <c r="C179" s="15">
        <v>0</v>
      </c>
      <c r="D179" s="15">
        <v>193</v>
      </c>
      <c r="E179" s="15" t="b">
        <v>1</v>
      </c>
      <c r="F179" s="15" t="b">
        <v>0</v>
      </c>
      <c r="G179" s="33" t="s">
        <v>206</v>
      </c>
      <c r="H179" s="15" t="s">
        <v>4412</v>
      </c>
      <c r="I179" s="33" t="s">
        <v>208</v>
      </c>
      <c r="J179" s="15"/>
      <c r="K179" s="15"/>
      <c r="L179" s="15" t="s">
        <v>220</v>
      </c>
      <c r="M179" s="15" t="s">
        <v>2197</v>
      </c>
      <c r="N179" s="15" t="s">
        <v>2198</v>
      </c>
      <c r="O179" s="15"/>
      <c r="P179" s="15" t="b">
        <v>0</v>
      </c>
      <c r="R179">
        <f t="shared" si="2"/>
        <v>1</v>
      </c>
    </row>
    <row r="180" spans="1:18" ht="15" customHeight="1">
      <c r="A180" s="15">
        <v>3851</v>
      </c>
      <c r="B180" s="15">
        <v>931</v>
      </c>
      <c r="C180" s="15">
        <v>0</v>
      </c>
      <c r="D180" s="15">
        <v>193</v>
      </c>
      <c r="E180" s="15" t="b">
        <v>1</v>
      </c>
      <c r="F180" s="15" t="b">
        <v>0</v>
      </c>
      <c r="G180" s="33" t="s">
        <v>206</v>
      </c>
      <c r="H180" s="15" t="s">
        <v>4412</v>
      </c>
      <c r="I180" s="33" t="s">
        <v>213</v>
      </c>
      <c r="J180" s="15"/>
      <c r="K180" s="15"/>
      <c r="L180" s="15" t="s">
        <v>220</v>
      </c>
      <c r="M180" s="15" t="s">
        <v>2199</v>
      </c>
      <c r="N180" s="15" t="s">
        <v>2200</v>
      </c>
      <c r="O180" s="15"/>
      <c r="P180" s="15" t="b">
        <v>0</v>
      </c>
      <c r="R180">
        <f t="shared" si="2"/>
        <v>1</v>
      </c>
    </row>
    <row r="181" spans="1:18" ht="15" customHeight="1">
      <c r="A181" s="15">
        <v>3852</v>
      </c>
      <c r="B181" s="15">
        <v>932</v>
      </c>
      <c r="C181" s="15">
        <v>0</v>
      </c>
      <c r="D181" s="15">
        <v>193</v>
      </c>
      <c r="E181" s="15" t="b">
        <v>1</v>
      </c>
      <c r="F181" s="15" t="b">
        <v>0</v>
      </c>
      <c r="G181" s="33" t="s">
        <v>206</v>
      </c>
      <c r="H181" s="15" t="s">
        <v>4412</v>
      </c>
      <c r="I181" s="33" t="s">
        <v>216</v>
      </c>
      <c r="J181" s="15"/>
      <c r="K181" s="15"/>
      <c r="L181" s="15" t="s">
        <v>220</v>
      </c>
      <c r="M181" s="15" t="s">
        <v>2201</v>
      </c>
      <c r="N181" s="15" t="s">
        <v>2202</v>
      </c>
      <c r="O181" s="15"/>
      <c r="P181" s="15" t="b">
        <v>0</v>
      </c>
      <c r="R181">
        <f t="shared" si="2"/>
        <v>1</v>
      </c>
    </row>
    <row r="182" spans="1:18" ht="15" customHeight="1">
      <c r="A182" s="15">
        <v>3853</v>
      </c>
      <c r="B182" s="15">
        <v>933</v>
      </c>
      <c r="C182" s="15">
        <v>0</v>
      </c>
      <c r="D182" s="15">
        <v>193</v>
      </c>
      <c r="E182" s="15" t="b">
        <v>0</v>
      </c>
      <c r="F182" s="15" t="b">
        <v>0</v>
      </c>
      <c r="G182" s="33" t="s">
        <v>206</v>
      </c>
      <c r="H182" s="15" t="s">
        <v>4413</v>
      </c>
      <c r="I182" s="33" t="s">
        <v>208</v>
      </c>
      <c r="J182" s="15"/>
      <c r="K182" s="15"/>
      <c r="L182" s="15" t="s">
        <v>220</v>
      </c>
      <c r="M182" s="15" t="s">
        <v>2204</v>
      </c>
      <c r="N182" s="15" t="s">
        <v>2205</v>
      </c>
      <c r="O182" s="15"/>
      <c r="P182" s="15" t="b">
        <v>0</v>
      </c>
      <c r="R182">
        <f t="shared" si="2"/>
        <v>1</v>
      </c>
    </row>
    <row r="183" spans="1:18" ht="15" customHeight="1">
      <c r="A183" s="15">
        <v>3854</v>
      </c>
      <c r="B183" s="15">
        <v>934</v>
      </c>
      <c r="C183" s="15">
        <v>0</v>
      </c>
      <c r="D183" s="15">
        <v>193</v>
      </c>
      <c r="E183" s="15" t="b">
        <v>0</v>
      </c>
      <c r="F183" s="15" t="b">
        <v>0</v>
      </c>
      <c r="G183" s="33" t="s">
        <v>206</v>
      </c>
      <c r="H183" s="15" t="s">
        <v>4413</v>
      </c>
      <c r="I183" s="33" t="s">
        <v>213</v>
      </c>
      <c r="J183" s="15"/>
      <c r="K183" s="15"/>
      <c r="L183" s="15" t="s">
        <v>220</v>
      </c>
      <c r="M183" s="15" t="s">
        <v>2206</v>
      </c>
      <c r="N183" s="15" t="s">
        <v>2207</v>
      </c>
      <c r="O183" s="15"/>
      <c r="P183" s="15" t="b">
        <v>0</v>
      </c>
      <c r="R183">
        <f t="shared" si="2"/>
        <v>1</v>
      </c>
    </row>
    <row r="184" spans="1:18" ht="15" customHeight="1">
      <c r="A184" s="15">
        <v>3855</v>
      </c>
      <c r="B184" s="15">
        <v>935</v>
      </c>
      <c r="C184" s="15">
        <v>0</v>
      </c>
      <c r="D184" s="15">
        <v>193</v>
      </c>
      <c r="E184" s="15" t="b">
        <v>0</v>
      </c>
      <c r="F184" s="15" t="b">
        <v>0</v>
      </c>
      <c r="G184" s="33" t="s">
        <v>206</v>
      </c>
      <c r="H184" s="15" t="s">
        <v>4413</v>
      </c>
      <c r="I184" s="33" t="s">
        <v>216</v>
      </c>
      <c r="J184" s="15"/>
      <c r="K184" s="15"/>
      <c r="L184" s="15" t="s">
        <v>220</v>
      </c>
      <c r="M184" s="15" t="s">
        <v>2208</v>
      </c>
      <c r="N184" s="15" t="s">
        <v>2209</v>
      </c>
      <c r="O184" s="15"/>
      <c r="P184" s="15" t="b">
        <v>0</v>
      </c>
      <c r="R184">
        <f t="shared" si="2"/>
        <v>1</v>
      </c>
    </row>
    <row r="185" spans="1:18" ht="15" customHeight="1">
      <c r="A185" s="15">
        <v>3856</v>
      </c>
      <c r="B185" s="15">
        <v>936</v>
      </c>
      <c r="C185" s="15">
        <v>0</v>
      </c>
      <c r="D185" s="15">
        <v>193</v>
      </c>
      <c r="E185" s="15" t="b">
        <v>0</v>
      </c>
      <c r="F185" s="15" t="b">
        <v>0</v>
      </c>
      <c r="G185" s="33" t="s">
        <v>206</v>
      </c>
      <c r="H185" s="15" t="s">
        <v>4414</v>
      </c>
      <c r="I185" s="33" t="s">
        <v>208</v>
      </c>
      <c r="J185" s="15"/>
      <c r="K185" s="15"/>
      <c r="L185" s="15" t="s">
        <v>220</v>
      </c>
      <c r="M185" s="15" t="s">
        <v>2211</v>
      </c>
      <c r="N185" s="15" t="s">
        <v>2212</v>
      </c>
      <c r="O185" s="15"/>
      <c r="P185" s="15" t="b">
        <v>0</v>
      </c>
      <c r="R185">
        <f t="shared" si="2"/>
        <v>1</v>
      </c>
    </row>
    <row r="186" spans="1:18" ht="15" customHeight="1">
      <c r="A186" s="15">
        <v>3857</v>
      </c>
      <c r="B186" s="15">
        <v>937</v>
      </c>
      <c r="C186" s="15">
        <v>0</v>
      </c>
      <c r="D186" s="15">
        <v>193</v>
      </c>
      <c r="E186" s="15" t="b">
        <v>0</v>
      </c>
      <c r="F186" s="15" t="b">
        <v>0</v>
      </c>
      <c r="G186" s="33" t="s">
        <v>206</v>
      </c>
      <c r="H186" s="15" t="s">
        <v>4414</v>
      </c>
      <c r="I186" s="33" t="s">
        <v>213</v>
      </c>
      <c r="J186" s="15"/>
      <c r="K186" s="15"/>
      <c r="L186" s="15" t="s">
        <v>220</v>
      </c>
      <c r="M186" s="15" t="s">
        <v>2213</v>
      </c>
      <c r="N186" s="15" t="s">
        <v>2214</v>
      </c>
      <c r="O186" s="15"/>
      <c r="P186" s="15" t="b">
        <v>0</v>
      </c>
      <c r="R186">
        <f t="shared" si="2"/>
        <v>1</v>
      </c>
    </row>
    <row r="187" spans="1:18" ht="15" customHeight="1">
      <c r="A187" s="15">
        <v>3858</v>
      </c>
      <c r="B187" s="15">
        <v>938</v>
      </c>
      <c r="C187" s="15">
        <v>0</v>
      </c>
      <c r="D187" s="15">
        <v>193</v>
      </c>
      <c r="E187" s="15" t="b">
        <v>0</v>
      </c>
      <c r="F187" s="15" t="b">
        <v>0</v>
      </c>
      <c r="G187" s="33" t="s">
        <v>206</v>
      </c>
      <c r="H187" s="15" t="s">
        <v>4414</v>
      </c>
      <c r="I187" s="33" t="s">
        <v>216</v>
      </c>
      <c r="J187" s="15"/>
      <c r="K187" s="15"/>
      <c r="L187" s="15" t="s">
        <v>220</v>
      </c>
      <c r="M187" s="15" t="s">
        <v>2215</v>
      </c>
      <c r="N187" s="15" t="s">
        <v>2216</v>
      </c>
      <c r="O187" s="15"/>
      <c r="P187" s="15" t="b">
        <v>0</v>
      </c>
      <c r="R187">
        <f t="shared" si="2"/>
        <v>1</v>
      </c>
    </row>
    <row r="188" spans="1:18" ht="15" customHeight="1">
      <c r="A188" s="15">
        <v>3859</v>
      </c>
      <c r="B188" s="15">
        <v>939</v>
      </c>
      <c r="C188" s="15">
        <v>0</v>
      </c>
      <c r="D188" s="15">
        <v>193</v>
      </c>
      <c r="E188" s="15" t="b">
        <v>1</v>
      </c>
      <c r="F188" s="15" t="b">
        <v>0</v>
      </c>
      <c r="G188" s="33" t="s">
        <v>206</v>
      </c>
      <c r="H188" s="15" t="s">
        <v>4415</v>
      </c>
      <c r="I188" s="33" t="s">
        <v>208</v>
      </c>
      <c r="J188" s="15"/>
      <c r="K188" s="15"/>
      <c r="L188" s="15" t="s">
        <v>220</v>
      </c>
      <c r="M188" s="15" t="s">
        <v>2218</v>
      </c>
      <c r="N188" s="15" t="s">
        <v>2219</v>
      </c>
      <c r="O188" s="15"/>
      <c r="P188" s="15" t="b">
        <v>0</v>
      </c>
      <c r="R188">
        <f t="shared" si="2"/>
        <v>1</v>
      </c>
    </row>
    <row r="189" spans="1:18" ht="15" customHeight="1">
      <c r="A189" s="15">
        <v>3860</v>
      </c>
      <c r="B189" s="15">
        <v>940</v>
      </c>
      <c r="C189" s="15">
        <v>0</v>
      </c>
      <c r="D189" s="15">
        <v>193</v>
      </c>
      <c r="E189" s="15" t="b">
        <v>1</v>
      </c>
      <c r="F189" s="15" t="b">
        <v>0</v>
      </c>
      <c r="G189" s="33" t="s">
        <v>206</v>
      </c>
      <c r="H189" s="15" t="s">
        <v>4415</v>
      </c>
      <c r="I189" s="33" t="s">
        <v>213</v>
      </c>
      <c r="J189" s="15"/>
      <c r="K189" s="15"/>
      <c r="L189" s="15" t="s">
        <v>220</v>
      </c>
      <c r="M189" s="15" t="s">
        <v>2220</v>
      </c>
      <c r="N189" s="15" t="s">
        <v>2221</v>
      </c>
      <c r="O189" s="15"/>
      <c r="P189" s="15" t="b">
        <v>0</v>
      </c>
      <c r="R189">
        <f t="shared" si="2"/>
        <v>1</v>
      </c>
    </row>
    <row r="190" spans="1:18" ht="15" customHeight="1">
      <c r="A190" s="15">
        <v>3861</v>
      </c>
      <c r="B190" s="15">
        <v>941</v>
      </c>
      <c r="C190" s="15">
        <v>0</v>
      </c>
      <c r="D190" s="15">
        <v>193</v>
      </c>
      <c r="E190" s="15" t="b">
        <v>1</v>
      </c>
      <c r="F190" s="15" t="b">
        <v>0</v>
      </c>
      <c r="G190" s="33" t="s">
        <v>206</v>
      </c>
      <c r="H190" s="15" t="s">
        <v>4415</v>
      </c>
      <c r="I190" s="33" t="s">
        <v>216</v>
      </c>
      <c r="J190" s="15"/>
      <c r="K190" s="15"/>
      <c r="L190" s="15" t="s">
        <v>220</v>
      </c>
      <c r="M190" s="15" t="s">
        <v>2222</v>
      </c>
      <c r="N190" s="15" t="s">
        <v>2223</v>
      </c>
      <c r="O190" s="15"/>
      <c r="P190" s="15" t="b">
        <v>0</v>
      </c>
      <c r="R190">
        <f t="shared" si="2"/>
        <v>1</v>
      </c>
    </row>
    <row r="191" spans="1:18" ht="15" customHeight="1">
      <c r="A191" s="15">
        <v>3862</v>
      </c>
      <c r="B191" s="15">
        <v>942</v>
      </c>
      <c r="C191" s="15">
        <v>0</v>
      </c>
      <c r="D191" s="15">
        <v>193</v>
      </c>
      <c r="E191" s="15" t="b">
        <v>0</v>
      </c>
      <c r="F191" s="15" t="b">
        <v>0</v>
      </c>
      <c r="G191" s="33" t="s">
        <v>206</v>
      </c>
      <c r="H191" s="15" t="s">
        <v>4416</v>
      </c>
      <c r="I191" s="33" t="s">
        <v>208</v>
      </c>
      <c r="J191" s="15"/>
      <c r="K191" s="15"/>
      <c r="L191" s="15" t="s">
        <v>220</v>
      </c>
      <c r="M191" s="15" t="s">
        <v>2225</v>
      </c>
      <c r="N191" s="15" t="s">
        <v>2226</v>
      </c>
      <c r="O191" s="15"/>
      <c r="P191" s="15" t="b">
        <v>0</v>
      </c>
      <c r="R191">
        <f t="shared" si="2"/>
        <v>1</v>
      </c>
    </row>
    <row r="192" spans="1:18" ht="15" customHeight="1">
      <c r="A192" s="15">
        <v>3863</v>
      </c>
      <c r="B192" s="15">
        <v>943</v>
      </c>
      <c r="C192" s="15">
        <v>0</v>
      </c>
      <c r="D192" s="15">
        <v>193</v>
      </c>
      <c r="E192" s="15" t="b">
        <v>0</v>
      </c>
      <c r="F192" s="15" t="b">
        <v>0</v>
      </c>
      <c r="G192" s="33" t="s">
        <v>206</v>
      </c>
      <c r="H192" s="15" t="s">
        <v>4416</v>
      </c>
      <c r="I192" s="33" t="s">
        <v>213</v>
      </c>
      <c r="J192" s="15"/>
      <c r="K192" s="15"/>
      <c r="L192" s="15" t="s">
        <v>220</v>
      </c>
      <c r="M192" s="15" t="s">
        <v>2227</v>
      </c>
      <c r="N192" s="15" t="s">
        <v>2228</v>
      </c>
      <c r="O192" s="15"/>
      <c r="P192" s="15" t="b">
        <v>0</v>
      </c>
      <c r="R192">
        <f t="shared" si="2"/>
        <v>1</v>
      </c>
    </row>
    <row r="193" spans="1:18" ht="15" customHeight="1">
      <c r="A193" s="15">
        <v>3864</v>
      </c>
      <c r="B193" s="15">
        <v>944</v>
      </c>
      <c r="C193" s="15">
        <v>0</v>
      </c>
      <c r="D193" s="15">
        <v>193</v>
      </c>
      <c r="E193" s="15" t="b">
        <v>0</v>
      </c>
      <c r="F193" s="15" t="b">
        <v>0</v>
      </c>
      <c r="G193" s="33" t="s">
        <v>206</v>
      </c>
      <c r="H193" s="15" t="s">
        <v>4416</v>
      </c>
      <c r="I193" s="33" t="s">
        <v>216</v>
      </c>
      <c r="J193" s="15"/>
      <c r="K193" s="15"/>
      <c r="L193" s="15" t="s">
        <v>220</v>
      </c>
      <c r="M193" s="15" t="s">
        <v>2229</v>
      </c>
      <c r="N193" s="15" t="s">
        <v>2230</v>
      </c>
      <c r="O193" s="15"/>
      <c r="P193" s="15" t="b">
        <v>0</v>
      </c>
      <c r="R193">
        <f t="shared" si="2"/>
        <v>1</v>
      </c>
    </row>
    <row r="194" spans="1:18" ht="15" customHeight="1">
      <c r="A194" s="15">
        <v>3865</v>
      </c>
      <c r="B194" s="15">
        <v>945</v>
      </c>
      <c r="C194" s="15">
        <v>0</v>
      </c>
      <c r="D194" s="15">
        <v>193</v>
      </c>
      <c r="E194" s="15" t="b">
        <v>1</v>
      </c>
      <c r="F194" s="15" t="b">
        <v>0</v>
      </c>
      <c r="G194" s="33" t="s">
        <v>206</v>
      </c>
      <c r="H194" s="15" t="s">
        <v>4417</v>
      </c>
      <c r="I194" s="33" t="s">
        <v>208</v>
      </c>
      <c r="J194" s="15"/>
      <c r="K194" s="15"/>
      <c r="L194" s="15" t="s">
        <v>220</v>
      </c>
      <c r="M194" s="15" t="s">
        <v>2232</v>
      </c>
      <c r="N194" s="15" t="s">
        <v>2233</v>
      </c>
      <c r="O194" s="15"/>
      <c r="P194" s="15" t="b">
        <v>0</v>
      </c>
      <c r="R194">
        <f t="shared" si="2"/>
        <v>1</v>
      </c>
    </row>
    <row r="195" spans="1:18" ht="15" customHeight="1">
      <c r="A195" s="15">
        <v>3866</v>
      </c>
      <c r="B195" s="15">
        <v>946</v>
      </c>
      <c r="C195" s="15">
        <v>0</v>
      </c>
      <c r="D195" s="15">
        <v>193</v>
      </c>
      <c r="E195" s="15" t="b">
        <v>1</v>
      </c>
      <c r="F195" s="15" t="b">
        <v>0</v>
      </c>
      <c r="G195" s="33" t="s">
        <v>206</v>
      </c>
      <c r="H195" s="15" t="s">
        <v>4417</v>
      </c>
      <c r="I195" s="33" t="s">
        <v>213</v>
      </c>
      <c r="J195" s="15"/>
      <c r="K195" s="15"/>
      <c r="L195" s="15" t="s">
        <v>220</v>
      </c>
      <c r="M195" s="15" t="s">
        <v>2234</v>
      </c>
      <c r="N195" s="15" t="s">
        <v>2235</v>
      </c>
      <c r="O195" s="15"/>
      <c r="P195" s="15" t="b">
        <v>0</v>
      </c>
      <c r="R195">
        <f t="shared" ref="R195:R258" si="3">IF(D195=193,1,0)</f>
        <v>1</v>
      </c>
    </row>
    <row r="196" spans="1:18" ht="15" customHeight="1">
      <c r="A196" s="15">
        <v>3867</v>
      </c>
      <c r="B196" s="15">
        <v>947</v>
      </c>
      <c r="C196" s="15">
        <v>0</v>
      </c>
      <c r="D196" s="15">
        <v>193</v>
      </c>
      <c r="E196" s="15" t="b">
        <v>1</v>
      </c>
      <c r="F196" s="15" t="b">
        <v>0</v>
      </c>
      <c r="G196" s="33" t="s">
        <v>206</v>
      </c>
      <c r="H196" s="15" t="s">
        <v>4417</v>
      </c>
      <c r="I196" s="33" t="s">
        <v>216</v>
      </c>
      <c r="J196" s="15"/>
      <c r="K196" s="15"/>
      <c r="L196" s="15" t="s">
        <v>220</v>
      </c>
      <c r="M196" s="15" t="s">
        <v>2236</v>
      </c>
      <c r="N196" s="15" t="s">
        <v>2237</v>
      </c>
      <c r="O196" s="15"/>
      <c r="P196" s="15" t="b">
        <v>0</v>
      </c>
      <c r="R196">
        <f t="shared" si="3"/>
        <v>1</v>
      </c>
    </row>
    <row r="197" spans="1:18" ht="15" customHeight="1">
      <c r="A197" s="15">
        <v>3868</v>
      </c>
      <c r="B197" s="15">
        <v>948</v>
      </c>
      <c r="C197" s="15">
        <v>0</v>
      </c>
      <c r="D197" s="15">
        <v>193</v>
      </c>
      <c r="E197" s="15" t="b">
        <v>0</v>
      </c>
      <c r="F197" s="15" t="b">
        <v>0</v>
      </c>
      <c r="G197" s="33" t="s">
        <v>206</v>
      </c>
      <c r="H197" s="15" t="s">
        <v>4418</v>
      </c>
      <c r="I197" s="33" t="s">
        <v>208</v>
      </c>
      <c r="J197" s="15"/>
      <c r="K197" s="15"/>
      <c r="L197" s="15" t="s">
        <v>220</v>
      </c>
      <c r="M197" s="15" t="s">
        <v>2239</v>
      </c>
      <c r="N197" s="15" t="s">
        <v>2240</v>
      </c>
      <c r="O197" s="15"/>
      <c r="P197" s="15" t="b">
        <v>0</v>
      </c>
      <c r="R197">
        <f t="shared" si="3"/>
        <v>1</v>
      </c>
    </row>
    <row r="198" spans="1:18" ht="15" customHeight="1">
      <c r="A198" s="15">
        <v>3869</v>
      </c>
      <c r="B198" s="15">
        <v>949</v>
      </c>
      <c r="C198" s="15">
        <v>0</v>
      </c>
      <c r="D198" s="15">
        <v>193</v>
      </c>
      <c r="E198" s="15" t="b">
        <v>0</v>
      </c>
      <c r="F198" s="15" t="b">
        <v>0</v>
      </c>
      <c r="G198" s="33" t="s">
        <v>206</v>
      </c>
      <c r="H198" s="15" t="s">
        <v>4418</v>
      </c>
      <c r="I198" s="33" t="s">
        <v>213</v>
      </c>
      <c r="J198" s="15"/>
      <c r="K198" s="15"/>
      <c r="L198" s="15" t="s">
        <v>220</v>
      </c>
      <c r="M198" s="15" t="s">
        <v>2241</v>
      </c>
      <c r="N198" s="15" t="s">
        <v>2242</v>
      </c>
      <c r="O198" s="15"/>
      <c r="P198" s="15" t="b">
        <v>0</v>
      </c>
      <c r="R198">
        <f t="shared" si="3"/>
        <v>1</v>
      </c>
    </row>
    <row r="199" spans="1:18" ht="15" customHeight="1">
      <c r="A199" s="15">
        <v>3870</v>
      </c>
      <c r="B199" s="15">
        <v>950</v>
      </c>
      <c r="C199" s="15">
        <v>0</v>
      </c>
      <c r="D199" s="15">
        <v>193</v>
      </c>
      <c r="E199" s="15" t="b">
        <v>0</v>
      </c>
      <c r="F199" s="15" t="b">
        <v>0</v>
      </c>
      <c r="G199" s="33" t="s">
        <v>206</v>
      </c>
      <c r="H199" s="15" t="s">
        <v>4418</v>
      </c>
      <c r="I199" s="33" t="s">
        <v>216</v>
      </c>
      <c r="J199" s="15"/>
      <c r="K199" s="15"/>
      <c r="L199" s="15" t="s">
        <v>220</v>
      </c>
      <c r="M199" s="15" t="s">
        <v>2243</v>
      </c>
      <c r="N199" s="15" t="s">
        <v>2244</v>
      </c>
      <c r="O199" s="15"/>
      <c r="P199" s="15" t="b">
        <v>0</v>
      </c>
      <c r="R199">
        <f t="shared" si="3"/>
        <v>1</v>
      </c>
    </row>
    <row r="200" spans="1:18" ht="15" customHeight="1">
      <c r="A200" s="15">
        <v>3871</v>
      </c>
      <c r="B200" s="15">
        <v>951</v>
      </c>
      <c r="C200" s="15">
        <v>0</v>
      </c>
      <c r="D200" s="15">
        <v>193</v>
      </c>
      <c r="E200" s="15" t="b">
        <v>0</v>
      </c>
      <c r="F200" s="15" t="b">
        <v>0</v>
      </c>
      <c r="G200" s="33" t="s">
        <v>206</v>
      </c>
      <c r="H200" s="15" t="s">
        <v>4419</v>
      </c>
      <c r="I200" s="33" t="s">
        <v>208</v>
      </c>
      <c r="J200" s="15"/>
      <c r="K200" s="15"/>
      <c r="L200" s="15" t="s">
        <v>220</v>
      </c>
      <c r="M200" s="15" t="s">
        <v>2246</v>
      </c>
      <c r="N200" s="15" t="s">
        <v>2247</v>
      </c>
      <c r="O200" s="15"/>
      <c r="P200" s="15" t="b">
        <v>0</v>
      </c>
      <c r="R200">
        <f t="shared" si="3"/>
        <v>1</v>
      </c>
    </row>
    <row r="201" spans="1:18" ht="15" customHeight="1">
      <c r="A201" s="15">
        <v>3872</v>
      </c>
      <c r="B201" s="15">
        <v>952</v>
      </c>
      <c r="C201" s="15">
        <v>0</v>
      </c>
      <c r="D201" s="15">
        <v>193</v>
      </c>
      <c r="E201" s="15" t="b">
        <v>0</v>
      </c>
      <c r="F201" s="15" t="b">
        <v>0</v>
      </c>
      <c r="G201" s="33" t="s">
        <v>206</v>
      </c>
      <c r="H201" s="15" t="s">
        <v>4419</v>
      </c>
      <c r="I201" s="33" t="s">
        <v>213</v>
      </c>
      <c r="J201" s="15"/>
      <c r="K201" s="15"/>
      <c r="L201" s="15" t="s">
        <v>220</v>
      </c>
      <c r="M201" s="15" t="s">
        <v>2248</v>
      </c>
      <c r="N201" s="15" t="s">
        <v>2249</v>
      </c>
      <c r="O201" s="15"/>
      <c r="P201" s="15" t="b">
        <v>0</v>
      </c>
      <c r="R201">
        <f t="shared" si="3"/>
        <v>1</v>
      </c>
    </row>
    <row r="202" spans="1:18" ht="15" customHeight="1">
      <c r="A202" s="15">
        <v>3873</v>
      </c>
      <c r="B202" s="15">
        <v>953</v>
      </c>
      <c r="C202" s="15">
        <v>0</v>
      </c>
      <c r="D202" s="15">
        <v>193</v>
      </c>
      <c r="E202" s="15" t="b">
        <v>0</v>
      </c>
      <c r="F202" s="15" t="b">
        <v>0</v>
      </c>
      <c r="G202" s="33" t="s">
        <v>206</v>
      </c>
      <c r="H202" s="15" t="s">
        <v>4419</v>
      </c>
      <c r="I202" s="33" t="s">
        <v>216</v>
      </c>
      <c r="J202" s="15"/>
      <c r="K202" s="15"/>
      <c r="L202" s="15" t="s">
        <v>220</v>
      </c>
      <c r="M202" s="15" t="s">
        <v>2250</v>
      </c>
      <c r="N202" s="15" t="s">
        <v>2251</v>
      </c>
      <c r="O202" s="15"/>
      <c r="P202" s="15" t="b">
        <v>0</v>
      </c>
      <c r="R202">
        <f t="shared" si="3"/>
        <v>1</v>
      </c>
    </row>
    <row r="203" spans="1:18" ht="15" customHeight="1">
      <c r="A203" s="15">
        <v>3874</v>
      </c>
      <c r="B203" s="15">
        <v>954</v>
      </c>
      <c r="C203" s="15">
        <v>0</v>
      </c>
      <c r="D203" s="15">
        <v>193</v>
      </c>
      <c r="E203" s="15" t="b">
        <v>1</v>
      </c>
      <c r="F203" s="15" t="b">
        <v>0</v>
      </c>
      <c r="G203" s="33" t="s">
        <v>206</v>
      </c>
      <c r="H203" s="15" t="s">
        <v>4420</v>
      </c>
      <c r="I203" s="33" t="s">
        <v>208</v>
      </c>
      <c r="J203" s="15"/>
      <c r="K203" s="15"/>
      <c r="L203" s="15" t="s">
        <v>220</v>
      </c>
      <c r="M203" s="15" t="s">
        <v>2253</v>
      </c>
      <c r="N203" s="15" t="s">
        <v>2254</v>
      </c>
      <c r="O203" s="15"/>
      <c r="P203" s="15" t="b">
        <v>0</v>
      </c>
      <c r="R203">
        <f t="shared" si="3"/>
        <v>1</v>
      </c>
    </row>
    <row r="204" spans="1:18" ht="15" customHeight="1">
      <c r="A204" s="15">
        <v>3875</v>
      </c>
      <c r="B204" s="15">
        <v>955</v>
      </c>
      <c r="C204" s="15">
        <v>0</v>
      </c>
      <c r="D204" s="15">
        <v>193</v>
      </c>
      <c r="E204" s="15" t="b">
        <v>1</v>
      </c>
      <c r="F204" s="15" t="b">
        <v>0</v>
      </c>
      <c r="G204" s="33" t="s">
        <v>206</v>
      </c>
      <c r="H204" s="15" t="s">
        <v>4420</v>
      </c>
      <c r="I204" s="33" t="s">
        <v>213</v>
      </c>
      <c r="J204" s="15"/>
      <c r="K204" s="15"/>
      <c r="L204" s="15" t="s">
        <v>220</v>
      </c>
      <c r="M204" s="15" t="s">
        <v>2255</v>
      </c>
      <c r="N204" s="15" t="s">
        <v>2256</v>
      </c>
      <c r="O204" s="15"/>
      <c r="P204" s="15" t="b">
        <v>0</v>
      </c>
      <c r="R204">
        <f t="shared" si="3"/>
        <v>1</v>
      </c>
    </row>
    <row r="205" spans="1:18" ht="15" customHeight="1">
      <c r="A205" s="15">
        <v>3876</v>
      </c>
      <c r="B205" s="15">
        <v>956</v>
      </c>
      <c r="C205" s="15">
        <v>0</v>
      </c>
      <c r="D205" s="15">
        <v>193</v>
      </c>
      <c r="E205" s="15" t="b">
        <v>1</v>
      </c>
      <c r="F205" s="15" t="b">
        <v>0</v>
      </c>
      <c r="G205" s="33" t="s">
        <v>206</v>
      </c>
      <c r="H205" s="15" t="s">
        <v>4420</v>
      </c>
      <c r="I205" s="33" t="s">
        <v>216</v>
      </c>
      <c r="J205" s="15"/>
      <c r="K205" s="15"/>
      <c r="L205" s="15" t="s">
        <v>220</v>
      </c>
      <c r="M205" s="15" t="s">
        <v>2257</v>
      </c>
      <c r="N205" s="15" t="s">
        <v>2258</v>
      </c>
      <c r="O205" s="15"/>
      <c r="P205" s="15" t="b">
        <v>0</v>
      </c>
      <c r="R205">
        <f t="shared" si="3"/>
        <v>1</v>
      </c>
    </row>
    <row r="206" spans="1:18" ht="15" customHeight="1">
      <c r="A206" s="15">
        <v>3877</v>
      </c>
      <c r="B206" s="15">
        <v>957</v>
      </c>
      <c r="C206" s="15">
        <v>0</v>
      </c>
      <c r="D206" s="15">
        <v>193</v>
      </c>
      <c r="E206" s="15" t="b">
        <v>0</v>
      </c>
      <c r="F206" s="15" t="b">
        <v>0</v>
      </c>
      <c r="G206" s="33" t="s">
        <v>206</v>
      </c>
      <c r="H206" s="15" t="s">
        <v>4421</v>
      </c>
      <c r="I206" s="33" t="s">
        <v>208</v>
      </c>
      <c r="J206" s="15"/>
      <c r="K206" s="15"/>
      <c r="L206" s="15" t="s">
        <v>220</v>
      </c>
      <c r="M206" s="15" t="s">
        <v>2260</v>
      </c>
      <c r="N206" s="15" t="s">
        <v>2261</v>
      </c>
      <c r="O206" s="15"/>
      <c r="P206" s="15" t="b">
        <v>0</v>
      </c>
      <c r="R206">
        <f t="shared" si="3"/>
        <v>1</v>
      </c>
    </row>
    <row r="207" spans="1:18" ht="15" customHeight="1">
      <c r="A207" s="15">
        <v>3878</v>
      </c>
      <c r="B207" s="15">
        <v>958</v>
      </c>
      <c r="C207" s="15">
        <v>0</v>
      </c>
      <c r="D207" s="15">
        <v>193</v>
      </c>
      <c r="E207" s="15" t="b">
        <v>0</v>
      </c>
      <c r="F207" s="15" t="b">
        <v>0</v>
      </c>
      <c r="G207" s="33" t="s">
        <v>206</v>
      </c>
      <c r="H207" s="15" t="s">
        <v>4421</v>
      </c>
      <c r="I207" s="33" t="s">
        <v>213</v>
      </c>
      <c r="J207" s="15"/>
      <c r="K207" s="15"/>
      <c r="L207" s="15" t="s">
        <v>220</v>
      </c>
      <c r="M207" s="15" t="s">
        <v>2262</v>
      </c>
      <c r="N207" s="15" t="s">
        <v>2263</v>
      </c>
      <c r="O207" s="15"/>
      <c r="P207" s="15" t="b">
        <v>0</v>
      </c>
      <c r="R207">
        <f t="shared" si="3"/>
        <v>1</v>
      </c>
    </row>
    <row r="208" spans="1:18" ht="15" customHeight="1">
      <c r="A208" s="15">
        <v>3879</v>
      </c>
      <c r="B208" s="15">
        <v>959</v>
      </c>
      <c r="C208" s="15">
        <v>0</v>
      </c>
      <c r="D208" s="15">
        <v>193</v>
      </c>
      <c r="E208" s="15" t="b">
        <v>0</v>
      </c>
      <c r="F208" s="15" t="b">
        <v>0</v>
      </c>
      <c r="G208" s="33" t="s">
        <v>206</v>
      </c>
      <c r="H208" s="15" t="s">
        <v>4421</v>
      </c>
      <c r="I208" s="33" t="s">
        <v>216</v>
      </c>
      <c r="J208" s="15"/>
      <c r="K208" s="15"/>
      <c r="L208" s="15" t="s">
        <v>220</v>
      </c>
      <c r="M208" s="15" t="s">
        <v>2264</v>
      </c>
      <c r="N208" s="15" t="s">
        <v>2265</v>
      </c>
      <c r="O208" s="15"/>
      <c r="P208" s="15" t="b">
        <v>0</v>
      </c>
      <c r="R208">
        <f t="shared" si="3"/>
        <v>1</v>
      </c>
    </row>
    <row r="209" spans="1:18" ht="15" customHeight="1">
      <c r="A209" s="15">
        <v>3880</v>
      </c>
      <c r="B209" s="15">
        <v>960</v>
      </c>
      <c r="C209" s="15">
        <v>0</v>
      </c>
      <c r="D209" s="15">
        <v>193</v>
      </c>
      <c r="E209" s="15" t="b">
        <v>0</v>
      </c>
      <c r="F209" s="15" t="b">
        <v>0</v>
      </c>
      <c r="G209" s="33" t="s">
        <v>206</v>
      </c>
      <c r="H209" s="15" t="s">
        <v>4422</v>
      </c>
      <c r="I209" s="33" t="s">
        <v>208</v>
      </c>
      <c r="J209" s="15"/>
      <c r="K209" s="15"/>
      <c r="L209" s="15" t="s">
        <v>220</v>
      </c>
      <c r="M209" s="15" t="s">
        <v>2267</v>
      </c>
      <c r="N209" s="15" t="s">
        <v>2268</v>
      </c>
      <c r="O209" s="15"/>
      <c r="P209" s="15" t="b">
        <v>0</v>
      </c>
      <c r="R209">
        <f t="shared" si="3"/>
        <v>1</v>
      </c>
    </row>
    <row r="210" spans="1:18" ht="15" customHeight="1">
      <c r="A210" s="15">
        <v>3881</v>
      </c>
      <c r="B210" s="15">
        <v>961</v>
      </c>
      <c r="C210" s="15">
        <v>0</v>
      </c>
      <c r="D210" s="15">
        <v>193</v>
      </c>
      <c r="E210" s="15" t="b">
        <v>0</v>
      </c>
      <c r="F210" s="15" t="b">
        <v>0</v>
      </c>
      <c r="G210" s="33" t="s">
        <v>206</v>
      </c>
      <c r="H210" s="15" t="s">
        <v>4422</v>
      </c>
      <c r="I210" s="33" t="s">
        <v>213</v>
      </c>
      <c r="J210" s="15"/>
      <c r="K210" s="15"/>
      <c r="L210" s="15" t="s">
        <v>220</v>
      </c>
      <c r="M210" s="15" t="s">
        <v>2269</v>
      </c>
      <c r="N210" s="15" t="s">
        <v>2270</v>
      </c>
      <c r="O210" s="15"/>
      <c r="P210" s="15" t="b">
        <v>0</v>
      </c>
      <c r="R210">
        <f t="shared" si="3"/>
        <v>1</v>
      </c>
    </row>
    <row r="211" spans="1:18" ht="15" customHeight="1">
      <c r="A211" s="15">
        <v>3882</v>
      </c>
      <c r="B211" s="15">
        <v>962</v>
      </c>
      <c r="C211" s="15">
        <v>0</v>
      </c>
      <c r="D211" s="15">
        <v>193</v>
      </c>
      <c r="E211" s="15" t="b">
        <v>0</v>
      </c>
      <c r="F211" s="15" t="b">
        <v>0</v>
      </c>
      <c r="G211" s="33" t="s">
        <v>206</v>
      </c>
      <c r="H211" s="15" t="s">
        <v>4422</v>
      </c>
      <c r="I211" s="33" t="s">
        <v>216</v>
      </c>
      <c r="J211" s="15"/>
      <c r="K211" s="15"/>
      <c r="L211" s="15" t="s">
        <v>220</v>
      </c>
      <c r="M211" s="15" t="s">
        <v>2271</v>
      </c>
      <c r="N211" s="15" t="s">
        <v>2272</v>
      </c>
      <c r="O211" s="15"/>
      <c r="P211" s="15" t="b">
        <v>0</v>
      </c>
      <c r="R211">
        <f t="shared" si="3"/>
        <v>1</v>
      </c>
    </row>
    <row r="212" spans="1:18" ht="15" customHeight="1">
      <c r="A212" s="15">
        <v>3883</v>
      </c>
      <c r="B212" s="15">
        <v>963</v>
      </c>
      <c r="C212" s="15">
        <v>0</v>
      </c>
      <c r="D212" s="15">
        <v>193</v>
      </c>
      <c r="E212" s="15" t="b">
        <v>1</v>
      </c>
      <c r="F212" s="15" t="b">
        <v>0</v>
      </c>
      <c r="G212" s="33" t="s">
        <v>206</v>
      </c>
      <c r="H212" s="15" t="s">
        <v>4423</v>
      </c>
      <c r="I212" s="33" t="s">
        <v>208</v>
      </c>
      <c r="J212" s="15"/>
      <c r="K212" s="15"/>
      <c r="L212" s="15" t="s">
        <v>220</v>
      </c>
      <c r="M212" s="15" t="s">
        <v>2274</v>
      </c>
      <c r="N212" s="15" t="s">
        <v>2275</v>
      </c>
      <c r="O212" s="15"/>
      <c r="P212" s="15" t="b">
        <v>0</v>
      </c>
      <c r="R212">
        <f t="shared" si="3"/>
        <v>1</v>
      </c>
    </row>
    <row r="213" spans="1:18" ht="15" customHeight="1">
      <c r="A213" s="15">
        <v>3884</v>
      </c>
      <c r="B213" s="15">
        <v>964</v>
      </c>
      <c r="C213" s="15">
        <v>0</v>
      </c>
      <c r="D213" s="15">
        <v>193</v>
      </c>
      <c r="E213" s="15" t="b">
        <v>1</v>
      </c>
      <c r="F213" s="15" t="b">
        <v>0</v>
      </c>
      <c r="G213" s="33" t="s">
        <v>206</v>
      </c>
      <c r="H213" s="15" t="s">
        <v>4423</v>
      </c>
      <c r="I213" s="33" t="s">
        <v>213</v>
      </c>
      <c r="J213" s="15"/>
      <c r="K213" s="15"/>
      <c r="L213" s="15" t="s">
        <v>220</v>
      </c>
      <c r="M213" s="15" t="s">
        <v>2276</v>
      </c>
      <c r="N213" s="15" t="s">
        <v>2277</v>
      </c>
      <c r="O213" s="15"/>
      <c r="P213" s="15" t="b">
        <v>0</v>
      </c>
      <c r="R213">
        <f t="shared" si="3"/>
        <v>1</v>
      </c>
    </row>
    <row r="214" spans="1:18" ht="15" customHeight="1">
      <c r="A214" s="15">
        <v>3885</v>
      </c>
      <c r="B214" s="15">
        <v>965</v>
      </c>
      <c r="C214" s="15">
        <v>0</v>
      </c>
      <c r="D214" s="15">
        <v>193</v>
      </c>
      <c r="E214" s="15" t="b">
        <v>1</v>
      </c>
      <c r="F214" s="15" t="b">
        <v>0</v>
      </c>
      <c r="G214" s="33" t="s">
        <v>206</v>
      </c>
      <c r="H214" s="15" t="s">
        <v>4423</v>
      </c>
      <c r="I214" s="33" t="s">
        <v>216</v>
      </c>
      <c r="J214" s="15"/>
      <c r="K214" s="15"/>
      <c r="L214" s="15" t="s">
        <v>220</v>
      </c>
      <c r="M214" s="15" t="s">
        <v>2278</v>
      </c>
      <c r="N214" s="15" t="s">
        <v>2279</v>
      </c>
      <c r="O214" s="15"/>
      <c r="P214" s="15" t="b">
        <v>0</v>
      </c>
      <c r="R214">
        <f t="shared" si="3"/>
        <v>1</v>
      </c>
    </row>
    <row r="215" spans="1:18" ht="15" customHeight="1">
      <c r="A215" s="15">
        <v>3886</v>
      </c>
      <c r="B215" s="15">
        <v>966</v>
      </c>
      <c r="C215" s="15">
        <v>0</v>
      </c>
      <c r="D215" s="15">
        <v>193</v>
      </c>
      <c r="E215" s="15" t="b">
        <v>0</v>
      </c>
      <c r="F215" s="15" t="b">
        <v>0</v>
      </c>
      <c r="G215" s="33" t="s">
        <v>206</v>
      </c>
      <c r="H215" s="15" t="s">
        <v>4424</v>
      </c>
      <c r="I215" s="33" t="s">
        <v>208</v>
      </c>
      <c r="J215" s="15"/>
      <c r="K215" s="15"/>
      <c r="L215" s="15" t="s">
        <v>220</v>
      </c>
      <c r="M215" s="15" t="s">
        <v>2281</v>
      </c>
      <c r="N215" s="15" t="s">
        <v>2282</v>
      </c>
      <c r="O215" s="15"/>
      <c r="P215" s="15" t="b">
        <v>0</v>
      </c>
      <c r="R215">
        <f t="shared" si="3"/>
        <v>1</v>
      </c>
    </row>
    <row r="216" spans="1:18" ht="15" customHeight="1">
      <c r="A216" s="15">
        <v>3887</v>
      </c>
      <c r="B216" s="15">
        <v>967</v>
      </c>
      <c r="C216" s="15">
        <v>0</v>
      </c>
      <c r="D216" s="15">
        <v>193</v>
      </c>
      <c r="E216" s="15" t="b">
        <v>0</v>
      </c>
      <c r="F216" s="15" t="b">
        <v>0</v>
      </c>
      <c r="G216" s="33" t="s">
        <v>206</v>
      </c>
      <c r="H216" s="15" t="s">
        <v>4424</v>
      </c>
      <c r="I216" s="33" t="s">
        <v>213</v>
      </c>
      <c r="J216" s="15"/>
      <c r="K216" s="15"/>
      <c r="L216" s="15" t="s">
        <v>220</v>
      </c>
      <c r="M216" s="15" t="s">
        <v>2283</v>
      </c>
      <c r="N216" s="15" t="s">
        <v>2284</v>
      </c>
      <c r="O216" s="15"/>
      <c r="P216" s="15" t="b">
        <v>0</v>
      </c>
      <c r="R216">
        <f t="shared" si="3"/>
        <v>1</v>
      </c>
    </row>
    <row r="217" spans="1:18" ht="15" customHeight="1">
      <c r="A217" s="15">
        <v>3888</v>
      </c>
      <c r="B217" s="15">
        <v>968</v>
      </c>
      <c r="C217" s="15">
        <v>0</v>
      </c>
      <c r="D217" s="15">
        <v>193</v>
      </c>
      <c r="E217" s="15" t="b">
        <v>0</v>
      </c>
      <c r="F217" s="15" t="b">
        <v>0</v>
      </c>
      <c r="G217" s="33" t="s">
        <v>206</v>
      </c>
      <c r="H217" s="15" t="s">
        <v>4424</v>
      </c>
      <c r="I217" s="33" t="s">
        <v>216</v>
      </c>
      <c r="J217" s="15"/>
      <c r="K217" s="15"/>
      <c r="L217" s="15" t="s">
        <v>220</v>
      </c>
      <c r="M217" s="15" t="s">
        <v>2285</v>
      </c>
      <c r="N217" s="15" t="s">
        <v>2286</v>
      </c>
      <c r="O217" s="15"/>
      <c r="P217" s="15" t="b">
        <v>0</v>
      </c>
      <c r="R217">
        <f t="shared" si="3"/>
        <v>1</v>
      </c>
    </row>
    <row r="218" spans="1:18" ht="15" customHeight="1">
      <c r="A218" s="15">
        <v>3889</v>
      </c>
      <c r="B218" s="15">
        <v>969</v>
      </c>
      <c r="C218" s="15">
        <v>0</v>
      </c>
      <c r="D218" s="15">
        <v>193</v>
      </c>
      <c r="E218" s="15" t="b">
        <v>1</v>
      </c>
      <c r="F218" s="15" t="b">
        <v>0</v>
      </c>
      <c r="G218" s="33" t="s">
        <v>206</v>
      </c>
      <c r="H218" s="15" t="s">
        <v>4425</v>
      </c>
      <c r="I218" s="33" t="s">
        <v>208</v>
      </c>
      <c r="J218" s="15"/>
      <c r="K218" s="15"/>
      <c r="L218" s="15" t="s">
        <v>220</v>
      </c>
      <c r="M218" s="15" t="s">
        <v>2288</v>
      </c>
      <c r="N218" s="15" t="s">
        <v>2289</v>
      </c>
      <c r="O218" s="15"/>
      <c r="P218" s="15" t="b">
        <v>0</v>
      </c>
      <c r="R218">
        <f t="shared" si="3"/>
        <v>1</v>
      </c>
    </row>
    <row r="219" spans="1:18" ht="15" customHeight="1">
      <c r="A219" s="15">
        <v>3890</v>
      </c>
      <c r="B219" s="15">
        <v>970</v>
      </c>
      <c r="C219" s="15">
        <v>0</v>
      </c>
      <c r="D219" s="15">
        <v>193</v>
      </c>
      <c r="E219" s="15" t="b">
        <v>1</v>
      </c>
      <c r="F219" s="15" t="b">
        <v>0</v>
      </c>
      <c r="G219" s="33" t="s">
        <v>206</v>
      </c>
      <c r="H219" s="15" t="s">
        <v>4425</v>
      </c>
      <c r="I219" s="33" t="s">
        <v>213</v>
      </c>
      <c r="J219" s="15"/>
      <c r="K219" s="15"/>
      <c r="L219" s="15" t="s">
        <v>220</v>
      </c>
      <c r="M219" s="15" t="s">
        <v>2290</v>
      </c>
      <c r="N219" s="15" t="s">
        <v>2291</v>
      </c>
      <c r="O219" s="15"/>
      <c r="P219" s="15" t="b">
        <v>0</v>
      </c>
      <c r="R219">
        <f t="shared" si="3"/>
        <v>1</v>
      </c>
    </row>
    <row r="220" spans="1:18" ht="15" customHeight="1">
      <c r="A220" s="15">
        <v>3891</v>
      </c>
      <c r="B220" s="15">
        <v>971</v>
      </c>
      <c r="C220" s="15">
        <v>0</v>
      </c>
      <c r="D220" s="15">
        <v>193</v>
      </c>
      <c r="E220" s="15" t="b">
        <v>1</v>
      </c>
      <c r="F220" s="15" t="b">
        <v>0</v>
      </c>
      <c r="G220" s="33" t="s">
        <v>206</v>
      </c>
      <c r="H220" s="15" t="s">
        <v>4425</v>
      </c>
      <c r="I220" s="33" t="s">
        <v>216</v>
      </c>
      <c r="J220" s="15"/>
      <c r="K220" s="15"/>
      <c r="L220" s="15" t="s">
        <v>220</v>
      </c>
      <c r="M220" s="15" t="s">
        <v>2292</v>
      </c>
      <c r="N220" s="15" t="s">
        <v>2293</v>
      </c>
      <c r="O220" s="15"/>
      <c r="P220" s="15" t="b">
        <v>0</v>
      </c>
      <c r="R220">
        <f t="shared" si="3"/>
        <v>1</v>
      </c>
    </row>
    <row r="221" spans="1:18" ht="15" customHeight="1">
      <c r="A221" s="15">
        <v>3892</v>
      </c>
      <c r="B221" s="15">
        <v>972</v>
      </c>
      <c r="C221" s="15">
        <v>0</v>
      </c>
      <c r="D221" s="15">
        <v>193</v>
      </c>
      <c r="E221" s="15" t="b">
        <v>0</v>
      </c>
      <c r="F221" s="15" t="b">
        <v>0</v>
      </c>
      <c r="G221" s="33" t="s">
        <v>206</v>
      </c>
      <c r="H221" s="15" t="s">
        <v>4426</v>
      </c>
      <c r="I221" s="33" t="s">
        <v>208</v>
      </c>
      <c r="J221" s="15"/>
      <c r="K221" s="15"/>
      <c r="L221" s="15" t="s">
        <v>220</v>
      </c>
      <c r="M221" s="15" t="s">
        <v>2295</v>
      </c>
      <c r="N221" s="15" t="s">
        <v>2296</v>
      </c>
      <c r="O221" s="15"/>
      <c r="P221" s="15" t="b">
        <v>0</v>
      </c>
      <c r="R221">
        <f t="shared" si="3"/>
        <v>1</v>
      </c>
    </row>
    <row r="222" spans="1:18" ht="15" customHeight="1">
      <c r="A222" s="15">
        <v>3893</v>
      </c>
      <c r="B222" s="15">
        <v>973</v>
      </c>
      <c r="C222" s="15">
        <v>0</v>
      </c>
      <c r="D222" s="15">
        <v>193</v>
      </c>
      <c r="E222" s="15" t="b">
        <v>0</v>
      </c>
      <c r="F222" s="15" t="b">
        <v>0</v>
      </c>
      <c r="G222" s="33" t="s">
        <v>206</v>
      </c>
      <c r="H222" s="15" t="s">
        <v>4426</v>
      </c>
      <c r="I222" s="33" t="s">
        <v>213</v>
      </c>
      <c r="J222" s="15"/>
      <c r="K222" s="15"/>
      <c r="L222" s="15" t="s">
        <v>220</v>
      </c>
      <c r="M222" s="15" t="s">
        <v>2297</v>
      </c>
      <c r="N222" s="15" t="s">
        <v>2298</v>
      </c>
      <c r="O222" s="15"/>
      <c r="P222" s="15" t="b">
        <v>0</v>
      </c>
      <c r="R222">
        <f t="shared" si="3"/>
        <v>1</v>
      </c>
    </row>
    <row r="223" spans="1:18" ht="15" customHeight="1">
      <c r="A223" s="15">
        <v>3894</v>
      </c>
      <c r="B223" s="15">
        <v>974</v>
      </c>
      <c r="C223" s="15">
        <v>0</v>
      </c>
      <c r="D223" s="15">
        <v>193</v>
      </c>
      <c r="E223" s="15" t="b">
        <v>0</v>
      </c>
      <c r="F223" s="15" t="b">
        <v>0</v>
      </c>
      <c r="G223" s="33" t="s">
        <v>206</v>
      </c>
      <c r="H223" s="15" t="s">
        <v>4426</v>
      </c>
      <c r="I223" s="33" t="s">
        <v>216</v>
      </c>
      <c r="J223" s="15"/>
      <c r="K223" s="15"/>
      <c r="L223" s="15" t="s">
        <v>220</v>
      </c>
      <c r="M223" s="15" t="s">
        <v>2299</v>
      </c>
      <c r="N223" s="15" t="s">
        <v>2300</v>
      </c>
      <c r="O223" s="15"/>
      <c r="P223" s="15" t="b">
        <v>0</v>
      </c>
      <c r="R223">
        <f t="shared" si="3"/>
        <v>1</v>
      </c>
    </row>
    <row r="224" spans="1:18" ht="15" customHeight="1">
      <c r="A224" s="15">
        <v>3895</v>
      </c>
      <c r="B224" s="15">
        <v>975</v>
      </c>
      <c r="C224" s="15">
        <v>0</v>
      </c>
      <c r="D224" s="15">
        <v>193</v>
      </c>
      <c r="E224" s="15" t="b">
        <v>0</v>
      </c>
      <c r="F224" s="15" t="b">
        <v>0</v>
      </c>
      <c r="G224" s="33" t="s">
        <v>206</v>
      </c>
      <c r="H224" s="15" t="s">
        <v>4427</v>
      </c>
      <c r="I224" s="33" t="s">
        <v>208</v>
      </c>
      <c r="J224" s="15"/>
      <c r="K224" s="15"/>
      <c r="L224" s="15" t="s">
        <v>220</v>
      </c>
      <c r="M224" s="15" t="s">
        <v>2302</v>
      </c>
      <c r="N224" s="15" t="s">
        <v>2303</v>
      </c>
      <c r="O224" s="15"/>
      <c r="P224" s="15" t="b">
        <v>0</v>
      </c>
      <c r="R224">
        <f t="shared" si="3"/>
        <v>1</v>
      </c>
    </row>
    <row r="225" spans="1:18" ht="15" customHeight="1">
      <c r="A225" s="15">
        <v>3896</v>
      </c>
      <c r="B225" s="15">
        <v>976</v>
      </c>
      <c r="C225" s="15">
        <v>0</v>
      </c>
      <c r="D225" s="15">
        <v>193</v>
      </c>
      <c r="E225" s="15" t="b">
        <v>0</v>
      </c>
      <c r="F225" s="15" t="b">
        <v>0</v>
      </c>
      <c r="G225" s="33" t="s">
        <v>206</v>
      </c>
      <c r="H225" s="15" t="s">
        <v>4427</v>
      </c>
      <c r="I225" s="33" t="s">
        <v>213</v>
      </c>
      <c r="J225" s="15"/>
      <c r="K225" s="15"/>
      <c r="L225" s="15" t="s">
        <v>220</v>
      </c>
      <c r="M225" s="15" t="s">
        <v>2304</v>
      </c>
      <c r="N225" s="15" t="s">
        <v>2305</v>
      </c>
      <c r="O225" s="15"/>
      <c r="P225" s="15" t="b">
        <v>0</v>
      </c>
      <c r="R225">
        <f t="shared" si="3"/>
        <v>1</v>
      </c>
    </row>
    <row r="226" spans="1:18" ht="15" customHeight="1">
      <c r="A226" s="15">
        <v>3897</v>
      </c>
      <c r="B226" s="15">
        <v>977</v>
      </c>
      <c r="C226" s="15">
        <v>0</v>
      </c>
      <c r="D226" s="15">
        <v>193</v>
      </c>
      <c r="E226" s="15" t="b">
        <v>0</v>
      </c>
      <c r="F226" s="15" t="b">
        <v>0</v>
      </c>
      <c r="G226" s="33" t="s">
        <v>206</v>
      </c>
      <c r="H226" s="15" t="s">
        <v>4427</v>
      </c>
      <c r="I226" s="33" t="s">
        <v>216</v>
      </c>
      <c r="J226" s="15"/>
      <c r="K226" s="15"/>
      <c r="L226" s="15" t="s">
        <v>220</v>
      </c>
      <c r="M226" s="15" t="s">
        <v>2306</v>
      </c>
      <c r="N226" s="15" t="s">
        <v>2307</v>
      </c>
      <c r="O226" s="15"/>
      <c r="P226" s="15" t="b">
        <v>0</v>
      </c>
      <c r="R226">
        <f t="shared" si="3"/>
        <v>1</v>
      </c>
    </row>
    <row r="227" spans="1:18" ht="15" customHeight="1">
      <c r="A227" s="15">
        <v>3898</v>
      </c>
      <c r="B227" s="15">
        <v>978</v>
      </c>
      <c r="C227" s="15">
        <v>0</v>
      </c>
      <c r="D227" s="15">
        <v>193</v>
      </c>
      <c r="E227" s="15" t="b">
        <v>1</v>
      </c>
      <c r="F227" s="15" t="b">
        <v>0</v>
      </c>
      <c r="G227" s="33" t="s">
        <v>206</v>
      </c>
      <c r="H227" s="15" t="s">
        <v>4428</v>
      </c>
      <c r="I227" s="33" t="s">
        <v>208</v>
      </c>
      <c r="J227" s="15"/>
      <c r="K227" s="15"/>
      <c r="L227" s="15" t="s">
        <v>220</v>
      </c>
      <c r="M227" s="15" t="s">
        <v>2309</v>
      </c>
      <c r="N227" s="15" t="s">
        <v>2310</v>
      </c>
      <c r="O227" s="15"/>
      <c r="P227" s="15" t="b">
        <v>0</v>
      </c>
      <c r="R227">
        <f t="shared" si="3"/>
        <v>1</v>
      </c>
    </row>
    <row r="228" spans="1:18" ht="15" customHeight="1">
      <c r="A228" s="15">
        <v>3899</v>
      </c>
      <c r="B228" s="15">
        <v>979</v>
      </c>
      <c r="C228" s="15">
        <v>0</v>
      </c>
      <c r="D228" s="15">
        <v>193</v>
      </c>
      <c r="E228" s="15" t="b">
        <v>1</v>
      </c>
      <c r="F228" s="15" t="b">
        <v>0</v>
      </c>
      <c r="G228" s="33" t="s">
        <v>206</v>
      </c>
      <c r="H228" s="15" t="s">
        <v>4428</v>
      </c>
      <c r="I228" s="33" t="s">
        <v>213</v>
      </c>
      <c r="J228" s="15"/>
      <c r="K228" s="15"/>
      <c r="L228" s="15" t="s">
        <v>220</v>
      </c>
      <c r="M228" s="15" t="s">
        <v>2311</v>
      </c>
      <c r="N228" s="15" t="s">
        <v>2312</v>
      </c>
      <c r="O228" s="15"/>
      <c r="P228" s="15" t="b">
        <v>0</v>
      </c>
      <c r="R228">
        <f t="shared" si="3"/>
        <v>1</v>
      </c>
    </row>
    <row r="229" spans="1:18" ht="15" customHeight="1">
      <c r="A229" s="15">
        <v>3900</v>
      </c>
      <c r="B229" s="15">
        <v>980</v>
      </c>
      <c r="C229" s="15">
        <v>0</v>
      </c>
      <c r="D229" s="15">
        <v>193</v>
      </c>
      <c r="E229" s="15" t="b">
        <v>1</v>
      </c>
      <c r="F229" s="15" t="b">
        <v>0</v>
      </c>
      <c r="G229" s="33" t="s">
        <v>206</v>
      </c>
      <c r="H229" s="15" t="s">
        <v>4428</v>
      </c>
      <c r="I229" s="33" t="s">
        <v>216</v>
      </c>
      <c r="J229" s="15"/>
      <c r="K229" s="15"/>
      <c r="L229" s="15" t="s">
        <v>220</v>
      </c>
      <c r="M229" s="15" t="s">
        <v>2313</v>
      </c>
      <c r="N229" s="15" t="s">
        <v>2314</v>
      </c>
      <c r="O229" s="15"/>
      <c r="P229" s="15" t="b">
        <v>0</v>
      </c>
      <c r="R229">
        <f t="shared" si="3"/>
        <v>1</v>
      </c>
    </row>
    <row r="230" spans="1:18" ht="15" customHeight="1">
      <c r="A230" s="15">
        <v>3901</v>
      </c>
      <c r="B230" s="15">
        <v>981</v>
      </c>
      <c r="C230" s="15">
        <v>0</v>
      </c>
      <c r="D230" s="15">
        <v>193</v>
      </c>
      <c r="E230" s="15" t="b">
        <v>0</v>
      </c>
      <c r="F230" s="15" t="b">
        <v>0</v>
      </c>
      <c r="G230" s="33" t="s">
        <v>206</v>
      </c>
      <c r="H230" s="15" t="s">
        <v>4429</v>
      </c>
      <c r="I230" s="33" t="s">
        <v>208</v>
      </c>
      <c r="J230" s="15"/>
      <c r="K230" s="15"/>
      <c r="L230" s="15" t="s">
        <v>220</v>
      </c>
      <c r="M230" s="15" t="s">
        <v>2316</v>
      </c>
      <c r="N230" s="15" t="s">
        <v>2317</v>
      </c>
      <c r="O230" s="15"/>
      <c r="P230" s="15" t="b">
        <v>0</v>
      </c>
      <c r="R230">
        <f t="shared" si="3"/>
        <v>1</v>
      </c>
    </row>
    <row r="231" spans="1:18" ht="15" customHeight="1">
      <c r="A231" s="15">
        <v>3902</v>
      </c>
      <c r="B231" s="15">
        <v>982</v>
      </c>
      <c r="C231" s="15">
        <v>0</v>
      </c>
      <c r="D231" s="15">
        <v>193</v>
      </c>
      <c r="E231" s="15" t="b">
        <v>0</v>
      </c>
      <c r="F231" s="15" t="b">
        <v>0</v>
      </c>
      <c r="G231" s="33" t="s">
        <v>206</v>
      </c>
      <c r="H231" s="15" t="s">
        <v>4429</v>
      </c>
      <c r="I231" s="33" t="s">
        <v>213</v>
      </c>
      <c r="J231" s="15"/>
      <c r="K231" s="15"/>
      <c r="L231" s="15" t="s">
        <v>220</v>
      </c>
      <c r="M231" s="15" t="s">
        <v>2318</v>
      </c>
      <c r="N231" s="15" t="s">
        <v>2319</v>
      </c>
      <c r="O231" s="15"/>
      <c r="P231" s="15" t="b">
        <v>0</v>
      </c>
      <c r="R231">
        <f t="shared" si="3"/>
        <v>1</v>
      </c>
    </row>
    <row r="232" spans="1:18" ht="15" customHeight="1">
      <c r="A232" s="15">
        <v>3903</v>
      </c>
      <c r="B232" s="15">
        <v>983</v>
      </c>
      <c r="C232" s="15">
        <v>0</v>
      </c>
      <c r="D232" s="15">
        <v>193</v>
      </c>
      <c r="E232" s="15" t="b">
        <v>0</v>
      </c>
      <c r="F232" s="15" t="b">
        <v>0</v>
      </c>
      <c r="G232" s="33" t="s">
        <v>206</v>
      </c>
      <c r="H232" s="15" t="s">
        <v>4429</v>
      </c>
      <c r="I232" s="33" t="s">
        <v>216</v>
      </c>
      <c r="J232" s="15"/>
      <c r="K232" s="15"/>
      <c r="L232" s="15" t="s">
        <v>220</v>
      </c>
      <c r="M232" s="15" t="s">
        <v>2320</v>
      </c>
      <c r="N232" s="15" t="s">
        <v>2321</v>
      </c>
      <c r="O232" s="15"/>
      <c r="P232" s="15" t="b">
        <v>0</v>
      </c>
      <c r="R232">
        <f t="shared" si="3"/>
        <v>1</v>
      </c>
    </row>
    <row r="233" spans="1:18" ht="15" customHeight="1">
      <c r="A233" s="15">
        <v>3904</v>
      </c>
      <c r="B233" s="15">
        <v>984</v>
      </c>
      <c r="C233" s="15">
        <v>0</v>
      </c>
      <c r="D233" s="15">
        <v>193</v>
      </c>
      <c r="E233" s="15" t="b">
        <v>0</v>
      </c>
      <c r="F233" s="15" t="b">
        <v>0</v>
      </c>
      <c r="G233" s="33" t="s">
        <v>206</v>
      </c>
      <c r="H233" s="15" t="s">
        <v>4430</v>
      </c>
      <c r="I233" s="33" t="s">
        <v>208</v>
      </c>
      <c r="J233" s="15"/>
      <c r="K233" s="15"/>
      <c r="L233" s="15" t="s">
        <v>220</v>
      </c>
      <c r="M233" s="15" t="s">
        <v>2323</v>
      </c>
      <c r="N233" s="15" t="s">
        <v>2324</v>
      </c>
      <c r="O233" s="15"/>
      <c r="P233" s="15" t="b">
        <v>0</v>
      </c>
      <c r="R233">
        <f t="shared" si="3"/>
        <v>1</v>
      </c>
    </row>
    <row r="234" spans="1:18" ht="15" customHeight="1">
      <c r="A234" s="15">
        <v>3905</v>
      </c>
      <c r="B234" s="15">
        <v>985</v>
      </c>
      <c r="C234" s="15">
        <v>0</v>
      </c>
      <c r="D234" s="15">
        <v>193</v>
      </c>
      <c r="E234" s="15" t="b">
        <v>0</v>
      </c>
      <c r="F234" s="15" t="b">
        <v>0</v>
      </c>
      <c r="G234" s="33" t="s">
        <v>206</v>
      </c>
      <c r="H234" s="15" t="s">
        <v>4430</v>
      </c>
      <c r="I234" s="33" t="s">
        <v>213</v>
      </c>
      <c r="J234" s="15"/>
      <c r="K234" s="15"/>
      <c r="L234" s="15" t="s">
        <v>220</v>
      </c>
      <c r="M234" s="15" t="s">
        <v>2325</v>
      </c>
      <c r="N234" s="15" t="s">
        <v>2326</v>
      </c>
      <c r="O234" s="15"/>
      <c r="P234" s="15" t="b">
        <v>0</v>
      </c>
      <c r="R234">
        <f t="shared" si="3"/>
        <v>1</v>
      </c>
    </row>
    <row r="235" spans="1:18" ht="15" customHeight="1">
      <c r="A235" s="15">
        <v>3906</v>
      </c>
      <c r="B235" s="15">
        <v>986</v>
      </c>
      <c r="C235" s="15">
        <v>0</v>
      </c>
      <c r="D235" s="15">
        <v>193</v>
      </c>
      <c r="E235" s="15" t="b">
        <v>0</v>
      </c>
      <c r="F235" s="15" t="b">
        <v>0</v>
      </c>
      <c r="G235" s="33" t="s">
        <v>206</v>
      </c>
      <c r="H235" s="15" t="s">
        <v>4430</v>
      </c>
      <c r="I235" s="33" t="s">
        <v>216</v>
      </c>
      <c r="J235" s="15"/>
      <c r="K235" s="15"/>
      <c r="L235" s="15" t="s">
        <v>220</v>
      </c>
      <c r="M235" s="15" t="s">
        <v>2327</v>
      </c>
      <c r="N235" s="15" t="s">
        <v>2328</v>
      </c>
      <c r="O235" s="15"/>
      <c r="P235" s="15" t="b">
        <v>0</v>
      </c>
      <c r="R235">
        <f t="shared" si="3"/>
        <v>1</v>
      </c>
    </row>
    <row r="236" spans="1:18" ht="15" customHeight="1">
      <c r="A236" s="15">
        <v>3907</v>
      </c>
      <c r="B236" s="15">
        <v>987</v>
      </c>
      <c r="C236" s="15">
        <v>0</v>
      </c>
      <c r="D236" s="15">
        <v>193</v>
      </c>
      <c r="E236" s="15" t="b">
        <v>1</v>
      </c>
      <c r="F236" s="15" t="b">
        <v>0</v>
      </c>
      <c r="G236" s="33" t="s">
        <v>206</v>
      </c>
      <c r="H236" s="15" t="s">
        <v>4431</v>
      </c>
      <c r="I236" s="33" t="s">
        <v>208</v>
      </c>
      <c r="J236" s="15"/>
      <c r="K236" s="15"/>
      <c r="L236" s="15" t="s">
        <v>220</v>
      </c>
      <c r="M236" s="15" t="s">
        <v>2330</v>
      </c>
      <c r="N236" s="15" t="s">
        <v>2331</v>
      </c>
      <c r="O236" s="15"/>
      <c r="P236" s="15" t="b">
        <v>0</v>
      </c>
      <c r="R236">
        <f t="shared" si="3"/>
        <v>1</v>
      </c>
    </row>
    <row r="237" spans="1:18" ht="15" customHeight="1">
      <c r="A237" s="15">
        <v>3908</v>
      </c>
      <c r="B237" s="15">
        <v>988</v>
      </c>
      <c r="C237" s="15">
        <v>0</v>
      </c>
      <c r="D237" s="15">
        <v>193</v>
      </c>
      <c r="E237" s="15" t="b">
        <v>1</v>
      </c>
      <c r="F237" s="15" t="b">
        <v>0</v>
      </c>
      <c r="G237" s="33" t="s">
        <v>206</v>
      </c>
      <c r="H237" s="15" t="s">
        <v>4431</v>
      </c>
      <c r="I237" s="33" t="s">
        <v>213</v>
      </c>
      <c r="J237" s="15"/>
      <c r="K237" s="15"/>
      <c r="L237" s="15" t="s">
        <v>220</v>
      </c>
      <c r="M237" s="15" t="s">
        <v>2332</v>
      </c>
      <c r="N237" s="15" t="s">
        <v>2333</v>
      </c>
      <c r="O237" s="15"/>
      <c r="P237" s="15" t="b">
        <v>0</v>
      </c>
      <c r="R237">
        <f t="shared" si="3"/>
        <v>1</v>
      </c>
    </row>
    <row r="238" spans="1:18" ht="15" customHeight="1">
      <c r="A238" s="15">
        <v>3909</v>
      </c>
      <c r="B238" s="15">
        <v>989</v>
      </c>
      <c r="C238" s="15">
        <v>0</v>
      </c>
      <c r="D238" s="15">
        <v>193</v>
      </c>
      <c r="E238" s="15" t="b">
        <v>1</v>
      </c>
      <c r="F238" s="15" t="b">
        <v>0</v>
      </c>
      <c r="G238" s="33" t="s">
        <v>206</v>
      </c>
      <c r="H238" s="15" t="s">
        <v>4431</v>
      </c>
      <c r="I238" s="33" t="s">
        <v>216</v>
      </c>
      <c r="J238" s="15"/>
      <c r="K238" s="15"/>
      <c r="L238" s="15" t="s">
        <v>220</v>
      </c>
      <c r="M238" s="15" t="s">
        <v>2334</v>
      </c>
      <c r="N238" s="15" t="s">
        <v>2335</v>
      </c>
      <c r="O238" s="15"/>
      <c r="P238" s="15" t="b">
        <v>0</v>
      </c>
      <c r="R238">
        <f t="shared" si="3"/>
        <v>1</v>
      </c>
    </row>
    <row r="239" spans="1:18" ht="15" customHeight="1">
      <c r="A239" s="15">
        <v>3910</v>
      </c>
      <c r="B239" s="15">
        <v>990</v>
      </c>
      <c r="C239" s="15">
        <v>0</v>
      </c>
      <c r="D239" s="15">
        <v>193</v>
      </c>
      <c r="E239" s="15" t="b">
        <v>0</v>
      </c>
      <c r="F239" s="15" t="b">
        <v>0</v>
      </c>
      <c r="G239" s="33" t="s">
        <v>206</v>
      </c>
      <c r="H239" s="15" t="s">
        <v>4432</v>
      </c>
      <c r="I239" s="33" t="s">
        <v>208</v>
      </c>
      <c r="J239" s="15"/>
      <c r="K239" s="15"/>
      <c r="L239" s="15" t="s">
        <v>220</v>
      </c>
      <c r="M239" s="15" t="s">
        <v>2337</v>
      </c>
      <c r="N239" s="15" t="s">
        <v>2338</v>
      </c>
      <c r="O239" s="15"/>
      <c r="P239" s="15" t="b">
        <v>0</v>
      </c>
      <c r="R239">
        <f t="shared" si="3"/>
        <v>1</v>
      </c>
    </row>
    <row r="240" spans="1:18" ht="15" customHeight="1">
      <c r="A240" s="15">
        <v>3911</v>
      </c>
      <c r="B240" s="15">
        <v>991</v>
      </c>
      <c r="C240" s="15">
        <v>0</v>
      </c>
      <c r="D240" s="15">
        <v>193</v>
      </c>
      <c r="E240" s="15" t="b">
        <v>0</v>
      </c>
      <c r="F240" s="15" t="b">
        <v>0</v>
      </c>
      <c r="G240" s="33" t="s">
        <v>206</v>
      </c>
      <c r="H240" s="15" t="s">
        <v>4432</v>
      </c>
      <c r="I240" s="33" t="s">
        <v>213</v>
      </c>
      <c r="J240" s="15"/>
      <c r="K240" s="15"/>
      <c r="L240" s="15" t="s">
        <v>220</v>
      </c>
      <c r="M240" s="15" t="s">
        <v>2339</v>
      </c>
      <c r="N240" s="15" t="s">
        <v>2340</v>
      </c>
      <c r="O240" s="15"/>
      <c r="P240" s="15" t="b">
        <v>0</v>
      </c>
      <c r="R240">
        <f t="shared" si="3"/>
        <v>1</v>
      </c>
    </row>
    <row r="241" spans="1:18" ht="15" customHeight="1">
      <c r="A241" s="15">
        <v>3912</v>
      </c>
      <c r="B241" s="15">
        <v>992</v>
      </c>
      <c r="C241" s="15">
        <v>0</v>
      </c>
      <c r="D241" s="15">
        <v>193</v>
      </c>
      <c r="E241" s="15" t="b">
        <v>0</v>
      </c>
      <c r="F241" s="15" t="b">
        <v>0</v>
      </c>
      <c r="G241" s="33" t="s">
        <v>206</v>
      </c>
      <c r="H241" s="15" t="s">
        <v>4432</v>
      </c>
      <c r="I241" s="33" t="s">
        <v>216</v>
      </c>
      <c r="J241" s="15"/>
      <c r="K241" s="15"/>
      <c r="L241" s="15" t="s">
        <v>220</v>
      </c>
      <c r="M241" s="15" t="s">
        <v>2341</v>
      </c>
      <c r="N241" s="15" t="s">
        <v>2342</v>
      </c>
      <c r="O241" s="15"/>
      <c r="P241" s="15" t="b">
        <v>0</v>
      </c>
      <c r="R241">
        <f t="shared" si="3"/>
        <v>1</v>
      </c>
    </row>
    <row r="242" spans="1:18" ht="15" customHeight="1">
      <c r="A242" s="15">
        <v>3913</v>
      </c>
      <c r="B242" s="15">
        <v>993</v>
      </c>
      <c r="C242" s="15">
        <v>0</v>
      </c>
      <c r="D242" s="15">
        <v>193</v>
      </c>
      <c r="E242" s="15" t="b">
        <v>1</v>
      </c>
      <c r="F242" s="15" t="b">
        <v>0</v>
      </c>
      <c r="G242" s="33" t="s">
        <v>206</v>
      </c>
      <c r="H242" s="15" t="s">
        <v>4433</v>
      </c>
      <c r="I242" s="33" t="s">
        <v>208</v>
      </c>
      <c r="J242" s="15"/>
      <c r="K242" s="15"/>
      <c r="L242" s="15" t="s">
        <v>220</v>
      </c>
      <c r="M242" s="15" t="s">
        <v>2344</v>
      </c>
      <c r="N242" s="15" t="s">
        <v>2345</v>
      </c>
      <c r="O242" s="15"/>
      <c r="P242" s="15" t="b">
        <v>0</v>
      </c>
      <c r="R242">
        <f t="shared" si="3"/>
        <v>1</v>
      </c>
    </row>
    <row r="243" spans="1:18" ht="15" customHeight="1">
      <c r="A243" s="15">
        <v>3914</v>
      </c>
      <c r="B243" s="15">
        <v>994</v>
      </c>
      <c r="C243" s="15">
        <v>0</v>
      </c>
      <c r="D243" s="15">
        <v>193</v>
      </c>
      <c r="E243" s="15" t="b">
        <v>1</v>
      </c>
      <c r="F243" s="15" t="b">
        <v>0</v>
      </c>
      <c r="G243" s="33" t="s">
        <v>206</v>
      </c>
      <c r="H243" s="15" t="s">
        <v>4433</v>
      </c>
      <c r="I243" s="33" t="s">
        <v>213</v>
      </c>
      <c r="J243" s="15"/>
      <c r="K243" s="15"/>
      <c r="L243" s="15" t="s">
        <v>220</v>
      </c>
      <c r="M243" s="15" t="s">
        <v>2346</v>
      </c>
      <c r="N243" s="15" t="s">
        <v>2347</v>
      </c>
      <c r="O243" s="15"/>
      <c r="P243" s="15" t="b">
        <v>0</v>
      </c>
      <c r="R243">
        <f t="shared" si="3"/>
        <v>1</v>
      </c>
    </row>
    <row r="244" spans="1:18" ht="15" customHeight="1">
      <c r="A244" s="15">
        <v>3915</v>
      </c>
      <c r="B244" s="15">
        <v>995</v>
      </c>
      <c r="C244" s="15">
        <v>0</v>
      </c>
      <c r="D244" s="15">
        <v>193</v>
      </c>
      <c r="E244" s="15" t="b">
        <v>1</v>
      </c>
      <c r="F244" s="15" t="b">
        <v>0</v>
      </c>
      <c r="G244" s="33" t="s">
        <v>206</v>
      </c>
      <c r="H244" s="15" t="s">
        <v>4433</v>
      </c>
      <c r="I244" s="33" t="s">
        <v>216</v>
      </c>
      <c r="J244" s="15"/>
      <c r="K244" s="15"/>
      <c r="L244" s="15" t="s">
        <v>220</v>
      </c>
      <c r="M244" s="15" t="s">
        <v>2348</v>
      </c>
      <c r="N244" s="15" t="s">
        <v>2349</v>
      </c>
      <c r="O244" s="15"/>
      <c r="P244" s="15" t="b">
        <v>0</v>
      </c>
      <c r="R244">
        <f t="shared" si="3"/>
        <v>1</v>
      </c>
    </row>
    <row r="245" spans="1:18" ht="15" customHeight="1">
      <c r="A245" s="15">
        <v>3916</v>
      </c>
      <c r="B245" s="15">
        <v>996</v>
      </c>
      <c r="C245" s="15">
        <v>0</v>
      </c>
      <c r="D245" s="15">
        <v>193</v>
      </c>
      <c r="E245" s="15" t="b">
        <v>0</v>
      </c>
      <c r="F245" s="15" t="b">
        <v>0</v>
      </c>
      <c r="G245" s="33" t="s">
        <v>206</v>
      </c>
      <c r="H245" s="15" t="s">
        <v>4434</v>
      </c>
      <c r="I245" s="33" t="s">
        <v>208</v>
      </c>
      <c r="J245" s="15"/>
      <c r="K245" s="15"/>
      <c r="L245" s="15" t="s">
        <v>220</v>
      </c>
      <c r="M245" s="15" t="s">
        <v>2351</v>
      </c>
      <c r="N245" s="15" t="s">
        <v>2352</v>
      </c>
      <c r="O245" s="15"/>
      <c r="P245" s="15" t="b">
        <v>0</v>
      </c>
      <c r="R245">
        <f t="shared" si="3"/>
        <v>1</v>
      </c>
    </row>
    <row r="246" spans="1:18" ht="15" customHeight="1">
      <c r="A246" s="15">
        <v>3917</v>
      </c>
      <c r="B246" s="15">
        <v>997</v>
      </c>
      <c r="C246" s="15">
        <v>0</v>
      </c>
      <c r="D246" s="15">
        <v>193</v>
      </c>
      <c r="E246" s="15" t="b">
        <v>0</v>
      </c>
      <c r="F246" s="15" t="b">
        <v>0</v>
      </c>
      <c r="G246" s="33" t="s">
        <v>206</v>
      </c>
      <c r="H246" s="15" t="s">
        <v>4434</v>
      </c>
      <c r="I246" s="33" t="s">
        <v>213</v>
      </c>
      <c r="J246" s="15"/>
      <c r="K246" s="15"/>
      <c r="L246" s="15" t="s">
        <v>220</v>
      </c>
      <c r="M246" s="15" t="s">
        <v>2353</v>
      </c>
      <c r="N246" s="15" t="s">
        <v>2354</v>
      </c>
      <c r="O246" s="15"/>
      <c r="P246" s="15" t="b">
        <v>0</v>
      </c>
      <c r="R246">
        <f t="shared" si="3"/>
        <v>1</v>
      </c>
    </row>
    <row r="247" spans="1:18" ht="15" customHeight="1">
      <c r="A247" s="15">
        <v>3918</v>
      </c>
      <c r="B247" s="15">
        <v>998</v>
      </c>
      <c r="C247" s="15">
        <v>0</v>
      </c>
      <c r="D247" s="15">
        <v>193</v>
      </c>
      <c r="E247" s="15" t="b">
        <v>0</v>
      </c>
      <c r="F247" s="15" t="b">
        <v>0</v>
      </c>
      <c r="G247" s="33" t="s">
        <v>206</v>
      </c>
      <c r="H247" s="15" t="s">
        <v>4434</v>
      </c>
      <c r="I247" s="33" t="s">
        <v>216</v>
      </c>
      <c r="J247" s="15"/>
      <c r="K247" s="15"/>
      <c r="L247" s="15" t="s">
        <v>220</v>
      </c>
      <c r="M247" s="15" t="s">
        <v>2355</v>
      </c>
      <c r="N247" s="15" t="s">
        <v>2356</v>
      </c>
      <c r="O247" s="15"/>
      <c r="P247" s="15" t="b">
        <v>0</v>
      </c>
      <c r="R247">
        <f t="shared" si="3"/>
        <v>1</v>
      </c>
    </row>
    <row r="248" spans="1:18" ht="15" customHeight="1">
      <c r="A248" s="15">
        <v>3919</v>
      </c>
      <c r="B248" s="15">
        <v>999</v>
      </c>
      <c r="C248" s="15">
        <v>0</v>
      </c>
      <c r="D248" s="15">
        <v>193</v>
      </c>
      <c r="E248" s="15" t="b">
        <v>0</v>
      </c>
      <c r="F248" s="15" t="b">
        <v>0</v>
      </c>
      <c r="G248" s="33" t="s">
        <v>206</v>
      </c>
      <c r="H248" s="15" t="s">
        <v>4435</v>
      </c>
      <c r="I248" s="33" t="s">
        <v>208</v>
      </c>
      <c r="J248" s="15"/>
      <c r="K248" s="15"/>
      <c r="L248" s="15" t="s">
        <v>220</v>
      </c>
      <c r="M248" s="15" t="s">
        <v>2358</v>
      </c>
      <c r="N248" s="15" t="s">
        <v>2359</v>
      </c>
      <c r="O248" s="15"/>
      <c r="P248" s="15" t="b">
        <v>0</v>
      </c>
      <c r="R248">
        <f t="shared" si="3"/>
        <v>1</v>
      </c>
    </row>
    <row r="249" spans="1:18" ht="15" customHeight="1">
      <c r="A249" s="15">
        <v>3920</v>
      </c>
      <c r="B249" s="15">
        <v>1000</v>
      </c>
      <c r="C249" s="15">
        <v>0</v>
      </c>
      <c r="D249" s="15">
        <v>193</v>
      </c>
      <c r="E249" s="15" t="b">
        <v>0</v>
      </c>
      <c r="F249" s="15" t="b">
        <v>0</v>
      </c>
      <c r="G249" s="33" t="s">
        <v>206</v>
      </c>
      <c r="H249" s="15" t="s">
        <v>4435</v>
      </c>
      <c r="I249" s="33" t="s">
        <v>213</v>
      </c>
      <c r="J249" s="15"/>
      <c r="K249" s="15"/>
      <c r="L249" s="15" t="s">
        <v>220</v>
      </c>
      <c r="M249" s="15" t="s">
        <v>2360</v>
      </c>
      <c r="N249" s="15" t="s">
        <v>2361</v>
      </c>
      <c r="O249" s="15"/>
      <c r="P249" s="15" t="b">
        <v>0</v>
      </c>
      <c r="R249">
        <f t="shared" si="3"/>
        <v>1</v>
      </c>
    </row>
    <row r="250" spans="1:18" ht="15" customHeight="1">
      <c r="A250" s="15">
        <v>3921</v>
      </c>
      <c r="B250" s="15">
        <v>1001</v>
      </c>
      <c r="C250" s="15">
        <v>0</v>
      </c>
      <c r="D250" s="15">
        <v>193</v>
      </c>
      <c r="E250" s="15" t="b">
        <v>0</v>
      </c>
      <c r="F250" s="15" t="b">
        <v>0</v>
      </c>
      <c r="G250" s="33" t="s">
        <v>206</v>
      </c>
      <c r="H250" s="15" t="s">
        <v>4435</v>
      </c>
      <c r="I250" s="33" t="s">
        <v>216</v>
      </c>
      <c r="J250" s="15"/>
      <c r="K250" s="15"/>
      <c r="L250" s="15" t="s">
        <v>220</v>
      </c>
      <c r="M250" s="15" t="s">
        <v>2362</v>
      </c>
      <c r="N250" s="15" t="s">
        <v>2363</v>
      </c>
      <c r="O250" s="15"/>
      <c r="P250" s="15" t="b">
        <v>0</v>
      </c>
      <c r="R250">
        <f t="shared" si="3"/>
        <v>1</v>
      </c>
    </row>
    <row r="251" spans="1:18" ht="15" customHeight="1">
      <c r="A251" s="15">
        <v>3922</v>
      </c>
      <c r="B251" s="15">
        <v>1002</v>
      </c>
      <c r="C251" s="15">
        <v>0</v>
      </c>
      <c r="D251" s="15">
        <v>193</v>
      </c>
      <c r="E251" s="15" t="b">
        <v>1</v>
      </c>
      <c r="F251" s="15" t="b">
        <v>0</v>
      </c>
      <c r="G251" s="33" t="s">
        <v>206</v>
      </c>
      <c r="H251" s="15" t="s">
        <v>4436</v>
      </c>
      <c r="I251" s="33" t="s">
        <v>208</v>
      </c>
      <c r="J251" s="15"/>
      <c r="K251" s="15"/>
      <c r="L251" s="15" t="s">
        <v>220</v>
      </c>
      <c r="M251" s="15" t="s">
        <v>2365</v>
      </c>
      <c r="N251" s="15" t="s">
        <v>2366</v>
      </c>
      <c r="O251" s="15"/>
      <c r="P251" s="15" t="b">
        <v>0</v>
      </c>
      <c r="R251">
        <f t="shared" si="3"/>
        <v>1</v>
      </c>
    </row>
    <row r="252" spans="1:18" ht="15" customHeight="1">
      <c r="A252" s="15">
        <v>3923</v>
      </c>
      <c r="B252" s="15">
        <v>1003</v>
      </c>
      <c r="C252" s="15">
        <v>0</v>
      </c>
      <c r="D252" s="15">
        <v>193</v>
      </c>
      <c r="E252" s="15" t="b">
        <v>1</v>
      </c>
      <c r="F252" s="15" t="b">
        <v>0</v>
      </c>
      <c r="G252" s="33" t="s">
        <v>206</v>
      </c>
      <c r="H252" s="15" t="s">
        <v>4436</v>
      </c>
      <c r="I252" s="33" t="s">
        <v>213</v>
      </c>
      <c r="J252" s="15"/>
      <c r="K252" s="15"/>
      <c r="L252" s="15" t="s">
        <v>220</v>
      </c>
      <c r="M252" s="15" t="s">
        <v>2367</v>
      </c>
      <c r="N252" s="15" t="s">
        <v>2368</v>
      </c>
      <c r="O252" s="15"/>
      <c r="P252" s="15" t="b">
        <v>0</v>
      </c>
      <c r="R252">
        <f t="shared" si="3"/>
        <v>1</v>
      </c>
    </row>
    <row r="253" spans="1:18" ht="15" customHeight="1">
      <c r="A253" s="15">
        <v>3924</v>
      </c>
      <c r="B253" s="15">
        <v>1004</v>
      </c>
      <c r="C253" s="15">
        <v>0</v>
      </c>
      <c r="D253" s="15">
        <v>193</v>
      </c>
      <c r="E253" s="15" t="b">
        <v>1</v>
      </c>
      <c r="F253" s="15" t="b">
        <v>0</v>
      </c>
      <c r="G253" s="33" t="s">
        <v>206</v>
      </c>
      <c r="H253" s="15" t="s">
        <v>4436</v>
      </c>
      <c r="I253" s="33" t="s">
        <v>216</v>
      </c>
      <c r="J253" s="15"/>
      <c r="K253" s="15"/>
      <c r="L253" s="15" t="s">
        <v>220</v>
      </c>
      <c r="M253" s="15" t="s">
        <v>2369</v>
      </c>
      <c r="N253" s="15" t="s">
        <v>2370</v>
      </c>
      <c r="O253" s="15"/>
      <c r="P253" s="15" t="b">
        <v>0</v>
      </c>
      <c r="R253">
        <f t="shared" si="3"/>
        <v>1</v>
      </c>
    </row>
    <row r="254" spans="1:18" ht="15" customHeight="1">
      <c r="A254" s="15">
        <v>3925</v>
      </c>
      <c r="B254" s="15">
        <v>1005</v>
      </c>
      <c r="C254" s="15">
        <v>0</v>
      </c>
      <c r="D254" s="15">
        <v>193</v>
      </c>
      <c r="E254" s="15" t="b">
        <v>0</v>
      </c>
      <c r="F254" s="15" t="b">
        <v>0</v>
      </c>
      <c r="G254" s="33" t="s">
        <v>206</v>
      </c>
      <c r="H254" s="15" t="s">
        <v>4437</v>
      </c>
      <c r="I254" s="33" t="s">
        <v>208</v>
      </c>
      <c r="J254" s="15"/>
      <c r="K254" s="15"/>
      <c r="L254" s="15" t="s">
        <v>220</v>
      </c>
      <c r="M254" s="15" t="s">
        <v>2372</v>
      </c>
      <c r="N254" s="15" t="s">
        <v>2373</v>
      </c>
      <c r="O254" s="15"/>
      <c r="P254" s="15" t="b">
        <v>0</v>
      </c>
      <c r="R254">
        <f t="shared" si="3"/>
        <v>1</v>
      </c>
    </row>
    <row r="255" spans="1:18" ht="15" customHeight="1">
      <c r="A255" s="15">
        <v>3926</v>
      </c>
      <c r="B255" s="15">
        <v>1006</v>
      </c>
      <c r="C255" s="15">
        <v>0</v>
      </c>
      <c r="D255" s="15">
        <v>193</v>
      </c>
      <c r="E255" s="15" t="b">
        <v>0</v>
      </c>
      <c r="F255" s="15" t="b">
        <v>0</v>
      </c>
      <c r="G255" s="33" t="s">
        <v>206</v>
      </c>
      <c r="H255" s="15" t="s">
        <v>4437</v>
      </c>
      <c r="I255" s="33" t="s">
        <v>213</v>
      </c>
      <c r="J255" s="15"/>
      <c r="K255" s="15"/>
      <c r="L255" s="15" t="s">
        <v>220</v>
      </c>
      <c r="M255" s="15" t="s">
        <v>2374</v>
      </c>
      <c r="N255" s="15" t="s">
        <v>2375</v>
      </c>
      <c r="O255" s="15"/>
      <c r="P255" s="15" t="b">
        <v>0</v>
      </c>
      <c r="R255">
        <f t="shared" si="3"/>
        <v>1</v>
      </c>
    </row>
    <row r="256" spans="1:18" ht="15" customHeight="1">
      <c r="A256" s="15">
        <v>3927</v>
      </c>
      <c r="B256" s="15">
        <v>1007</v>
      </c>
      <c r="C256" s="15">
        <v>0</v>
      </c>
      <c r="D256" s="15">
        <v>193</v>
      </c>
      <c r="E256" s="15" t="b">
        <v>0</v>
      </c>
      <c r="F256" s="15" t="b">
        <v>0</v>
      </c>
      <c r="G256" s="33" t="s">
        <v>206</v>
      </c>
      <c r="H256" s="15" t="s">
        <v>4437</v>
      </c>
      <c r="I256" s="33" t="s">
        <v>216</v>
      </c>
      <c r="J256" s="15"/>
      <c r="K256" s="15"/>
      <c r="L256" s="15" t="s">
        <v>220</v>
      </c>
      <c r="M256" s="15" t="s">
        <v>2376</v>
      </c>
      <c r="N256" s="15" t="s">
        <v>2377</v>
      </c>
      <c r="O256" s="15"/>
      <c r="P256" s="15" t="b">
        <v>0</v>
      </c>
      <c r="R256">
        <f t="shared" si="3"/>
        <v>1</v>
      </c>
    </row>
    <row r="257" spans="1:18" ht="15" customHeight="1">
      <c r="A257" s="15">
        <v>3928</v>
      </c>
      <c r="B257" s="15">
        <v>1008</v>
      </c>
      <c r="C257" s="15">
        <v>0</v>
      </c>
      <c r="D257" s="15">
        <v>193</v>
      </c>
      <c r="E257" s="15" t="b">
        <v>0</v>
      </c>
      <c r="F257" s="15" t="b">
        <v>0</v>
      </c>
      <c r="G257" s="33" t="s">
        <v>206</v>
      </c>
      <c r="H257" s="15" t="s">
        <v>4438</v>
      </c>
      <c r="I257" s="33" t="s">
        <v>208</v>
      </c>
      <c r="J257" s="15"/>
      <c r="K257" s="15"/>
      <c r="L257" s="15" t="s">
        <v>220</v>
      </c>
      <c r="M257" s="15" t="s">
        <v>2379</v>
      </c>
      <c r="N257" s="15" t="s">
        <v>2380</v>
      </c>
      <c r="O257" s="15"/>
      <c r="P257" s="15" t="b">
        <v>0</v>
      </c>
      <c r="R257">
        <f t="shared" si="3"/>
        <v>1</v>
      </c>
    </row>
    <row r="258" spans="1:18" ht="15" customHeight="1">
      <c r="A258" s="15">
        <v>3929</v>
      </c>
      <c r="B258" s="15">
        <v>1009</v>
      </c>
      <c r="C258" s="15">
        <v>0</v>
      </c>
      <c r="D258" s="15">
        <v>193</v>
      </c>
      <c r="E258" s="15" t="b">
        <v>0</v>
      </c>
      <c r="F258" s="15" t="b">
        <v>0</v>
      </c>
      <c r="G258" s="33" t="s">
        <v>206</v>
      </c>
      <c r="H258" s="15" t="s">
        <v>4438</v>
      </c>
      <c r="I258" s="33" t="s">
        <v>213</v>
      </c>
      <c r="J258" s="15"/>
      <c r="K258" s="15"/>
      <c r="L258" s="15" t="s">
        <v>220</v>
      </c>
      <c r="M258" s="15" t="s">
        <v>2381</v>
      </c>
      <c r="N258" s="15" t="s">
        <v>2382</v>
      </c>
      <c r="O258" s="15"/>
      <c r="P258" s="15" t="b">
        <v>0</v>
      </c>
      <c r="R258">
        <f t="shared" si="3"/>
        <v>1</v>
      </c>
    </row>
    <row r="259" spans="1:18" ht="15" customHeight="1">
      <c r="A259" s="15">
        <v>3930</v>
      </c>
      <c r="B259" s="15">
        <v>1010</v>
      </c>
      <c r="C259" s="15">
        <v>0</v>
      </c>
      <c r="D259" s="15">
        <v>193</v>
      </c>
      <c r="E259" s="15" t="b">
        <v>0</v>
      </c>
      <c r="F259" s="15" t="b">
        <v>0</v>
      </c>
      <c r="G259" s="33" t="s">
        <v>206</v>
      </c>
      <c r="H259" s="15" t="s">
        <v>4438</v>
      </c>
      <c r="I259" s="33" t="s">
        <v>216</v>
      </c>
      <c r="J259" s="15"/>
      <c r="K259" s="15"/>
      <c r="L259" s="15" t="s">
        <v>220</v>
      </c>
      <c r="M259" s="15" t="s">
        <v>2383</v>
      </c>
      <c r="N259" s="15" t="s">
        <v>2384</v>
      </c>
      <c r="O259" s="15"/>
      <c r="P259" s="15" t="b">
        <v>0</v>
      </c>
      <c r="R259">
        <f t="shared" ref="R259:R289" si="4">IF(D259=193,1,0)</f>
        <v>1</v>
      </c>
    </row>
    <row r="260" spans="1:18" ht="15" customHeight="1">
      <c r="A260" s="15">
        <v>3931</v>
      </c>
      <c r="B260" s="15">
        <v>1011</v>
      </c>
      <c r="C260" s="15">
        <v>0</v>
      </c>
      <c r="D260" s="15">
        <v>193</v>
      </c>
      <c r="E260" s="15" t="b">
        <v>1</v>
      </c>
      <c r="F260" s="15" t="b">
        <v>0</v>
      </c>
      <c r="G260" s="33" t="s">
        <v>206</v>
      </c>
      <c r="H260" s="15" t="s">
        <v>4439</v>
      </c>
      <c r="I260" s="33" t="s">
        <v>208</v>
      </c>
      <c r="J260" s="15"/>
      <c r="K260" s="15"/>
      <c r="L260" s="15" t="s">
        <v>220</v>
      </c>
      <c r="M260" s="15" t="s">
        <v>2386</v>
      </c>
      <c r="N260" s="15" t="s">
        <v>2387</v>
      </c>
      <c r="O260" s="15"/>
      <c r="P260" s="15" t="b">
        <v>0</v>
      </c>
      <c r="R260">
        <f t="shared" si="4"/>
        <v>1</v>
      </c>
    </row>
    <row r="261" spans="1:18" ht="15" customHeight="1">
      <c r="A261" s="15">
        <v>3932</v>
      </c>
      <c r="B261" s="15">
        <v>1012</v>
      </c>
      <c r="C261" s="15">
        <v>0</v>
      </c>
      <c r="D261" s="15">
        <v>193</v>
      </c>
      <c r="E261" s="15" t="b">
        <v>1</v>
      </c>
      <c r="F261" s="15" t="b">
        <v>0</v>
      </c>
      <c r="G261" s="33" t="s">
        <v>206</v>
      </c>
      <c r="H261" s="15" t="s">
        <v>4439</v>
      </c>
      <c r="I261" s="33" t="s">
        <v>213</v>
      </c>
      <c r="J261" s="15"/>
      <c r="K261" s="15"/>
      <c r="L261" s="15" t="s">
        <v>220</v>
      </c>
      <c r="M261" s="15" t="s">
        <v>2388</v>
      </c>
      <c r="N261" s="15" t="s">
        <v>2389</v>
      </c>
      <c r="O261" s="15"/>
      <c r="P261" s="15" t="b">
        <v>0</v>
      </c>
      <c r="R261">
        <f t="shared" si="4"/>
        <v>1</v>
      </c>
    </row>
    <row r="262" spans="1:18" ht="15" customHeight="1">
      <c r="A262" s="15">
        <v>3933</v>
      </c>
      <c r="B262" s="15">
        <v>1013</v>
      </c>
      <c r="C262" s="15">
        <v>0</v>
      </c>
      <c r="D262" s="15">
        <v>193</v>
      </c>
      <c r="E262" s="15" t="b">
        <v>1</v>
      </c>
      <c r="F262" s="15" t="b">
        <v>0</v>
      </c>
      <c r="G262" s="33" t="s">
        <v>206</v>
      </c>
      <c r="H262" s="15" t="s">
        <v>4439</v>
      </c>
      <c r="I262" s="33" t="s">
        <v>216</v>
      </c>
      <c r="J262" s="15"/>
      <c r="K262" s="15"/>
      <c r="L262" s="15" t="s">
        <v>220</v>
      </c>
      <c r="M262" s="15" t="s">
        <v>2390</v>
      </c>
      <c r="N262" s="15" t="s">
        <v>2391</v>
      </c>
      <c r="O262" s="15"/>
      <c r="P262" s="15" t="b">
        <v>0</v>
      </c>
      <c r="R262">
        <f t="shared" si="4"/>
        <v>1</v>
      </c>
    </row>
    <row r="263" spans="1:18" ht="15" customHeight="1">
      <c r="A263" s="15">
        <v>3934</v>
      </c>
      <c r="B263" s="15">
        <v>1014</v>
      </c>
      <c r="C263" s="15">
        <v>0</v>
      </c>
      <c r="D263" s="15">
        <v>193</v>
      </c>
      <c r="E263" s="15" t="b">
        <v>0</v>
      </c>
      <c r="F263" s="15" t="b">
        <v>0</v>
      </c>
      <c r="G263" s="33" t="s">
        <v>206</v>
      </c>
      <c r="H263" s="15" t="s">
        <v>4440</v>
      </c>
      <c r="I263" s="33" t="s">
        <v>208</v>
      </c>
      <c r="J263" s="15"/>
      <c r="K263" s="15"/>
      <c r="L263" s="15" t="s">
        <v>220</v>
      </c>
      <c r="M263" s="15" t="s">
        <v>2393</v>
      </c>
      <c r="N263" s="15" t="s">
        <v>2394</v>
      </c>
      <c r="O263" s="15"/>
      <c r="P263" s="15" t="b">
        <v>0</v>
      </c>
      <c r="R263">
        <f t="shared" si="4"/>
        <v>1</v>
      </c>
    </row>
    <row r="264" spans="1:18" ht="15" customHeight="1">
      <c r="A264" s="15">
        <v>3935</v>
      </c>
      <c r="B264" s="15">
        <v>1015</v>
      </c>
      <c r="C264" s="15">
        <v>0</v>
      </c>
      <c r="D264" s="15">
        <v>193</v>
      </c>
      <c r="E264" s="15" t="b">
        <v>0</v>
      </c>
      <c r="F264" s="15" t="b">
        <v>0</v>
      </c>
      <c r="G264" s="33" t="s">
        <v>206</v>
      </c>
      <c r="H264" s="15" t="s">
        <v>4440</v>
      </c>
      <c r="I264" s="33" t="s">
        <v>213</v>
      </c>
      <c r="J264" s="15"/>
      <c r="K264" s="15"/>
      <c r="L264" s="15" t="s">
        <v>220</v>
      </c>
      <c r="M264" s="15" t="s">
        <v>2395</v>
      </c>
      <c r="N264" s="15" t="s">
        <v>2396</v>
      </c>
      <c r="O264" s="15"/>
      <c r="P264" s="15" t="b">
        <v>0</v>
      </c>
      <c r="R264">
        <f t="shared" si="4"/>
        <v>1</v>
      </c>
    </row>
    <row r="265" spans="1:18" ht="15" customHeight="1">
      <c r="A265" s="15">
        <v>3936</v>
      </c>
      <c r="B265" s="15">
        <v>1016</v>
      </c>
      <c r="C265" s="15">
        <v>0</v>
      </c>
      <c r="D265" s="15">
        <v>193</v>
      </c>
      <c r="E265" s="15" t="b">
        <v>0</v>
      </c>
      <c r="F265" s="15" t="b">
        <v>0</v>
      </c>
      <c r="G265" s="33" t="s">
        <v>206</v>
      </c>
      <c r="H265" s="15" t="s">
        <v>4440</v>
      </c>
      <c r="I265" s="33" t="s">
        <v>216</v>
      </c>
      <c r="J265" s="15"/>
      <c r="K265" s="15"/>
      <c r="L265" s="15" t="s">
        <v>220</v>
      </c>
      <c r="M265" s="15" t="s">
        <v>2397</v>
      </c>
      <c r="N265" s="15" t="s">
        <v>2398</v>
      </c>
      <c r="O265" s="15"/>
      <c r="P265" s="15" t="b">
        <v>0</v>
      </c>
      <c r="R265">
        <f t="shared" si="4"/>
        <v>1</v>
      </c>
    </row>
    <row r="266" spans="1:18" ht="15" customHeight="1">
      <c r="A266" s="15">
        <v>3937</v>
      </c>
      <c r="B266" s="15">
        <v>1017</v>
      </c>
      <c r="C266" s="15">
        <v>0</v>
      </c>
      <c r="D266" s="15">
        <v>193</v>
      </c>
      <c r="E266" s="15" t="b">
        <v>1</v>
      </c>
      <c r="F266" s="15" t="b">
        <v>0</v>
      </c>
      <c r="G266" s="33" t="s">
        <v>206</v>
      </c>
      <c r="H266" s="15" t="s">
        <v>4441</v>
      </c>
      <c r="I266" s="33" t="s">
        <v>208</v>
      </c>
      <c r="J266" s="15"/>
      <c r="K266" s="15"/>
      <c r="L266" s="15" t="s">
        <v>220</v>
      </c>
      <c r="M266" s="15" t="s">
        <v>2400</v>
      </c>
      <c r="N266" s="15" t="s">
        <v>2401</v>
      </c>
      <c r="O266" s="15"/>
      <c r="P266" s="15" t="b">
        <v>0</v>
      </c>
      <c r="R266">
        <f t="shared" si="4"/>
        <v>1</v>
      </c>
    </row>
    <row r="267" spans="1:18" ht="15" customHeight="1">
      <c r="A267" s="15">
        <v>3938</v>
      </c>
      <c r="B267" s="15">
        <v>1018</v>
      </c>
      <c r="C267" s="15">
        <v>0</v>
      </c>
      <c r="D267" s="15">
        <v>193</v>
      </c>
      <c r="E267" s="15" t="b">
        <v>1</v>
      </c>
      <c r="F267" s="15" t="b">
        <v>0</v>
      </c>
      <c r="G267" s="33" t="s">
        <v>206</v>
      </c>
      <c r="H267" s="15" t="s">
        <v>4441</v>
      </c>
      <c r="I267" s="33" t="s">
        <v>213</v>
      </c>
      <c r="J267" s="15"/>
      <c r="K267" s="15"/>
      <c r="L267" s="15" t="s">
        <v>220</v>
      </c>
      <c r="M267" s="15" t="s">
        <v>2402</v>
      </c>
      <c r="N267" s="15" t="s">
        <v>2403</v>
      </c>
      <c r="O267" s="15"/>
      <c r="P267" s="15" t="b">
        <v>0</v>
      </c>
      <c r="R267">
        <f t="shared" si="4"/>
        <v>1</v>
      </c>
    </row>
    <row r="268" spans="1:18" ht="15" customHeight="1">
      <c r="A268" s="15">
        <v>3939</v>
      </c>
      <c r="B268" s="15">
        <v>1019</v>
      </c>
      <c r="C268" s="15">
        <v>0</v>
      </c>
      <c r="D268" s="15">
        <v>193</v>
      </c>
      <c r="E268" s="15" t="b">
        <v>1</v>
      </c>
      <c r="F268" s="15" t="b">
        <v>0</v>
      </c>
      <c r="G268" s="33" t="s">
        <v>206</v>
      </c>
      <c r="H268" s="15" t="s">
        <v>4441</v>
      </c>
      <c r="I268" s="33" t="s">
        <v>216</v>
      </c>
      <c r="J268" s="15"/>
      <c r="K268" s="15"/>
      <c r="L268" s="15" t="s">
        <v>220</v>
      </c>
      <c r="M268" s="15" t="s">
        <v>2404</v>
      </c>
      <c r="N268" s="15" t="s">
        <v>2405</v>
      </c>
      <c r="O268" s="15"/>
      <c r="P268" s="15" t="b">
        <v>0</v>
      </c>
      <c r="R268">
        <f t="shared" si="4"/>
        <v>1</v>
      </c>
    </row>
    <row r="269" spans="1:18" ht="15" customHeight="1">
      <c r="A269" s="15">
        <v>3940</v>
      </c>
      <c r="B269" s="15">
        <v>1020</v>
      </c>
      <c r="C269" s="15">
        <v>0</v>
      </c>
      <c r="D269" s="15">
        <v>193</v>
      </c>
      <c r="E269" s="15" t="b">
        <v>0</v>
      </c>
      <c r="F269" s="15" t="b">
        <v>0</v>
      </c>
      <c r="G269" s="33" t="s">
        <v>206</v>
      </c>
      <c r="H269" s="15" t="s">
        <v>4442</v>
      </c>
      <c r="I269" s="33" t="s">
        <v>208</v>
      </c>
      <c r="J269" s="15"/>
      <c r="K269" s="15"/>
      <c r="L269" s="15" t="s">
        <v>220</v>
      </c>
      <c r="M269" s="15" t="s">
        <v>2407</v>
      </c>
      <c r="N269" s="15" t="s">
        <v>2408</v>
      </c>
      <c r="O269" s="15"/>
      <c r="P269" s="15" t="b">
        <v>0</v>
      </c>
      <c r="R269">
        <f t="shared" si="4"/>
        <v>1</v>
      </c>
    </row>
    <row r="270" spans="1:18" ht="15" customHeight="1">
      <c r="A270" s="15">
        <v>3941</v>
      </c>
      <c r="B270" s="15">
        <v>1021</v>
      </c>
      <c r="C270" s="15">
        <v>0</v>
      </c>
      <c r="D270" s="15">
        <v>193</v>
      </c>
      <c r="E270" s="15" t="b">
        <v>0</v>
      </c>
      <c r="F270" s="15" t="b">
        <v>0</v>
      </c>
      <c r="G270" s="33" t="s">
        <v>206</v>
      </c>
      <c r="H270" s="15" t="s">
        <v>4442</v>
      </c>
      <c r="I270" s="33" t="s">
        <v>213</v>
      </c>
      <c r="J270" s="15"/>
      <c r="K270" s="15"/>
      <c r="L270" s="15" t="s">
        <v>220</v>
      </c>
      <c r="M270" s="15" t="s">
        <v>2409</v>
      </c>
      <c r="N270" s="15" t="s">
        <v>2410</v>
      </c>
      <c r="O270" s="15"/>
      <c r="P270" s="15" t="b">
        <v>0</v>
      </c>
      <c r="R270">
        <f t="shared" si="4"/>
        <v>1</v>
      </c>
    </row>
    <row r="271" spans="1:18" ht="15" customHeight="1">
      <c r="A271" s="15">
        <v>3942</v>
      </c>
      <c r="B271" s="15">
        <v>1022</v>
      </c>
      <c r="C271" s="15">
        <v>0</v>
      </c>
      <c r="D271" s="15">
        <v>193</v>
      </c>
      <c r="E271" s="15" t="b">
        <v>0</v>
      </c>
      <c r="F271" s="15" t="b">
        <v>0</v>
      </c>
      <c r="G271" s="33" t="s">
        <v>206</v>
      </c>
      <c r="H271" s="15" t="s">
        <v>4442</v>
      </c>
      <c r="I271" s="33" t="s">
        <v>216</v>
      </c>
      <c r="J271" s="15"/>
      <c r="K271" s="15"/>
      <c r="L271" s="15" t="s">
        <v>220</v>
      </c>
      <c r="M271" s="15" t="s">
        <v>2411</v>
      </c>
      <c r="N271" s="15" t="s">
        <v>2412</v>
      </c>
      <c r="O271" s="15"/>
      <c r="P271" s="15" t="b">
        <v>0</v>
      </c>
      <c r="R271">
        <f t="shared" si="4"/>
        <v>1</v>
      </c>
    </row>
    <row r="272" spans="1:18" ht="15" customHeight="1">
      <c r="A272" s="15">
        <v>3943</v>
      </c>
      <c r="B272" s="15">
        <v>1023</v>
      </c>
      <c r="C272" s="15">
        <v>0</v>
      </c>
      <c r="D272" s="15">
        <v>193</v>
      </c>
      <c r="E272" s="15" t="b">
        <v>0</v>
      </c>
      <c r="F272" s="15" t="b">
        <v>0</v>
      </c>
      <c r="G272" s="33" t="s">
        <v>206</v>
      </c>
      <c r="H272" s="15" t="s">
        <v>4443</v>
      </c>
      <c r="I272" s="33" t="s">
        <v>208</v>
      </c>
      <c r="J272" s="15"/>
      <c r="K272" s="15"/>
      <c r="L272" s="15" t="s">
        <v>220</v>
      </c>
      <c r="M272" s="15" t="s">
        <v>2414</v>
      </c>
      <c r="N272" s="15" t="s">
        <v>2415</v>
      </c>
      <c r="O272" s="15"/>
      <c r="P272" s="15" t="b">
        <v>0</v>
      </c>
      <c r="R272">
        <f t="shared" si="4"/>
        <v>1</v>
      </c>
    </row>
    <row r="273" spans="1:18" ht="15" customHeight="1">
      <c r="A273" s="15">
        <v>3944</v>
      </c>
      <c r="B273" s="15">
        <v>1024</v>
      </c>
      <c r="C273" s="15">
        <v>0</v>
      </c>
      <c r="D273" s="15">
        <v>193</v>
      </c>
      <c r="E273" s="15" t="b">
        <v>0</v>
      </c>
      <c r="F273" s="15" t="b">
        <v>0</v>
      </c>
      <c r="G273" s="33" t="s">
        <v>206</v>
      </c>
      <c r="H273" s="15" t="s">
        <v>4443</v>
      </c>
      <c r="I273" s="33" t="s">
        <v>213</v>
      </c>
      <c r="J273" s="15"/>
      <c r="K273" s="15"/>
      <c r="L273" s="15" t="s">
        <v>220</v>
      </c>
      <c r="M273" s="15" t="s">
        <v>2416</v>
      </c>
      <c r="N273" s="15" t="s">
        <v>2417</v>
      </c>
      <c r="O273" s="15"/>
      <c r="P273" s="15" t="b">
        <v>0</v>
      </c>
      <c r="R273">
        <f t="shared" si="4"/>
        <v>1</v>
      </c>
    </row>
    <row r="274" spans="1:18" ht="15" customHeight="1">
      <c r="A274" s="15">
        <v>3945</v>
      </c>
      <c r="B274" s="15">
        <v>1025</v>
      </c>
      <c r="C274" s="15">
        <v>0</v>
      </c>
      <c r="D274" s="15">
        <v>193</v>
      </c>
      <c r="E274" s="15" t="b">
        <v>0</v>
      </c>
      <c r="F274" s="15" t="b">
        <v>0</v>
      </c>
      <c r="G274" s="33" t="s">
        <v>206</v>
      </c>
      <c r="H274" s="15" t="s">
        <v>4443</v>
      </c>
      <c r="I274" s="33" t="s">
        <v>216</v>
      </c>
      <c r="J274" s="15"/>
      <c r="K274" s="15"/>
      <c r="L274" s="15" t="s">
        <v>220</v>
      </c>
      <c r="M274" s="15" t="s">
        <v>2418</v>
      </c>
      <c r="N274" s="15" t="s">
        <v>2419</v>
      </c>
      <c r="O274" s="15"/>
      <c r="P274" s="15" t="b">
        <v>0</v>
      </c>
      <c r="R274">
        <f t="shared" si="4"/>
        <v>1</v>
      </c>
    </row>
    <row r="275" spans="1:18" ht="15" customHeight="1">
      <c r="A275" s="15">
        <v>3946</v>
      </c>
      <c r="B275" s="15">
        <v>1026</v>
      </c>
      <c r="C275" s="15">
        <v>0</v>
      </c>
      <c r="D275" s="15">
        <v>193</v>
      </c>
      <c r="E275" s="15" t="b">
        <v>1</v>
      </c>
      <c r="F275" s="15" t="b">
        <v>0</v>
      </c>
      <c r="G275" s="33" t="s">
        <v>206</v>
      </c>
      <c r="H275" s="15" t="s">
        <v>4444</v>
      </c>
      <c r="I275" s="33" t="s">
        <v>208</v>
      </c>
      <c r="J275" s="15"/>
      <c r="K275" s="15"/>
      <c r="L275" s="15" t="s">
        <v>220</v>
      </c>
      <c r="M275" s="15" t="s">
        <v>2421</v>
      </c>
      <c r="N275" s="15" t="s">
        <v>2422</v>
      </c>
      <c r="O275" s="15"/>
      <c r="P275" s="15" t="b">
        <v>0</v>
      </c>
      <c r="R275">
        <f t="shared" si="4"/>
        <v>1</v>
      </c>
    </row>
    <row r="276" spans="1:18" ht="15" customHeight="1">
      <c r="A276" s="15">
        <v>3947</v>
      </c>
      <c r="B276" s="15">
        <v>1027</v>
      </c>
      <c r="C276" s="15">
        <v>0</v>
      </c>
      <c r="D276" s="15">
        <v>193</v>
      </c>
      <c r="E276" s="15" t="b">
        <v>1</v>
      </c>
      <c r="F276" s="15" t="b">
        <v>0</v>
      </c>
      <c r="G276" s="33" t="s">
        <v>206</v>
      </c>
      <c r="H276" s="15" t="s">
        <v>4444</v>
      </c>
      <c r="I276" s="33" t="s">
        <v>213</v>
      </c>
      <c r="J276" s="15"/>
      <c r="K276" s="15"/>
      <c r="L276" s="15" t="s">
        <v>220</v>
      </c>
      <c r="M276" s="15" t="s">
        <v>2423</v>
      </c>
      <c r="N276" s="15" t="s">
        <v>2424</v>
      </c>
      <c r="O276" s="15"/>
      <c r="P276" s="15" t="b">
        <v>0</v>
      </c>
      <c r="R276">
        <f t="shared" si="4"/>
        <v>1</v>
      </c>
    </row>
    <row r="277" spans="1:18" ht="15" customHeight="1">
      <c r="A277" s="15">
        <v>3948</v>
      </c>
      <c r="B277" s="15">
        <v>1028</v>
      </c>
      <c r="C277" s="15">
        <v>0</v>
      </c>
      <c r="D277" s="15">
        <v>193</v>
      </c>
      <c r="E277" s="15" t="b">
        <v>1</v>
      </c>
      <c r="F277" s="15" t="b">
        <v>0</v>
      </c>
      <c r="G277" s="33" t="s">
        <v>206</v>
      </c>
      <c r="H277" s="15" t="s">
        <v>4444</v>
      </c>
      <c r="I277" s="33" t="s">
        <v>216</v>
      </c>
      <c r="J277" s="15"/>
      <c r="K277" s="15"/>
      <c r="L277" s="15" t="s">
        <v>220</v>
      </c>
      <c r="M277" s="15" t="s">
        <v>2425</v>
      </c>
      <c r="N277" s="15" t="s">
        <v>2426</v>
      </c>
      <c r="O277" s="15"/>
      <c r="P277" s="15" t="b">
        <v>0</v>
      </c>
      <c r="R277">
        <f t="shared" si="4"/>
        <v>1</v>
      </c>
    </row>
    <row r="278" spans="1:18" ht="15" customHeight="1">
      <c r="A278" s="15">
        <v>3949</v>
      </c>
      <c r="B278" s="15">
        <v>1029</v>
      </c>
      <c r="C278" s="15">
        <v>0</v>
      </c>
      <c r="D278" s="15">
        <v>193</v>
      </c>
      <c r="E278" s="15" t="b">
        <v>0</v>
      </c>
      <c r="F278" s="15" t="b">
        <v>0</v>
      </c>
      <c r="G278" s="33" t="s">
        <v>206</v>
      </c>
      <c r="H278" s="15" t="s">
        <v>4445</v>
      </c>
      <c r="I278" s="33" t="s">
        <v>208</v>
      </c>
      <c r="J278" s="15"/>
      <c r="K278" s="15"/>
      <c r="L278" s="15" t="s">
        <v>220</v>
      </c>
      <c r="M278" s="15" t="s">
        <v>2428</v>
      </c>
      <c r="N278" s="15" t="s">
        <v>2429</v>
      </c>
      <c r="O278" s="15"/>
      <c r="P278" s="15" t="b">
        <v>0</v>
      </c>
      <c r="R278">
        <f t="shared" si="4"/>
        <v>1</v>
      </c>
    </row>
    <row r="279" spans="1:18" ht="15" customHeight="1">
      <c r="A279" s="15">
        <v>3950</v>
      </c>
      <c r="B279" s="15">
        <v>1030</v>
      </c>
      <c r="C279" s="15">
        <v>0</v>
      </c>
      <c r="D279" s="15">
        <v>193</v>
      </c>
      <c r="E279" s="15" t="b">
        <v>0</v>
      </c>
      <c r="F279" s="15" t="b">
        <v>0</v>
      </c>
      <c r="G279" s="33" t="s">
        <v>206</v>
      </c>
      <c r="H279" s="15" t="s">
        <v>4445</v>
      </c>
      <c r="I279" s="33" t="s">
        <v>213</v>
      </c>
      <c r="J279" s="15"/>
      <c r="K279" s="15"/>
      <c r="L279" s="15" t="s">
        <v>220</v>
      </c>
      <c r="M279" s="15" t="s">
        <v>2430</v>
      </c>
      <c r="N279" s="15" t="s">
        <v>2431</v>
      </c>
      <c r="O279" s="15"/>
      <c r="P279" s="15" t="b">
        <v>0</v>
      </c>
      <c r="R279">
        <f t="shared" si="4"/>
        <v>1</v>
      </c>
    </row>
    <row r="280" spans="1:18" ht="15" customHeight="1">
      <c r="A280" s="15">
        <v>3951</v>
      </c>
      <c r="B280" s="15">
        <v>1031</v>
      </c>
      <c r="C280" s="15">
        <v>0</v>
      </c>
      <c r="D280" s="15">
        <v>193</v>
      </c>
      <c r="E280" s="15" t="b">
        <v>0</v>
      </c>
      <c r="F280" s="15" t="b">
        <v>0</v>
      </c>
      <c r="G280" s="33" t="s">
        <v>206</v>
      </c>
      <c r="H280" s="15" t="s">
        <v>4445</v>
      </c>
      <c r="I280" s="33" t="s">
        <v>216</v>
      </c>
      <c r="J280" s="15"/>
      <c r="K280" s="15"/>
      <c r="L280" s="15" t="s">
        <v>220</v>
      </c>
      <c r="M280" s="15" t="s">
        <v>2432</v>
      </c>
      <c r="N280" s="15" t="s">
        <v>2433</v>
      </c>
      <c r="O280" s="15"/>
      <c r="P280" s="15" t="b">
        <v>0</v>
      </c>
      <c r="R280">
        <f t="shared" si="4"/>
        <v>1</v>
      </c>
    </row>
    <row r="281" spans="1:18" ht="15" customHeight="1">
      <c r="A281" s="15">
        <v>3952</v>
      </c>
      <c r="B281" s="15">
        <v>1032</v>
      </c>
      <c r="C281" s="15">
        <v>0</v>
      </c>
      <c r="D281" s="15">
        <v>193</v>
      </c>
      <c r="E281" s="15" t="b">
        <v>0</v>
      </c>
      <c r="F281" s="15" t="b">
        <v>0</v>
      </c>
      <c r="G281" s="33" t="s">
        <v>206</v>
      </c>
      <c r="H281" s="15" t="s">
        <v>4446</v>
      </c>
      <c r="I281" s="33" t="s">
        <v>208</v>
      </c>
      <c r="J281" s="15"/>
      <c r="K281" s="15"/>
      <c r="L281" s="15" t="s">
        <v>220</v>
      </c>
      <c r="M281" s="15" t="s">
        <v>2435</v>
      </c>
      <c r="N281" s="15" t="s">
        <v>2436</v>
      </c>
      <c r="O281" s="15"/>
      <c r="P281" s="15" t="b">
        <v>0</v>
      </c>
      <c r="R281">
        <f t="shared" si="4"/>
        <v>1</v>
      </c>
    </row>
    <row r="282" spans="1:18" ht="15" customHeight="1">
      <c r="A282" s="15">
        <v>3953</v>
      </c>
      <c r="B282" s="15">
        <v>1033</v>
      </c>
      <c r="C282" s="15">
        <v>0</v>
      </c>
      <c r="D282" s="15">
        <v>193</v>
      </c>
      <c r="E282" s="15" t="b">
        <v>0</v>
      </c>
      <c r="F282" s="15" t="b">
        <v>0</v>
      </c>
      <c r="G282" s="33" t="s">
        <v>206</v>
      </c>
      <c r="H282" s="15" t="s">
        <v>4446</v>
      </c>
      <c r="I282" s="33" t="s">
        <v>213</v>
      </c>
      <c r="J282" s="15"/>
      <c r="K282" s="15"/>
      <c r="L282" s="15" t="s">
        <v>220</v>
      </c>
      <c r="M282" s="15" t="s">
        <v>2437</v>
      </c>
      <c r="N282" s="15" t="s">
        <v>2438</v>
      </c>
      <c r="O282" s="15"/>
      <c r="P282" s="15" t="b">
        <v>0</v>
      </c>
      <c r="R282">
        <f t="shared" si="4"/>
        <v>1</v>
      </c>
    </row>
    <row r="283" spans="1:18" ht="15" customHeight="1">
      <c r="A283" s="15">
        <v>3954</v>
      </c>
      <c r="B283" s="15">
        <v>1034</v>
      </c>
      <c r="C283" s="15">
        <v>0</v>
      </c>
      <c r="D283" s="15">
        <v>193</v>
      </c>
      <c r="E283" s="15" t="b">
        <v>0</v>
      </c>
      <c r="F283" s="15" t="b">
        <v>0</v>
      </c>
      <c r="G283" s="33" t="s">
        <v>206</v>
      </c>
      <c r="H283" s="15" t="s">
        <v>4446</v>
      </c>
      <c r="I283" s="33" t="s">
        <v>216</v>
      </c>
      <c r="J283" s="15"/>
      <c r="K283" s="15"/>
      <c r="L283" s="15" t="s">
        <v>220</v>
      </c>
      <c r="M283" s="15" t="s">
        <v>2439</v>
      </c>
      <c r="N283" s="15" t="s">
        <v>2440</v>
      </c>
      <c r="O283" s="15"/>
      <c r="P283" s="15" t="b">
        <v>0</v>
      </c>
      <c r="R283">
        <f t="shared" si="4"/>
        <v>1</v>
      </c>
    </row>
    <row r="284" spans="1:18" ht="15" customHeight="1">
      <c r="A284" s="15">
        <v>3955</v>
      </c>
      <c r="B284" s="15">
        <v>1035</v>
      </c>
      <c r="C284" s="15">
        <v>0</v>
      </c>
      <c r="D284" s="15">
        <v>193</v>
      </c>
      <c r="E284" s="15" t="b">
        <v>1</v>
      </c>
      <c r="F284" s="15" t="b">
        <v>0</v>
      </c>
      <c r="G284" s="33" t="s">
        <v>206</v>
      </c>
      <c r="H284" s="15" t="s">
        <v>4447</v>
      </c>
      <c r="I284" s="33" t="s">
        <v>208</v>
      </c>
      <c r="J284" s="15"/>
      <c r="K284" s="15"/>
      <c r="L284" s="15" t="s">
        <v>220</v>
      </c>
      <c r="M284" s="15" t="s">
        <v>2442</v>
      </c>
      <c r="N284" s="15" t="s">
        <v>2443</v>
      </c>
      <c r="O284" s="15"/>
      <c r="P284" s="15" t="b">
        <v>0</v>
      </c>
      <c r="R284">
        <f t="shared" si="4"/>
        <v>1</v>
      </c>
    </row>
    <row r="285" spans="1:18" ht="15" customHeight="1">
      <c r="A285" s="15">
        <v>3956</v>
      </c>
      <c r="B285" s="15">
        <v>1036</v>
      </c>
      <c r="C285" s="15">
        <v>0</v>
      </c>
      <c r="D285" s="15">
        <v>193</v>
      </c>
      <c r="E285" s="15" t="b">
        <v>1</v>
      </c>
      <c r="F285" s="15" t="b">
        <v>0</v>
      </c>
      <c r="G285" s="33" t="s">
        <v>206</v>
      </c>
      <c r="H285" s="15" t="s">
        <v>4447</v>
      </c>
      <c r="I285" s="33" t="s">
        <v>213</v>
      </c>
      <c r="J285" s="15"/>
      <c r="K285" s="15"/>
      <c r="L285" s="15" t="s">
        <v>220</v>
      </c>
      <c r="M285" s="15" t="s">
        <v>2444</v>
      </c>
      <c r="N285" s="15" t="s">
        <v>2445</v>
      </c>
      <c r="O285" s="15"/>
      <c r="P285" s="15" t="b">
        <v>0</v>
      </c>
      <c r="R285">
        <f t="shared" si="4"/>
        <v>1</v>
      </c>
    </row>
    <row r="286" spans="1:18" ht="15" customHeight="1">
      <c r="A286" s="15">
        <v>3957</v>
      </c>
      <c r="B286" s="15">
        <v>1037</v>
      </c>
      <c r="C286" s="15">
        <v>0</v>
      </c>
      <c r="D286" s="15">
        <v>193</v>
      </c>
      <c r="E286" s="15" t="b">
        <v>1</v>
      </c>
      <c r="F286" s="15" t="b">
        <v>0</v>
      </c>
      <c r="G286" s="33" t="s">
        <v>206</v>
      </c>
      <c r="H286" s="15" t="s">
        <v>4447</v>
      </c>
      <c r="I286" s="33" t="s">
        <v>216</v>
      </c>
      <c r="J286" s="15"/>
      <c r="K286" s="15"/>
      <c r="L286" s="15" t="s">
        <v>220</v>
      </c>
      <c r="M286" s="15" t="s">
        <v>2446</v>
      </c>
      <c r="N286" s="15" t="s">
        <v>2447</v>
      </c>
      <c r="O286" s="15"/>
      <c r="P286" s="15" t="b">
        <v>0</v>
      </c>
      <c r="R286">
        <f t="shared" si="4"/>
        <v>1</v>
      </c>
    </row>
    <row r="287" spans="1:18" ht="15" customHeight="1">
      <c r="A287" s="15">
        <v>3958</v>
      </c>
      <c r="B287" s="15">
        <v>1038</v>
      </c>
      <c r="C287" s="15">
        <v>0</v>
      </c>
      <c r="D287" s="15">
        <v>193</v>
      </c>
      <c r="E287" s="15" t="b">
        <v>0</v>
      </c>
      <c r="F287" s="15" t="b">
        <v>0</v>
      </c>
      <c r="G287" s="33" t="s">
        <v>206</v>
      </c>
      <c r="H287" s="15" t="s">
        <v>4448</v>
      </c>
      <c r="I287" s="33" t="s">
        <v>208</v>
      </c>
      <c r="J287" s="15"/>
      <c r="K287" s="15"/>
      <c r="L287" s="15" t="s">
        <v>220</v>
      </c>
      <c r="M287" s="15" t="s">
        <v>2449</v>
      </c>
      <c r="N287" s="15" t="s">
        <v>2450</v>
      </c>
      <c r="O287" s="15"/>
      <c r="P287" s="15" t="b">
        <v>0</v>
      </c>
      <c r="R287">
        <f t="shared" si="4"/>
        <v>1</v>
      </c>
    </row>
    <row r="288" spans="1:18" ht="15" customHeight="1">
      <c r="A288" s="15">
        <v>3959</v>
      </c>
      <c r="B288" s="15">
        <v>1039</v>
      </c>
      <c r="C288" s="15">
        <v>0</v>
      </c>
      <c r="D288" s="15">
        <v>193</v>
      </c>
      <c r="E288" s="15" t="b">
        <v>0</v>
      </c>
      <c r="F288" s="15" t="b">
        <v>0</v>
      </c>
      <c r="G288" s="33" t="s">
        <v>206</v>
      </c>
      <c r="H288" s="15" t="s">
        <v>4448</v>
      </c>
      <c r="I288" s="33" t="s">
        <v>213</v>
      </c>
      <c r="J288" s="15"/>
      <c r="K288" s="15"/>
      <c r="L288" s="15" t="s">
        <v>220</v>
      </c>
      <c r="M288" s="15" t="s">
        <v>2451</v>
      </c>
      <c r="N288" s="15" t="s">
        <v>2452</v>
      </c>
      <c r="O288" s="15"/>
      <c r="P288" s="15" t="b">
        <v>0</v>
      </c>
      <c r="R288">
        <f t="shared" si="4"/>
        <v>1</v>
      </c>
    </row>
    <row r="289" spans="1:18" ht="15" customHeight="1">
      <c r="A289" s="15">
        <v>3960</v>
      </c>
      <c r="B289" s="15">
        <v>1040</v>
      </c>
      <c r="C289" s="15">
        <v>0</v>
      </c>
      <c r="D289" s="15">
        <v>193</v>
      </c>
      <c r="E289" s="15" t="b">
        <v>0</v>
      </c>
      <c r="F289" s="15" t="b">
        <v>0</v>
      </c>
      <c r="G289" s="33" t="s">
        <v>206</v>
      </c>
      <c r="H289" s="15" t="s">
        <v>4448</v>
      </c>
      <c r="I289" s="33" t="s">
        <v>216</v>
      </c>
      <c r="J289" s="15"/>
      <c r="K289" s="15"/>
      <c r="L289" s="15" t="s">
        <v>220</v>
      </c>
      <c r="M289" s="15" t="s">
        <v>2453</v>
      </c>
      <c r="N289" s="15" t="s">
        <v>2454</v>
      </c>
      <c r="O289" s="15"/>
      <c r="P289" s="15" t="b">
        <v>0</v>
      </c>
      <c r="R289">
        <f t="shared" si="4"/>
        <v>1</v>
      </c>
    </row>
    <row r="291" spans="1:18">
      <c r="R291">
        <f>SUM(R2:R289)</f>
        <v>288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23941C1AC63F4FAE262222D3A47C80" ma:contentTypeVersion="8" ma:contentTypeDescription="Create a new document." ma:contentTypeScope="" ma:versionID="120209d4f2a9786bf7fb535520e1e424">
  <xsd:schema xmlns:xsd="http://www.w3.org/2001/XMLSchema" xmlns:xs="http://www.w3.org/2001/XMLSchema" xmlns:p="http://schemas.microsoft.com/office/2006/metadata/properties" xmlns:ns2="0294e3a4-1dfb-4e58-9c76-fff97986e808" xmlns:ns3="6dbca411-c781-46c8-be79-8915e491daea" targetNamespace="http://schemas.microsoft.com/office/2006/metadata/properties" ma:root="true" ma:fieldsID="2b07c560f486cf8e95f6ee7de55282b9" ns2:_="" ns3:_="">
    <xsd:import namespace="0294e3a4-1dfb-4e58-9c76-fff97986e808"/>
    <xsd:import namespace="6dbca411-c781-46c8-be79-8915e491da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94e3a4-1dfb-4e58-9c76-fff97986e8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bca411-c781-46c8-be79-8915e491dae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BCAB64-A29B-491F-9565-7DE4E24A8AA9}"/>
</file>

<file path=customXml/itemProps2.xml><?xml version="1.0" encoding="utf-8"?>
<ds:datastoreItem xmlns:ds="http://schemas.openxmlformats.org/officeDocument/2006/customXml" ds:itemID="{2CC6AA32-6369-4849-A1B4-F93CB488BF81}"/>
</file>

<file path=customXml/itemProps3.xml><?xml version="1.0" encoding="utf-8"?>
<ds:datastoreItem xmlns:ds="http://schemas.openxmlformats.org/officeDocument/2006/customXml" ds:itemID="{3262BE24-6DCE-4B7F-93B1-F0FD987432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Vasileios Vlastaras</dc:creator>
  <cp:keywords/>
  <dc:description/>
  <cp:lastModifiedBy/>
  <cp:revision/>
  <dcterms:created xsi:type="dcterms:W3CDTF">2023-07-28T18:39:00Z</dcterms:created>
  <dcterms:modified xsi:type="dcterms:W3CDTF">2026-03-07T19:17:52Z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0x010100BB23941C1AC63F4FAE262222D3A47C80</vt:lpwstr>
  </property>
  <property fmtid="{D5CDD505-2E9C-101B-9397-08002B2CF9AE}" pid="3" name="MediaServiceImageTags">
    <vt:lpwstr/>
  </property>
</Properties>
</file>